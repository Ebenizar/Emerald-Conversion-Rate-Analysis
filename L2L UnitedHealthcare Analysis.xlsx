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lenovo\Downloads\DA FOLDER\L2L\"/>
    </mc:Choice>
  </mc:AlternateContent>
  <xr:revisionPtr revIDLastSave="0" documentId="13_ncr:1_{8187B312-CA98-401E-A19D-DC2FAFDBC750}" xr6:coauthVersionLast="47" xr6:coauthVersionMax="47" xr10:uidLastSave="{00000000-0000-0000-0000-000000000000}"/>
  <bookViews>
    <workbookView xWindow="-110" yWindow="-110" windowWidth="19420" windowHeight="10300" activeTab="4" xr2:uid="{00000000-000D-0000-FFFF-FFFF00000000}"/>
  </bookViews>
  <sheets>
    <sheet name="Original Data" sheetId="1" r:id="rId1"/>
    <sheet name="Working Data" sheetId="3" r:id="rId2"/>
    <sheet name="Cleaned Data" sheetId="6" r:id="rId3"/>
    <sheet name="Pivot Table" sheetId="7" r:id="rId4"/>
    <sheet name="Dashboard" sheetId="9" r:id="rId5"/>
  </sheets>
  <definedNames>
    <definedName name="_xlcn.WorksheetConnection_L2LUnitedHealthcareData_Base.xlsxTable13451" hidden="1">Table1345[]</definedName>
    <definedName name="Slicer_Claim_Status">#N/A</definedName>
    <definedName name="Slicer_Duplicate_flag1">#N/A</definedName>
    <definedName name="Slicer_Submission_Channel1">#N/A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 cacheId="16" r:id="rId22"/>
    <pivotCache cacheId="17" r:id="rId23"/>
    <pivotCache cacheId="18" r:id="rId24"/>
    <pivotCache cacheId="19" r:id="rId25"/>
  </pivotCaches>
  <extLst>
    <ext xmlns:x14="http://schemas.microsoft.com/office/spreadsheetml/2009/9/main" uri="{876F7934-8845-4945-9796-88D515C7AA90}">
      <x14:pivotCaches>
        <pivotCache cacheId="20" r:id="rId26"/>
      </x14:pivotCaches>
    </ext>
    <ext xmlns:x14="http://schemas.microsoft.com/office/spreadsheetml/2009/9/main" uri="{BBE1A952-AA13-448e-AADC-164F8A28A991}">
      <x14:slicerCaches>
        <x14:slicerCache r:id="rId27"/>
        <x14:slicerCache r:id="rId28"/>
        <x14:slicerCache r:id="rId2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345" name="Table1345" connection="WorksheetConnection_L2L UnitedHealthcare Data_Base.xlsx!Table1345"/>
        </x15:modelTables>
        <x15:extLst>
          <ext xmlns:x16="http://schemas.microsoft.com/office/spreadsheetml/2014/11/main" uri="{9835A34E-60A6-4A7C-AAB8-D5F71C897F49}">
            <x16:modelTimeGroupings>
              <x16:modelTimeGrouping tableName="Table1345" columnName="Claim Date" columnId="Claim Date">
                <x16:calculatedTimeColumn columnName="Claim Date (Year)" columnId="Claim Date (Year)" contentType="years" isSelected="1"/>
                <x16:calculatedTimeColumn columnName="Claim Date (Quarter)" columnId="Claim Date (Quarter)" contentType="quarters" isSelected="1"/>
                <x16:calculatedTimeColumn columnName="Claim Date (Month Index)" columnId="Claim Date (Month Index)" contentType="monthsindex" isSelected="1"/>
                <x16:calculatedTimeColumn columnName="Claim Date (Month)" columnId="Claim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1" roundtripDataChecksum="t7HfCdIi8fSv5VfFMNo244fgEyyra1tqDKTkIkr8zJo="/>
    </ext>
  </extLst>
</workbook>
</file>

<file path=xl/calcChain.xml><?xml version="1.0" encoding="utf-8"?>
<calcChain xmlns="http://schemas.openxmlformats.org/spreadsheetml/2006/main">
  <c r="Q4" i="7" l="1"/>
  <c r="O4" i="7"/>
  <c r="P3" i="6" a="1"/>
  <c r="P3" i="6" s="1"/>
  <c r="X1001" i="3"/>
  <c r="W1001" i="3"/>
  <c r="X1000" i="3"/>
  <c r="W1000" i="3"/>
  <c r="X999" i="3"/>
  <c r="W999" i="3"/>
  <c r="X998" i="3"/>
  <c r="W998" i="3"/>
  <c r="X997" i="3"/>
  <c r="W997" i="3"/>
  <c r="X996" i="3"/>
  <c r="W996" i="3"/>
  <c r="X995" i="3"/>
  <c r="W995" i="3"/>
  <c r="X994" i="3"/>
  <c r="W994" i="3"/>
  <c r="X993" i="3"/>
  <c r="W993" i="3"/>
  <c r="X992" i="3"/>
  <c r="W992" i="3"/>
  <c r="X991" i="3"/>
  <c r="W991" i="3"/>
  <c r="X990" i="3"/>
  <c r="W990" i="3"/>
  <c r="X989" i="3"/>
  <c r="W989" i="3"/>
  <c r="X988" i="3"/>
  <c r="W988" i="3"/>
  <c r="X987" i="3"/>
  <c r="W987" i="3"/>
  <c r="X986" i="3"/>
  <c r="W986" i="3"/>
  <c r="X985" i="3"/>
  <c r="W985" i="3"/>
  <c r="X984" i="3"/>
  <c r="W984" i="3"/>
  <c r="X983" i="3"/>
  <c r="W983" i="3"/>
  <c r="X982" i="3"/>
  <c r="W982" i="3"/>
  <c r="X981" i="3"/>
  <c r="W981" i="3"/>
  <c r="X980" i="3"/>
  <c r="W980" i="3"/>
  <c r="X979" i="3"/>
  <c r="W979" i="3"/>
  <c r="X978" i="3"/>
  <c r="W978" i="3"/>
  <c r="X977" i="3"/>
  <c r="W977" i="3"/>
  <c r="X976" i="3"/>
  <c r="W976" i="3"/>
  <c r="X975" i="3"/>
  <c r="W975" i="3"/>
  <c r="X974" i="3"/>
  <c r="W974" i="3"/>
  <c r="X973" i="3"/>
  <c r="W973" i="3"/>
  <c r="X972" i="3"/>
  <c r="W972" i="3"/>
  <c r="X971" i="3"/>
  <c r="W971" i="3"/>
  <c r="X970" i="3"/>
  <c r="W970" i="3"/>
  <c r="X969" i="3"/>
  <c r="W969" i="3"/>
  <c r="X968" i="3"/>
  <c r="W968" i="3"/>
  <c r="X967" i="3"/>
  <c r="W967" i="3"/>
  <c r="X966" i="3"/>
  <c r="W966" i="3"/>
  <c r="X965" i="3"/>
  <c r="W965" i="3"/>
  <c r="X964" i="3"/>
  <c r="W964" i="3"/>
  <c r="X963" i="3"/>
  <c r="W963" i="3"/>
  <c r="X962" i="3"/>
  <c r="W962" i="3"/>
  <c r="X961" i="3"/>
  <c r="W961" i="3"/>
  <c r="X960" i="3"/>
  <c r="W960" i="3"/>
  <c r="X959" i="3"/>
  <c r="W959" i="3"/>
  <c r="X958" i="3"/>
  <c r="W958" i="3"/>
  <c r="X957" i="3"/>
  <c r="W957" i="3"/>
  <c r="X956" i="3"/>
  <c r="W956" i="3"/>
  <c r="X955" i="3"/>
  <c r="W955" i="3"/>
  <c r="X954" i="3"/>
  <c r="W954" i="3"/>
  <c r="X953" i="3"/>
  <c r="W953" i="3"/>
  <c r="X952" i="3"/>
  <c r="W952" i="3"/>
  <c r="X951" i="3"/>
  <c r="W951" i="3"/>
  <c r="X950" i="3"/>
  <c r="W950" i="3"/>
  <c r="X949" i="3"/>
  <c r="W949" i="3"/>
  <c r="X948" i="3"/>
  <c r="W948" i="3"/>
  <c r="X947" i="3"/>
  <c r="W947" i="3"/>
  <c r="X946" i="3"/>
  <c r="W946" i="3"/>
  <c r="X945" i="3"/>
  <c r="W945" i="3"/>
  <c r="X944" i="3"/>
  <c r="W944" i="3"/>
  <c r="X943" i="3"/>
  <c r="W943" i="3"/>
  <c r="X942" i="3"/>
  <c r="W942" i="3"/>
  <c r="X941" i="3"/>
  <c r="W941" i="3"/>
  <c r="X940" i="3"/>
  <c r="W940" i="3"/>
  <c r="X939" i="3"/>
  <c r="W939" i="3"/>
  <c r="X938" i="3"/>
  <c r="W938" i="3"/>
  <c r="X937" i="3"/>
  <c r="W937" i="3"/>
  <c r="X936" i="3"/>
  <c r="W936" i="3"/>
  <c r="X935" i="3"/>
  <c r="W935" i="3"/>
  <c r="X934" i="3"/>
  <c r="W934" i="3"/>
  <c r="X933" i="3"/>
  <c r="W933" i="3"/>
  <c r="X932" i="3"/>
  <c r="W932" i="3"/>
  <c r="X931" i="3"/>
  <c r="W931" i="3"/>
  <c r="X930" i="3"/>
  <c r="W930" i="3"/>
  <c r="X929" i="3"/>
  <c r="W929" i="3"/>
  <c r="X928" i="3"/>
  <c r="W928" i="3"/>
  <c r="X927" i="3"/>
  <c r="W927" i="3"/>
  <c r="X926" i="3"/>
  <c r="W926" i="3"/>
  <c r="X925" i="3"/>
  <c r="W925" i="3"/>
  <c r="X924" i="3"/>
  <c r="W924" i="3"/>
  <c r="X923" i="3"/>
  <c r="W923" i="3"/>
  <c r="X922" i="3"/>
  <c r="W922" i="3"/>
  <c r="X921" i="3"/>
  <c r="W921" i="3"/>
  <c r="X920" i="3"/>
  <c r="W920" i="3"/>
  <c r="X919" i="3"/>
  <c r="W919" i="3"/>
  <c r="X918" i="3"/>
  <c r="W918" i="3"/>
  <c r="X917" i="3"/>
  <c r="W917" i="3"/>
  <c r="X916" i="3"/>
  <c r="W916" i="3"/>
  <c r="X915" i="3"/>
  <c r="W915" i="3"/>
  <c r="X914" i="3"/>
  <c r="W914" i="3"/>
  <c r="X913" i="3"/>
  <c r="W913" i="3"/>
  <c r="X912" i="3"/>
  <c r="W912" i="3"/>
  <c r="X911" i="3"/>
  <c r="W911" i="3"/>
  <c r="X910" i="3"/>
  <c r="W910" i="3"/>
  <c r="X909" i="3"/>
  <c r="W909" i="3"/>
  <c r="X908" i="3"/>
  <c r="W908" i="3"/>
  <c r="X907" i="3"/>
  <c r="W907" i="3"/>
  <c r="X906" i="3"/>
  <c r="W906" i="3"/>
  <c r="X905" i="3"/>
  <c r="W905" i="3"/>
  <c r="X904" i="3"/>
  <c r="W904" i="3"/>
  <c r="X903" i="3"/>
  <c r="W903" i="3"/>
  <c r="X902" i="3"/>
  <c r="W902" i="3"/>
  <c r="X901" i="3"/>
  <c r="W901" i="3"/>
  <c r="X900" i="3"/>
  <c r="W900" i="3"/>
  <c r="X899" i="3"/>
  <c r="W899" i="3"/>
  <c r="X898" i="3"/>
  <c r="W898" i="3"/>
  <c r="X897" i="3"/>
  <c r="W897" i="3"/>
  <c r="X896" i="3"/>
  <c r="W896" i="3"/>
  <c r="X895" i="3"/>
  <c r="W895" i="3"/>
  <c r="X894" i="3"/>
  <c r="W894" i="3"/>
  <c r="X893" i="3"/>
  <c r="W893" i="3"/>
  <c r="X892" i="3"/>
  <c r="W892" i="3"/>
  <c r="X891" i="3"/>
  <c r="W891" i="3"/>
  <c r="X890" i="3"/>
  <c r="W890" i="3"/>
  <c r="X889" i="3"/>
  <c r="W889" i="3"/>
  <c r="X888" i="3"/>
  <c r="W888" i="3"/>
  <c r="X887" i="3"/>
  <c r="W887" i="3"/>
  <c r="X886" i="3"/>
  <c r="W886" i="3"/>
  <c r="X885" i="3"/>
  <c r="W885" i="3"/>
  <c r="X884" i="3"/>
  <c r="W884" i="3"/>
  <c r="X883" i="3"/>
  <c r="W883" i="3"/>
  <c r="X882" i="3"/>
  <c r="W882" i="3"/>
  <c r="X881" i="3"/>
  <c r="W881" i="3"/>
  <c r="X880" i="3"/>
  <c r="W880" i="3"/>
  <c r="X879" i="3"/>
  <c r="W879" i="3"/>
  <c r="X878" i="3"/>
  <c r="W878" i="3"/>
  <c r="X877" i="3"/>
  <c r="W877" i="3"/>
  <c r="X876" i="3"/>
  <c r="W876" i="3"/>
  <c r="X875" i="3"/>
  <c r="W875" i="3"/>
  <c r="X874" i="3"/>
  <c r="W874" i="3"/>
  <c r="X873" i="3"/>
  <c r="W873" i="3"/>
  <c r="X872" i="3"/>
  <c r="W872" i="3"/>
  <c r="X871" i="3"/>
  <c r="W871" i="3"/>
  <c r="X870" i="3"/>
  <c r="W870" i="3"/>
  <c r="X869" i="3"/>
  <c r="W869" i="3"/>
  <c r="X868" i="3"/>
  <c r="W868" i="3"/>
  <c r="X867" i="3"/>
  <c r="W867" i="3"/>
  <c r="X866" i="3"/>
  <c r="W866" i="3"/>
  <c r="X865" i="3"/>
  <c r="W865" i="3"/>
  <c r="X864" i="3"/>
  <c r="W864" i="3"/>
  <c r="X863" i="3"/>
  <c r="W863" i="3"/>
  <c r="X862" i="3"/>
  <c r="W862" i="3"/>
  <c r="X861" i="3"/>
  <c r="W861" i="3"/>
  <c r="X860" i="3"/>
  <c r="W860" i="3"/>
  <c r="X859" i="3"/>
  <c r="W859" i="3"/>
  <c r="X858" i="3"/>
  <c r="W858" i="3"/>
  <c r="X857" i="3"/>
  <c r="W857" i="3"/>
  <c r="X856" i="3"/>
  <c r="W856" i="3"/>
  <c r="X855" i="3"/>
  <c r="W855" i="3"/>
  <c r="X854" i="3"/>
  <c r="W854" i="3"/>
  <c r="X853" i="3"/>
  <c r="W853" i="3"/>
  <c r="X852" i="3"/>
  <c r="W852" i="3"/>
  <c r="X851" i="3"/>
  <c r="W851" i="3"/>
  <c r="X850" i="3"/>
  <c r="W850" i="3"/>
  <c r="X849" i="3"/>
  <c r="W849" i="3"/>
  <c r="X848" i="3"/>
  <c r="W848" i="3"/>
  <c r="X847" i="3"/>
  <c r="W847" i="3"/>
  <c r="X846" i="3"/>
  <c r="W846" i="3"/>
  <c r="X845" i="3"/>
  <c r="W845" i="3"/>
  <c r="X844" i="3"/>
  <c r="W844" i="3"/>
  <c r="X843" i="3"/>
  <c r="W843" i="3"/>
  <c r="X842" i="3"/>
  <c r="W842" i="3"/>
  <c r="X841" i="3"/>
  <c r="W841" i="3"/>
  <c r="X840" i="3"/>
  <c r="W840" i="3"/>
  <c r="X839" i="3"/>
  <c r="W839" i="3"/>
  <c r="X838" i="3"/>
  <c r="W838" i="3"/>
  <c r="X837" i="3"/>
  <c r="W837" i="3"/>
  <c r="X836" i="3"/>
  <c r="W836" i="3"/>
  <c r="X835" i="3"/>
  <c r="W835" i="3"/>
  <c r="X834" i="3"/>
  <c r="W834" i="3"/>
  <c r="X833" i="3"/>
  <c r="W833" i="3"/>
  <c r="X832" i="3"/>
  <c r="W832" i="3"/>
  <c r="X831" i="3"/>
  <c r="W831" i="3"/>
  <c r="X830" i="3"/>
  <c r="W830" i="3"/>
  <c r="X829" i="3"/>
  <c r="W829" i="3"/>
  <c r="X828" i="3"/>
  <c r="W828" i="3"/>
  <c r="X827" i="3"/>
  <c r="W827" i="3"/>
  <c r="X826" i="3"/>
  <c r="W826" i="3"/>
  <c r="X825" i="3"/>
  <c r="W825" i="3"/>
  <c r="X824" i="3"/>
  <c r="W824" i="3"/>
  <c r="X823" i="3"/>
  <c r="W823" i="3"/>
  <c r="X822" i="3"/>
  <c r="W822" i="3"/>
  <c r="X821" i="3"/>
  <c r="W821" i="3"/>
  <c r="X820" i="3"/>
  <c r="W820" i="3"/>
  <c r="X819" i="3"/>
  <c r="W819" i="3"/>
  <c r="X818" i="3"/>
  <c r="W818" i="3"/>
  <c r="X817" i="3"/>
  <c r="W817" i="3"/>
  <c r="X816" i="3"/>
  <c r="W816" i="3"/>
  <c r="X815" i="3"/>
  <c r="W815" i="3"/>
  <c r="X814" i="3"/>
  <c r="W814" i="3"/>
  <c r="X813" i="3"/>
  <c r="W813" i="3"/>
  <c r="X812" i="3"/>
  <c r="W812" i="3"/>
  <c r="X811" i="3"/>
  <c r="W811" i="3"/>
  <c r="X810" i="3"/>
  <c r="W810" i="3"/>
  <c r="X809" i="3"/>
  <c r="W809" i="3"/>
  <c r="X808" i="3"/>
  <c r="W808" i="3"/>
  <c r="X807" i="3"/>
  <c r="W807" i="3"/>
  <c r="X806" i="3"/>
  <c r="W806" i="3"/>
  <c r="X805" i="3"/>
  <c r="W805" i="3"/>
  <c r="X804" i="3"/>
  <c r="W804" i="3"/>
  <c r="X803" i="3"/>
  <c r="W803" i="3"/>
  <c r="X802" i="3"/>
  <c r="W802" i="3"/>
  <c r="X801" i="3"/>
  <c r="W801" i="3"/>
  <c r="X800" i="3"/>
  <c r="W800" i="3"/>
  <c r="X799" i="3"/>
  <c r="W799" i="3"/>
  <c r="X798" i="3"/>
  <c r="W798" i="3"/>
  <c r="X797" i="3"/>
  <c r="W797" i="3"/>
  <c r="X796" i="3"/>
  <c r="W796" i="3"/>
  <c r="X795" i="3"/>
  <c r="W795" i="3"/>
  <c r="X794" i="3"/>
  <c r="W794" i="3"/>
  <c r="X793" i="3"/>
  <c r="W793" i="3"/>
  <c r="X792" i="3"/>
  <c r="W792" i="3"/>
  <c r="X791" i="3"/>
  <c r="W791" i="3"/>
  <c r="X790" i="3"/>
  <c r="W790" i="3"/>
  <c r="X789" i="3"/>
  <c r="W789" i="3"/>
  <c r="X788" i="3"/>
  <c r="W788" i="3"/>
  <c r="X787" i="3"/>
  <c r="W787" i="3"/>
  <c r="X786" i="3"/>
  <c r="W786" i="3"/>
  <c r="X785" i="3"/>
  <c r="W785" i="3"/>
  <c r="X784" i="3"/>
  <c r="W784" i="3"/>
  <c r="X783" i="3"/>
  <c r="W783" i="3"/>
  <c r="X782" i="3"/>
  <c r="W782" i="3"/>
  <c r="X781" i="3"/>
  <c r="W781" i="3"/>
  <c r="X780" i="3"/>
  <c r="W780" i="3"/>
  <c r="X779" i="3"/>
  <c r="W779" i="3"/>
  <c r="X778" i="3"/>
  <c r="W778" i="3"/>
  <c r="X777" i="3"/>
  <c r="W777" i="3"/>
  <c r="X776" i="3"/>
  <c r="W776" i="3"/>
  <c r="X775" i="3"/>
  <c r="W775" i="3"/>
  <c r="X774" i="3"/>
  <c r="W774" i="3"/>
  <c r="X773" i="3"/>
  <c r="W773" i="3"/>
  <c r="X772" i="3"/>
  <c r="W772" i="3"/>
  <c r="X771" i="3"/>
  <c r="W771" i="3"/>
  <c r="X770" i="3"/>
  <c r="W770" i="3"/>
  <c r="X769" i="3"/>
  <c r="W769" i="3"/>
  <c r="X768" i="3"/>
  <c r="W768" i="3"/>
  <c r="X767" i="3"/>
  <c r="W767" i="3"/>
  <c r="X766" i="3"/>
  <c r="W766" i="3"/>
  <c r="X765" i="3"/>
  <c r="W765" i="3"/>
  <c r="X764" i="3"/>
  <c r="W764" i="3"/>
  <c r="X763" i="3"/>
  <c r="W763" i="3"/>
  <c r="X762" i="3"/>
  <c r="W762" i="3"/>
  <c r="X761" i="3"/>
  <c r="W761" i="3"/>
  <c r="X760" i="3"/>
  <c r="W760" i="3"/>
  <c r="X759" i="3"/>
  <c r="W759" i="3"/>
  <c r="X758" i="3"/>
  <c r="W758" i="3"/>
  <c r="X757" i="3"/>
  <c r="W757" i="3"/>
  <c r="X756" i="3"/>
  <c r="W756" i="3"/>
  <c r="X755" i="3"/>
  <c r="W755" i="3"/>
  <c r="X754" i="3"/>
  <c r="W754" i="3"/>
  <c r="X753" i="3"/>
  <c r="W753" i="3"/>
  <c r="X752" i="3"/>
  <c r="W752" i="3"/>
  <c r="X751" i="3"/>
  <c r="W751" i="3"/>
  <c r="X750" i="3"/>
  <c r="W750" i="3"/>
  <c r="X749" i="3"/>
  <c r="W749" i="3"/>
  <c r="X748" i="3"/>
  <c r="W748" i="3"/>
  <c r="X747" i="3"/>
  <c r="W747" i="3"/>
  <c r="X746" i="3"/>
  <c r="W746" i="3"/>
  <c r="X745" i="3"/>
  <c r="W745" i="3"/>
  <c r="X744" i="3"/>
  <c r="W744" i="3"/>
  <c r="X743" i="3"/>
  <c r="W743" i="3"/>
  <c r="X742" i="3"/>
  <c r="W742" i="3"/>
  <c r="X741" i="3"/>
  <c r="W741" i="3"/>
  <c r="X740" i="3"/>
  <c r="W740" i="3"/>
  <c r="X739" i="3"/>
  <c r="W739" i="3"/>
  <c r="X738" i="3"/>
  <c r="W738" i="3"/>
  <c r="X737" i="3"/>
  <c r="W737" i="3"/>
  <c r="X736" i="3"/>
  <c r="W736" i="3"/>
  <c r="X735" i="3"/>
  <c r="W735" i="3"/>
  <c r="X734" i="3"/>
  <c r="W734" i="3"/>
  <c r="X733" i="3"/>
  <c r="W733" i="3"/>
  <c r="X732" i="3"/>
  <c r="W732" i="3"/>
  <c r="X731" i="3"/>
  <c r="W731" i="3"/>
  <c r="X730" i="3"/>
  <c r="W730" i="3"/>
  <c r="X729" i="3"/>
  <c r="W729" i="3"/>
  <c r="X728" i="3"/>
  <c r="W728" i="3"/>
  <c r="X727" i="3"/>
  <c r="W727" i="3"/>
  <c r="X726" i="3"/>
  <c r="W726" i="3"/>
  <c r="X725" i="3"/>
  <c r="W725" i="3"/>
  <c r="X724" i="3"/>
  <c r="W724" i="3"/>
  <c r="X723" i="3"/>
  <c r="W723" i="3"/>
  <c r="X722" i="3"/>
  <c r="W722" i="3"/>
  <c r="X721" i="3"/>
  <c r="W721" i="3"/>
  <c r="X720" i="3"/>
  <c r="W720" i="3"/>
  <c r="X719" i="3"/>
  <c r="W719" i="3"/>
  <c r="X718" i="3"/>
  <c r="W718" i="3"/>
  <c r="X717" i="3"/>
  <c r="W717" i="3"/>
  <c r="X716" i="3"/>
  <c r="W716" i="3"/>
  <c r="X715" i="3"/>
  <c r="W715" i="3"/>
  <c r="X714" i="3"/>
  <c r="W714" i="3"/>
  <c r="X713" i="3"/>
  <c r="W713" i="3"/>
  <c r="X712" i="3"/>
  <c r="W712" i="3"/>
  <c r="X711" i="3"/>
  <c r="W711" i="3"/>
  <c r="X710" i="3"/>
  <c r="W710" i="3"/>
  <c r="X709" i="3"/>
  <c r="W709" i="3"/>
  <c r="X708" i="3"/>
  <c r="W708" i="3"/>
  <c r="X707" i="3"/>
  <c r="W707" i="3"/>
  <c r="X706" i="3"/>
  <c r="W706" i="3"/>
  <c r="X705" i="3"/>
  <c r="W705" i="3"/>
  <c r="X704" i="3"/>
  <c r="W704" i="3"/>
  <c r="X703" i="3"/>
  <c r="W703" i="3"/>
  <c r="X702" i="3"/>
  <c r="W702" i="3"/>
  <c r="X701" i="3"/>
  <c r="W701" i="3"/>
  <c r="X700" i="3"/>
  <c r="W700" i="3"/>
  <c r="X699" i="3"/>
  <c r="W699" i="3"/>
  <c r="X698" i="3"/>
  <c r="W698" i="3"/>
  <c r="X697" i="3"/>
  <c r="W697" i="3"/>
  <c r="X696" i="3"/>
  <c r="W696" i="3"/>
  <c r="X695" i="3"/>
  <c r="W695" i="3"/>
  <c r="X694" i="3"/>
  <c r="W694" i="3"/>
  <c r="X693" i="3"/>
  <c r="W693" i="3"/>
  <c r="X692" i="3"/>
  <c r="W692" i="3"/>
  <c r="X691" i="3"/>
  <c r="W691" i="3"/>
  <c r="X690" i="3"/>
  <c r="W690" i="3"/>
  <c r="X689" i="3"/>
  <c r="W689" i="3"/>
  <c r="X688" i="3"/>
  <c r="W688" i="3"/>
  <c r="X687" i="3"/>
  <c r="W687" i="3"/>
  <c r="X686" i="3"/>
  <c r="W686" i="3"/>
  <c r="X685" i="3"/>
  <c r="W685" i="3"/>
  <c r="X684" i="3"/>
  <c r="W684" i="3"/>
  <c r="X683" i="3"/>
  <c r="W683" i="3"/>
  <c r="X682" i="3"/>
  <c r="W682" i="3"/>
  <c r="X681" i="3"/>
  <c r="W681" i="3"/>
  <c r="X680" i="3"/>
  <c r="W680" i="3"/>
  <c r="X679" i="3"/>
  <c r="W679" i="3"/>
  <c r="X678" i="3"/>
  <c r="W678" i="3"/>
  <c r="X677" i="3"/>
  <c r="W677" i="3"/>
  <c r="X676" i="3"/>
  <c r="W676" i="3"/>
  <c r="X675" i="3"/>
  <c r="W675" i="3"/>
  <c r="X674" i="3"/>
  <c r="W674" i="3"/>
  <c r="X673" i="3"/>
  <c r="W673" i="3"/>
  <c r="X672" i="3"/>
  <c r="W672" i="3"/>
  <c r="X671" i="3"/>
  <c r="W671" i="3"/>
  <c r="X670" i="3"/>
  <c r="W670" i="3"/>
  <c r="X669" i="3"/>
  <c r="W669" i="3"/>
  <c r="X668" i="3"/>
  <c r="W668" i="3"/>
  <c r="X667" i="3"/>
  <c r="W667" i="3"/>
  <c r="X666" i="3"/>
  <c r="W666" i="3"/>
  <c r="X665" i="3"/>
  <c r="W665" i="3"/>
  <c r="X664" i="3"/>
  <c r="W664" i="3"/>
  <c r="X663" i="3"/>
  <c r="W663" i="3"/>
  <c r="X662" i="3"/>
  <c r="W662" i="3"/>
  <c r="X661" i="3"/>
  <c r="W661" i="3"/>
  <c r="X660" i="3"/>
  <c r="W660" i="3"/>
  <c r="X659" i="3"/>
  <c r="W659" i="3"/>
  <c r="X658" i="3"/>
  <c r="W658" i="3"/>
  <c r="X657" i="3"/>
  <c r="W657" i="3"/>
  <c r="X656" i="3"/>
  <c r="W656" i="3"/>
  <c r="X655" i="3"/>
  <c r="W655" i="3"/>
  <c r="X654" i="3"/>
  <c r="W654" i="3"/>
  <c r="X653" i="3"/>
  <c r="W653" i="3"/>
  <c r="X652" i="3"/>
  <c r="W652" i="3"/>
  <c r="X651" i="3"/>
  <c r="W651" i="3"/>
  <c r="X650" i="3"/>
  <c r="W650" i="3"/>
  <c r="X649" i="3"/>
  <c r="W649" i="3"/>
  <c r="X648" i="3"/>
  <c r="W648" i="3"/>
  <c r="X647" i="3"/>
  <c r="W647" i="3"/>
  <c r="X646" i="3"/>
  <c r="W646" i="3"/>
  <c r="X645" i="3"/>
  <c r="W645" i="3"/>
  <c r="X644" i="3"/>
  <c r="W644" i="3"/>
  <c r="X643" i="3"/>
  <c r="W643" i="3"/>
  <c r="X642" i="3"/>
  <c r="W642" i="3"/>
  <c r="X641" i="3"/>
  <c r="W641" i="3"/>
  <c r="X640" i="3"/>
  <c r="W640" i="3"/>
  <c r="X639" i="3"/>
  <c r="W639" i="3"/>
  <c r="X638" i="3"/>
  <c r="W638" i="3"/>
  <c r="X637" i="3"/>
  <c r="W637" i="3"/>
  <c r="X636" i="3"/>
  <c r="W636" i="3"/>
  <c r="X635" i="3"/>
  <c r="W635" i="3"/>
  <c r="X634" i="3"/>
  <c r="W634" i="3"/>
  <c r="X633" i="3"/>
  <c r="W633" i="3"/>
  <c r="X632" i="3"/>
  <c r="W632" i="3"/>
  <c r="X631" i="3"/>
  <c r="W631" i="3"/>
  <c r="X630" i="3"/>
  <c r="W630" i="3"/>
  <c r="X629" i="3"/>
  <c r="W629" i="3"/>
  <c r="X628" i="3"/>
  <c r="W628" i="3"/>
  <c r="X627" i="3"/>
  <c r="W627" i="3"/>
  <c r="X626" i="3"/>
  <c r="W626" i="3"/>
  <c r="X625" i="3"/>
  <c r="W625" i="3"/>
  <c r="X624" i="3"/>
  <c r="W624" i="3"/>
  <c r="X623" i="3"/>
  <c r="W623" i="3"/>
  <c r="X622" i="3"/>
  <c r="W622" i="3"/>
  <c r="X621" i="3"/>
  <c r="W621" i="3"/>
  <c r="X620" i="3"/>
  <c r="W620" i="3"/>
  <c r="X619" i="3"/>
  <c r="W619" i="3"/>
  <c r="X618" i="3"/>
  <c r="W618" i="3"/>
  <c r="X617" i="3"/>
  <c r="W617" i="3"/>
  <c r="X616" i="3"/>
  <c r="W616" i="3"/>
  <c r="X615" i="3"/>
  <c r="W615" i="3"/>
  <c r="X614" i="3"/>
  <c r="W614" i="3"/>
  <c r="X613" i="3"/>
  <c r="W613" i="3"/>
  <c r="X612" i="3"/>
  <c r="W612" i="3"/>
  <c r="X611" i="3"/>
  <c r="W611" i="3"/>
  <c r="X610" i="3"/>
  <c r="W610" i="3"/>
  <c r="X609" i="3"/>
  <c r="W609" i="3"/>
  <c r="X608" i="3"/>
  <c r="W608" i="3"/>
  <c r="X607" i="3"/>
  <c r="W607" i="3"/>
  <c r="X606" i="3"/>
  <c r="W606" i="3"/>
  <c r="X605" i="3"/>
  <c r="W605" i="3"/>
  <c r="X604" i="3"/>
  <c r="W604" i="3"/>
  <c r="X603" i="3"/>
  <c r="W603" i="3"/>
  <c r="X602" i="3"/>
  <c r="W602" i="3"/>
  <c r="X601" i="3"/>
  <c r="W601" i="3"/>
  <c r="X600" i="3"/>
  <c r="W600" i="3"/>
  <c r="X599" i="3"/>
  <c r="W599" i="3"/>
  <c r="X598" i="3"/>
  <c r="W598" i="3"/>
  <c r="X597" i="3"/>
  <c r="W597" i="3"/>
  <c r="X596" i="3"/>
  <c r="W596" i="3"/>
  <c r="X595" i="3"/>
  <c r="W595" i="3"/>
  <c r="X594" i="3"/>
  <c r="W594" i="3"/>
  <c r="X593" i="3"/>
  <c r="W593" i="3"/>
  <c r="X592" i="3"/>
  <c r="W592" i="3"/>
  <c r="X591" i="3"/>
  <c r="W591" i="3"/>
  <c r="X590" i="3"/>
  <c r="W590" i="3"/>
  <c r="X589" i="3"/>
  <c r="W589" i="3"/>
  <c r="X588" i="3"/>
  <c r="W588" i="3"/>
  <c r="X587" i="3"/>
  <c r="W587" i="3"/>
  <c r="X586" i="3"/>
  <c r="W586" i="3"/>
  <c r="X585" i="3"/>
  <c r="W585" i="3"/>
  <c r="X584" i="3"/>
  <c r="W584" i="3"/>
  <c r="X583" i="3"/>
  <c r="W583" i="3"/>
  <c r="X582" i="3"/>
  <c r="W582" i="3"/>
  <c r="X581" i="3"/>
  <c r="W581" i="3"/>
  <c r="X580" i="3"/>
  <c r="W580" i="3"/>
  <c r="X579" i="3"/>
  <c r="W579" i="3"/>
  <c r="X578" i="3"/>
  <c r="W578" i="3"/>
  <c r="X577" i="3"/>
  <c r="W577" i="3"/>
  <c r="X576" i="3"/>
  <c r="W576" i="3"/>
  <c r="X575" i="3"/>
  <c r="W575" i="3"/>
  <c r="X574" i="3"/>
  <c r="W574" i="3"/>
  <c r="X573" i="3"/>
  <c r="W573" i="3"/>
  <c r="X572" i="3"/>
  <c r="W572" i="3"/>
  <c r="X571" i="3"/>
  <c r="W571" i="3"/>
  <c r="X570" i="3"/>
  <c r="W570" i="3"/>
  <c r="X569" i="3"/>
  <c r="W569" i="3"/>
  <c r="X568" i="3"/>
  <c r="W568" i="3"/>
  <c r="X567" i="3"/>
  <c r="W567" i="3"/>
  <c r="X566" i="3"/>
  <c r="W566" i="3"/>
  <c r="X565" i="3"/>
  <c r="W565" i="3"/>
  <c r="X564" i="3"/>
  <c r="W564" i="3"/>
  <c r="X563" i="3"/>
  <c r="W563" i="3"/>
  <c r="X562" i="3"/>
  <c r="W562" i="3"/>
  <c r="X561" i="3"/>
  <c r="W561" i="3"/>
  <c r="X560" i="3"/>
  <c r="W560" i="3"/>
  <c r="X559" i="3"/>
  <c r="W559" i="3"/>
  <c r="X558" i="3"/>
  <c r="W558" i="3"/>
  <c r="X557" i="3"/>
  <c r="W557" i="3"/>
  <c r="X556" i="3"/>
  <c r="W556" i="3"/>
  <c r="X555" i="3"/>
  <c r="W555" i="3"/>
  <c r="X554" i="3"/>
  <c r="W554" i="3"/>
  <c r="X553" i="3"/>
  <c r="W553" i="3"/>
  <c r="X552" i="3"/>
  <c r="W552" i="3"/>
  <c r="X551" i="3"/>
  <c r="W551" i="3"/>
  <c r="X550" i="3"/>
  <c r="W550" i="3"/>
  <c r="X549" i="3"/>
  <c r="W549" i="3"/>
  <c r="X548" i="3"/>
  <c r="W548" i="3"/>
  <c r="X547" i="3"/>
  <c r="W547" i="3"/>
  <c r="X546" i="3"/>
  <c r="W546" i="3"/>
  <c r="X545" i="3"/>
  <c r="W545" i="3"/>
  <c r="X544" i="3"/>
  <c r="W544" i="3"/>
  <c r="X543" i="3"/>
  <c r="W543" i="3"/>
  <c r="X542" i="3"/>
  <c r="W542" i="3"/>
  <c r="X541" i="3"/>
  <c r="W541" i="3"/>
  <c r="X540" i="3"/>
  <c r="W540" i="3"/>
  <c r="X539" i="3"/>
  <c r="W539" i="3"/>
  <c r="X538" i="3"/>
  <c r="W538" i="3"/>
  <c r="X537" i="3"/>
  <c r="W537" i="3"/>
  <c r="X536" i="3"/>
  <c r="W536" i="3"/>
  <c r="X535" i="3"/>
  <c r="W535" i="3"/>
  <c r="X534" i="3"/>
  <c r="W534" i="3"/>
  <c r="X533" i="3"/>
  <c r="W533" i="3"/>
  <c r="X532" i="3"/>
  <c r="W532" i="3"/>
  <c r="X531" i="3"/>
  <c r="W531" i="3"/>
  <c r="X530" i="3"/>
  <c r="W530" i="3"/>
  <c r="X529" i="3"/>
  <c r="W529" i="3"/>
  <c r="X528" i="3"/>
  <c r="W528" i="3"/>
  <c r="X527" i="3"/>
  <c r="W527" i="3"/>
  <c r="X526" i="3"/>
  <c r="W526" i="3"/>
  <c r="X525" i="3"/>
  <c r="W525" i="3"/>
  <c r="X524" i="3"/>
  <c r="W524" i="3"/>
  <c r="X523" i="3"/>
  <c r="W523" i="3"/>
  <c r="X522" i="3"/>
  <c r="W522" i="3"/>
  <c r="X521" i="3"/>
  <c r="W521" i="3"/>
  <c r="X520" i="3"/>
  <c r="W520" i="3"/>
  <c r="X519" i="3"/>
  <c r="W519" i="3"/>
  <c r="X518" i="3"/>
  <c r="W518" i="3"/>
  <c r="X517" i="3"/>
  <c r="W517" i="3"/>
  <c r="X516" i="3"/>
  <c r="W516" i="3"/>
  <c r="X515" i="3"/>
  <c r="W515" i="3"/>
  <c r="X514" i="3"/>
  <c r="W514" i="3"/>
  <c r="X513" i="3"/>
  <c r="W513" i="3"/>
  <c r="X512" i="3"/>
  <c r="W512" i="3"/>
  <c r="X511" i="3"/>
  <c r="W511" i="3"/>
  <c r="X510" i="3"/>
  <c r="W510" i="3"/>
  <c r="X509" i="3"/>
  <c r="W509" i="3"/>
  <c r="X508" i="3"/>
  <c r="W508" i="3"/>
  <c r="X507" i="3"/>
  <c r="W507" i="3"/>
  <c r="X506" i="3"/>
  <c r="W506" i="3"/>
  <c r="X505" i="3"/>
  <c r="W505" i="3"/>
  <c r="X504" i="3"/>
  <c r="W504" i="3"/>
  <c r="X503" i="3"/>
  <c r="W503" i="3"/>
  <c r="X502" i="3"/>
  <c r="W502" i="3"/>
  <c r="X501" i="3"/>
  <c r="W501" i="3"/>
  <c r="X500" i="3"/>
  <c r="W500" i="3"/>
  <c r="X499" i="3"/>
  <c r="W499" i="3"/>
  <c r="X498" i="3"/>
  <c r="W498" i="3"/>
  <c r="X497" i="3"/>
  <c r="W497" i="3"/>
  <c r="X496" i="3"/>
  <c r="W496" i="3"/>
  <c r="X495" i="3"/>
  <c r="W495" i="3"/>
  <c r="X494" i="3"/>
  <c r="W494" i="3"/>
  <c r="X493" i="3"/>
  <c r="W493" i="3"/>
  <c r="X492" i="3"/>
  <c r="W492" i="3"/>
  <c r="X491" i="3"/>
  <c r="W491" i="3"/>
  <c r="X490" i="3"/>
  <c r="W490" i="3"/>
  <c r="X489" i="3"/>
  <c r="W489" i="3"/>
  <c r="X488" i="3"/>
  <c r="W488" i="3"/>
  <c r="X487" i="3"/>
  <c r="W487" i="3"/>
  <c r="X486" i="3"/>
  <c r="W486" i="3"/>
  <c r="X485" i="3"/>
  <c r="W485" i="3"/>
  <c r="X484" i="3"/>
  <c r="W484" i="3"/>
  <c r="X483" i="3"/>
  <c r="W483" i="3"/>
  <c r="X482" i="3"/>
  <c r="W482" i="3"/>
  <c r="X481" i="3"/>
  <c r="W481" i="3"/>
  <c r="X480" i="3"/>
  <c r="W480" i="3"/>
  <c r="X479" i="3"/>
  <c r="W479" i="3"/>
  <c r="X478" i="3"/>
  <c r="W478" i="3"/>
  <c r="X477" i="3"/>
  <c r="W477" i="3"/>
  <c r="X476" i="3"/>
  <c r="W476" i="3"/>
  <c r="X475" i="3"/>
  <c r="W475" i="3"/>
  <c r="X474" i="3"/>
  <c r="W474" i="3"/>
  <c r="X473" i="3"/>
  <c r="W473" i="3"/>
  <c r="X472" i="3"/>
  <c r="W472" i="3"/>
  <c r="X471" i="3"/>
  <c r="W471" i="3"/>
  <c r="X470" i="3"/>
  <c r="W470" i="3"/>
  <c r="X469" i="3"/>
  <c r="W469" i="3"/>
  <c r="X468" i="3"/>
  <c r="W468" i="3"/>
  <c r="X467" i="3"/>
  <c r="W467" i="3"/>
  <c r="X466" i="3"/>
  <c r="W466" i="3"/>
  <c r="X465" i="3"/>
  <c r="W465" i="3"/>
  <c r="X464" i="3"/>
  <c r="W464" i="3"/>
  <c r="X463" i="3"/>
  <c r="W463" i="3"/>
  <c r="X462" i="3"/>
  <c r="W462" i="3"/>
  <c r="X461" i="3"/>
  <c r="W461" i="3"/>
  <c r="X460" i="3"/>
  <c r="W460" i="3"/>
  <c r="X459" i="3"/>
  <c r="W459" i="3"/>
  <c r="X458" i="3"/>
  <c r="W458" i="3"/>
  <c r="X457" i="3"/>
  <c r="W457" i="3"/>
  <c r="X456" i="3"/>
  <c r="W456" i="3"/>
  <c r="X455" i="3"/>
  <c r="W455" i="3"/>
  <c r="X454" i="3"/>
  <c r="W454" i="3"/>
  <c r="X453" i="3"/>
  <c r="W453" i="3"/>
  <c r="X452" i="3"/>
  <c r="W452" i="3"/>
  <c r="X451" i="3"/>
  <c r="W451" i="3"/>
  <c r="X450" i="3"/>
  <c r="W450" i="3"/>
  <c r="X449" i="3"/>
  <c r="W449" i="3"/>
  <c r="X448" i="3"/>
  <c r="W448" i="3"/>
  <c r="X447" i="3"/>
  <c r="W447" i="3"/>
  <c r="X446" i="3"/>
  <c r="W446" i="3"/>
  <c r="X445" i="3"/>
  <c r="W445" i="3"/>
  <c r="X444" i="3"/>
  <c r="W444" i="3"/>
  <c r="X443" i="3"/>
  <c r="W443" i="3"/>
  <c r="X442" i="3"/>
  <c r="W442" i="3"/>
  <c r="X441" i="3"/>
  <c r="W441" i="3"/>
  <c r="X440" i="3"/>
  <c r="W440" i="3"/>
  <c r="X439" i="3"/>
  <c r="W439" i="3"/>
  <c r="X438" i="3"/>
  <c r="W438" i="3"/>
  <c r="X437" i="3"/>
  <c r="W437" i="3"/>
  <c r="X436" i="3"/>
  <c r="W436" i="3"/>
  <c r="X435" i="3"/>
  <c r="W435" i="3"/>
  <c r="X434" i="3"/>
  <c r="W434" i="3"/>
  <c r="X433" i="3"/>
  <c r="W433" i="3"/>
  <c r="X432" i="3"/>
  <c r="W432" i="3"/>
  <c r="X431" i="3"/>
  <c r="W431" i="3"/>
  <c r="X430" i="3"/>
  <c r="W430" i="3"/>
  <c r="X429" i="3"/>
  <c r="W429" i="3"/>
  <c r="X428" i="3"/>
  <c r="W428" i="3"/>
  <c r="X427" i="3"/>
  <c r="W427" i="3"/>
  <c r="X426" i="3"/>
  <c r="W426" i="3"/>
  <c r="X425" i="3"/>
  <c r="W425" i="3"/>
  <c r="X424" i="3"/>
  <c r="W424" i="3"/>
  <c r="X423" i="3"/>
  <c r="W423" i="3"/>
  <c r="X422" i="3"/>
  <c r="W422" i="3"/>
  <c r="X421" i="3"/>
  <c r="W421" i="3"/>
  <c r="X420" i="3"/>
  <c r="W420" i="3"/>
  <c r="X419" i="3"/>
  <c r="W419" i="3"/>
  <c r="X418" i="3"/>
  <c r="W418" i="3"/>
  <c r="X417" i="3"/>
  <c r="W417" i="3"/>
  <c r="X416" i="3"/>
  <c r="W416" i="3"/>
  <c r="X415" i="3"/>
  <c r="W415" i="3"/>
  <c r="X414" i="3"/>
  <c r="W414" i="3"/>
  <c r="X413" i="3"/>
  <c r="W413" i="3"/>
  <c r="X412" i="3"/>
  <c r="W412" i="3"/>
  <c r="X411" i="3"/>
  <c r="W411" i="3"/>
  <c r="X410" i="3"/>
  <c r="W410" i="3"/>
  <c r="X409" i="3"/>
  <c r="W409" i="3"/>
  <c r="X408" i="3"/>
  <c r="W408" i="3"/>
  <c r="X407" i="3"/>
  <c r="W407" i="3"/>
  <c r="X406" i="3"/>
  <c r="W406" i="3"/>
  <c r="X405" i="3"/>
  <c r="W405" i="3"/>
  <c r="X404" i="3"/>
  <c r="W404" i="3"/>
  <c r="X403" i="3"/>
  <c r="W403" i="3"/>
  <c r="X402" i="3"/>
  <c r="W402" i="3"/>
  <c r="X401" i="3"/>
  <c r="W401" i="3"/>
  <c r="X400" i="3"/>
  <c r="W400" i="3"/>
  <c r="X399" i="3"/>
  <c r="W399" i="3"/>
  <c r="X398" i="3"/>
  <c r="W398" i="3"/>
  <c r="X397" i="3"/>
  <c r="W397" i="3"/>
  <c r="X396" i="3"/>
  <c r="W396" i="3"/>
  <c r="X395" i="3"/>
  <c r="W395" i="3"/>
  <c r="X394" i="3"/>
  <c r="W394" i="3"/>
  <c r="X393" i="3"/>
  <c r="W393" i="3"/>
  <c r="X392" i="3"/>
  <c r="W392" i="3"/>
  <c r="X391" i="3"/>
  <c r="W391" i="3"/>
  <c r="X390" i="3"/>
  <c r="W390" i="3"/>
  <c r="X389" i="3"/>
  <c r="W389" i="3"/>
  <c r="X388" i="3"/>
  <c r="W388" i="3"/>
  <c r="X387" i="3"/>
  <c r="W387" i="3"/>
  <c r="X386" i="3"/>
  <c r="W386" i="3"/>
  <c r="X385" i="3"/>
  <c r="W385" i="3"/>
  <c r="X384" i="3"/>
  <c r="W384" i="3"/>
  <c r="X383" i="3"/>
  <c r="W383" i="3"/>
  <c r="X382" i="3"/>
  <c r="W382" i="3"/>
  <c r="X381" i="3"/>
  <c r="W381" i="3"/>
  <c r="X380" i="3"/>
  <c r="W380" i="3"/>
  <c r="X379" i="3"/>
  <c r="W379" i="3"/>
  <c r="X378" i="3"/>
  <c r="W378" i="3"/>
  <c r="X377" i="3"/>
  <c r="W377" i="3"/>
  <c r="X376" i="3"/>
  <c r="W376" i="3"/>
  <c r="X375" i="3"/>
  <c r="W375" i="3"/>
  <c r="X374" i="3"/>
  <c r="W374" i="3"/>
  <c r="X373" i="3"/>
  <c r="W373" i="3"/>
  <c r="X372" i="3"/>
  <c r="W372" i="3"/>
  <c r="X371" i="3"/>
  <c r="W371" i="3"/>
  <c r="X370" i="3"/>
  <c r="W370" i="3"/>
  <c r="X369" i="3"/>
  <c r="W369" i="3"/>
  <c r="X368" i="3"/>
  <c r="W368" i="3"/>
  <c r="X367" i="3"/>
  <c r="W367" i="3"/>
  <c r="X366" i="3"/>
  <c r="W366" i="3"/>
  <c r="X365" i="3"/>
  <c r="W365" i="3"/>
  <c r="X364" i="3"/>
  <c r="W364" i="3"/>
  <c r="X363" i="3"/>
  <c r="W363" i="3"/>
  <c r="X362" i="3"/>
  <c r="W362" i="3"/>
  <c r="X361" i="3"/>
  <c r="W361" i="3"/>
  <c r="X360" i="3"/>
  <c r="W360" i="3"/>
  <c r="X359" i="3"/>
  <c r="W359" i="3"/>
  <c r="X358" i="3"/>
  <c r="W358" i="3"/>
  <c r="X357" i="3"/>
  <c r="W357" i="3"/>
  <c r="X356" i="3"/>
  <c r="W356" i="3"/>
  <c r="X355" i="3"/>
  <c r="W355" i="3"/>
  <c r="X354" i="3"/>
  <c r="W354" i="3"/>
  <c r="X353" i="3"/>
  <c r="W353" i="3"/>
  <c r="X352" i="3"/>
  <c r="W352" i="3"/>
  <c r="X351" i="3"/>
  <c r="W351" i="3"/>
  <c r="X350" i="3"/>
  <c r="W350" i="3"/>
  <c r="X349" i="3"/>
  <c r="W349" i="3"/>
  <c r="X348" i="3"/>
  <c r="W348" i="3"/>
  <c r="X347" i="3"/>
  <c r="W347" i="3"/>
  <c r="X346" i="3"/>
  <c r="W346" i="3"/>
  <c r="X345" i="3"/>
  <c r="W345" i="3"/>
  <c r="X344" i="3"/>
  <c r="W344" i="3"/>
  <c r="X343" i="3"/>
  <c r="W343" i="3"/>
  <c r="X342" i="3"/>
  <c r="W342" i="3"/>
  <c r="X341" i="3"/>
  <c r="W341" i="3"/>
  <c r="X340" i="3"/>
  <c r="W340" i="3"/>
  <c r="X339" i="3"/>
  <c r="W339" i="3"/>
  <c r="X338" i="3"/>
  <c r="W338" i="3"/>
  <c r="X337" i="3"/>
  <c r="W337" i="3"/>
  <c r="X336" i="3"/>
  <c r="W336" i="3"/>
  <c r="X335" i="3"/>
  <c r="W335" i="3"/>
  <c r="X334" i="3"/>
  <c r="W334" i="3"/>
  <c r="X333" i="3"/>
  <c r="W333" i="3"/>
  <c r="X332" i="3"/>
  <c r="W332" i="3"/>
  <c r="X331" i="3"/>
  <c r="W331" i="3"/>
  <c r="X330" i="3"/>
  <c r="W330" i="3"/>
  <c r="X329" i="3"/>
  <c r="W329" i="3"/>
  <c r="X328" i="3"/>
  <c r="W328" i="3"/>
  <c r="X327" i="3"/>
  <c r="W327" i="3"/>
  <c r="X326" i="3"/>
  <c r="W326" i="3"/>
  <c r="X325" i="3"/>
  <c r="W325" i="3"/>
  <c r="X324" i="3"/>
  <c r="W324" i="3"/>
  <c r="X323" i="3"/>
  <c r="W323" i="3"/>
  <c r="X322" i="3"/>
  <c r="W322" i="3"/>
  <c r="X321" i="3"/>
  <c r="W321" i="3"/>
  <c r="X320" i="3"/>
  <c r="W320" i="3"/>
  <c r="X319" i="3"/>
  <c r="W319" i="3"/>
  <c r="X318" i="3"/>
  <c r="W318" i="3"/>
  <c r="X317" i="3"/>
  <c r="W317" i="3"/>
  <c r="X316" i="3"/>
  <c r="W316" i="3"/>
  <c r="X315" i="3"/>
  <c r="W315" i="3"/>
  <c r="X314" i="3"/>
  <c r="W314" i="3"/>
  <c r="X313" i="3"/>
  <c r="W313" i="3"/>
  <c r="X312" i="3"/>
  <c r="W312" i="3"/>
  <c r="X311" i="3"/>
  <c r="W311" i="3"/>
  <c r="X310" i="3"/>
  <c r="W310" i="3"/>
  <c r="X309" i="3"/>
  <c r="W309" i="3"/>
  <c r="X308" i="3"/>
  <c r="W308" i="3"/>
  <c r="X307" i="3"/>
  <c r="W307" i="3"/>
  <c r="X306" i="3"/>
  <c r="W306" i="3"/>
  <c r="X305" i="3"/>
  <c r="W305" i="3"/>
  <c r="X304" i="3"/>
  <c r="W304" i="3"/>
  <c r="X303" i="3"/>
  <c r="W303" i="3"/>
  <c r="X302" i="3"/>
  <c r="W302" i="3"/>
  <c r="X301" i="3"/>
  <c r="W301" i="3"/>
  <c r="X300" i="3"/>
  <c r="W300" i="3"/>
  <c r="X299" i="3"/>
  <c r="W299" i="3"/>
  <c r="X298" i="3"/>
  <c r="W298" i="3"/>
  <c r="X297" i="3"/>
  <c r="W297" i="3"/>
  <c r="X296" i="3"/>
  <c r="W296" i="3"/>
  <c r="X295" i="3"/>
  <c r="W295" i="3"/>
  <c r="X294" i="3"/>
  <c r="W294" i="3"/>
  <c r="X293" i="3"/>
  <c r="W293" i="3"/>
  <c r="X292" i="3"/>
  <c r="W292" i="3"/>
  <c r="X291" i="3"/>
  <c r="W291" i="3"/>
  <c r="X290" i="3"/>
  <c r="W290" i="3"/>
  <c r="X289" i="3"/>
  <c r="W289" i="3"/>
  <c r="X288" i="3"/>
  <c r="W288" i="3"/>
  <c r="X287" i="3"/>
  <c r="W287" i="3"/>
  <c r="X286" i="3"/>
  <c r="W286" i="3"/>
  <c r="X285" i="3"/>
  <c r="W285" i="3"/>
  <c r="X284" i="3"/>
  <c r="W284" i="3"/>
  <c r="X283" i="3"/>
  <c r="W283" i="3"/>
  <c r="X282" i="3"/>
  <c r="W282" i="3"/>
  <c r="X281" i="3"/>
  <c r="W281" i="3"/>
  <c r="X280" i="3"/>
  <c r="W280" i="3"/>
  <c r="X279" i="3"/>
  <c r="W279" i="3"/>
  <c r="X278" i="3"/>
  <c r="W278" i="3"/>
  <c r="X277" i="3"/>
  <c r="W277" i="3"/>
  <c r="X276" i="3"/>
  <c r="W276" i="3"/>
  <c r="X275" i="3"/>
  <c r="W275" i="3"/>
  <c r="X274" i="3"/>
  <c r="W274" i="3"/>
  <c r="X273" i="3"/>
  <c r="W273" i="3"/>
  <c r="X272" i="3"/>
  <c r="W272" i="3"/>
  <c r="X271" i="3"/>
  <c r="W271" i="3"/>
  <c r="X270" i="3"/>
  <c r="W270" i="3"/>
  <c r="X269" i="3"/>
  <c r="W269" i="3"/>
  <c r="X268" i="3"/>
  <c r="W268" i="3"/>
  <c r="X267" i="3"/>
  <c r="W267" i="3"/>
  <c r="X266" i="3"/>
  <c r="W266" i="3"/>
  <c r="X265" i="3"/>
  <c r="W265" i="3"/>
  <c r="X264" i="3"/>
  <c r="W264" i="3"/>
  <c r="X263" i="3"/>
  <c r="W263" i="3"/>
  <c r="X262" i="3"/>
  <c r="W262" i="3"/>
  <c r="X261" i="3"/>
  <c r="W261" i="3"/>
  <c r="X260" i="3"/>
  <c r="W260" i="3"/>
  <c r="X259" i="3"/>
  <c r="W259" i="3"/>
  <c r="X258" i="3"/>
  <c r="W258" i="3"/>
  <c r="X257" i="3"/>
  <c r="W257" i="3"/>
  <c r="X256" i="3"/>
  <c r="W256" i="3"/>
  <c r="X255" i="3"/>
  <c r="W255" i="3"/>
  <c r="X254" i="3"/>
  <c r="W254" i="3"/>
  <c r="X253" i="3"/>
  <c r="W253" i="3"/>
  <c r="X252" i="3"/>
  <c r="W252" i="3"/>
  <c r="X251" i="3"/>
  <c r="W251" i="3"/>
  <c r="X250" i="3"/>
  <c r="W250" i="3"/>
  <c r="X249" i="3"/>
  <c r="W249" i="3"/>
  <c r="X248" i="3"/>
  <c r="W248" i="3"/>
  <c r="X247" i="3"/>
  <c r="W247" i="3"/>
  <c r="X246" i="3"/>
  <c r="W246" i="3"/>
  <c r="X245" i="3"/>
  <c r="W245" i="3"/>
  <c r="X244" i="3"/>
  <c r="W244" i="3"/>
  <c r="X243" i="3"/>
  <c r="W243" i="3"/>
  <c r="X242" i="3"/>
  <c r="W242" i="3"/>
  <c r="X241" i="3"/>
  <c r="W241" i="3"/>
  <c r="X240" i="3"/>
  <c r="W240" i="3"/>
  <c r="X239" i="3"/>
  <c r="W239" i="3"/>
  <c r="X238" i="3"/>
  <c r="W238" i="3"/>
  <c r="X237" i="3"/>
  <c r="W237" i="3"/>
  <c r="X236" i="3"/>
  <c r="W236" i="3"/>
  <c r="X235" i="3"/>
  <c r="W235" i="3"/>
  <c r="X234" i="3"/>
  <c r="W234" i="3"/>
  <c r="X233" i="3"/>
  <c r="W233" i="3"/>
  <c r="X232" i="3"/>
  <c r="W232" i="3"/>
  <c r="X231" i="3"/>
  <c r="W231" i="3"/>
  <c r="X230" i="3"/>
  <c r="W230" i="3"/>
  <c r="X229" i="3"/>
  <c r="W229" i="3"/>
  <c r="X228" i="3"/>
  <c r="W228" i="3"/>
  <c r="X227" i="3"/>
  <c r="W227" i="3"/>
  <c r="X226" i="3"/>
  <c r="W226" i="3"/>
  <c r="X225" i="3"/>
  <c r="W225" i="3"/>
  <c r="X224" i="3"/>
  <c r="W224" i="3"/>
  <c r="X223" i="3"/>
  <c r="W223" i="3"/>
  <c r="X222" i="3"/>
  <c r="W222" i="3"/>
  <c r="X221" i="3"/>
  <c r="W221" i="3"/>
  <c r="X220" i="3"/>
  <c r="W220" i="3"/>
  <c r="X219" i="3"/>
  <c r="W219" i="3"/>
  <c r="X218" i="3"/>
  <c r="W218" i="3"/>
  <c r="X217" i="3"/>
  <c r="W217" i="3"/>
  <c r="X216" i="3"/>
  <c r="W216" i="3"/>
  <c r="X215" i="3"/>
  <c r="W215" i="3"/>
  <c r="X214" i="3"/>
  <c r="W214" i="3"/>
  <c r="X213" i="3"/>
  <c r="W213" i="3"/>
  <c r="X212" i="3"/>
  <c r="W212" i="3"/>
  <c r="X211" i="3"/>
  <c r="W211" i="3"/>
  <c r="X210" i="3"/>
  <c r="W210" i="3"/>
  <c r="X209" i="3"/>
  <c r="W209" i="3"/>
  <c r="X208" i="3"/>
  <c r="W208" i="3"/>
  <c r="X207" i="3"/>
  <c r="W207" i="3"/>
  <c r="X206" i="3"/>
  <c r="W206" i="3"/>
  <c r="X205" i="3"/>
  <c r="W205" i="3"/>
  <c r="X204" i="3"/>
  <c r="W204" i="3"/>
  <c r="X203" i="3"/>
  <c r="W203" i="3"/>
  <c r="X202" i="3"/>
  <c r="W202" i="3"/>
  <c r="X201" i="3"/>
  <c r="W201" i="3"/>
  <c r="X200" i="3"/>
  <c r="W200" i="3"/>
  <c r="X199" i="3"/>
  <c r="W199" i="3"/>
  <c r="X198" i="3"/>
  <c r="W198" i="3"/>
  <c r="X197" i="3"/>
  <c r="W197" i="3"/>
  <c r="X196" i="3"/>
  <c r="W196" i="3"/>
  <c r="X195" i="3"/>
  <c r="W195" i="3"/>
  <c r="X194" i="3"/>
  <c r="W194" i="3"/>
  <c r="X193" i="3"/>
  <c r="W193" i="3"/>
  <c r="X192" i="3"/>
  <c r="W192" i="3"/>
  <c r="X191" i="3"/>
  <c r="W191" i="3"/>
  <c r="X190" i="3"/>
  <c r="W190" i="3"/>
  <c r="X189" i="3"/>
  <c r="W189" i="3"/>
  <c r="X188" i="3"/>
  <c r="W188" i="3"/>
  <c r="X187" i="3"/>
  <c r="W187" i="3"/>
  <c r="X186" i="3"/>
  <c r="W186" i="3"/>
  <c r="X185" i="3"/>
  <c r="W185" i="3"/>
  <c r="X184" i="3"/>
  <c r="W184" i="3"/>
  <c r="X183" i="3"/>
  <c r="W183" i="3"/>
  <c r="X182" i="3"/>
  <c r="W182" i="3"/>
  <c r="X181" i="3"/>
  <c r="W181" i="3"/>
  <c r="X180" i="3"/>
  <c r="W180" i="3"/>
  <c r="X179" i="3"/>
  <c r="W179" i="3"/>
  <c r="X178" i="3"/>
  <c r="W178" i="3"/>
  <c r="X177" i="3"/>
  <c r="W177" i="3"/>
  <c r="X176" i="3"/>
  <c r="W176" i="3"/>
  <c r="X175" i="3"/>
  <c r="W175" i="3"/>
  <c r="X174" i="3"/>
  <c r="W174" i="3"/>
  <c r="X173" i="3"/>
  <c r="W173" i="3"/>
  <c r="X172" i="3"/>
  <c r="W172" i="3"/>
  <c r="X171" i="3"/>
  <c r="W171" i="3"/>
  <c r="X170" i="3"/>
  <c r="W170" i="3"/>
  <c r="X169" i="3"/>
  <c r="W169" i="3"/>
  <c r="X168" i="3"/>
  <c r="W168" i="3"/>
  <c r="X167" i="3"/>
  <c r="W167" i="3"/>
  <c r="X166" i="3"/>
  <c r="W166" i="3"/>
  <c r="X165" i="3"/>
  <c r="W165" i="3"/>
  <c r="X164" i="3"/>
  <c r="W164" i="3"/>
  <c r="X163" i="3"/>
  <c r="W163" i="3"/>
  <c r="X162" i="3"/>
  <c r="W162" i="3"/>
  <c r="X161" i="3"/>
  <c r="W161" i="3"/>
  <c r="X160" i="3"/>
  <c r="W160" i="3"/>
  <c r="X159" i="3"/>
  <c r="W159" i="3"/>
  <c r="X158" i="3"/>
  <c r="W158" i="3"/>
  <c r="X157" i="3"/>
  <c r="W157" i="3"/>
  <c r="X156" i="3"/>
  <c r="W156" i="3"/>
  <c r="X155" i="3"/>
  <c r="W155" i="3"/>
  <c r="X154" i="3"/>
  <c r="W154" i="3"/>
  <c r="X153" i="3"/>
  <c r="W153" i="3"/>
  <c r="X152" i="3"/>
  <c r="W152" i="3"/>
  <c r="X151" i="3"/>
  <c r="W151" i="3"/>
  <c r="X150" i="3"/>
  <c r="W150" i="3"/>
  <c r="X149" i="3"/>
  <c r="W149" i="3"/>
  <c r="X148" i="3"/>
  <c r="W148" i="3"/>
  <c r="X147" i="3"/>
  <c r="W147" i="3"/>
  <c r="X146" i="3"/>
  <c r="W146" i="3"/>
  <c r="X145" i="3"/>
  <c r="W145" i="3"/>
  <c r="X144" i="3"/>
  <c r="W144" i="3"/>
  <c r="X143" i="3"/>
  <c r="W143" i="3"/>
  <c r="X142" i="3"/>
  <c r="W142" i="3"/>
  <c r="X141" i="3"/>
  <c r="W141" i="3"/>
  <c r="X140" i="3"/>
  <c r="W140" i="3"/>
  <c r="X139" i="3"/>
  <c r="W139" i="3"/>
  <c r="X138" i="3"/>
  <c r="W138" i="3"/>
  <c r="X137" i="3"/>
  <c r="W137" i="3"/>
  <c r="X136" i="3"/>
  <c r="W136" i="3"/>
  <c r="X135" i="3"/>
  <c r="W135" i="3"/>
  <c r="X134" i="3"/>
  <c r="W134" i="3"/>
  <c r="X133" i="3"/>
  <c r="W133" i="3"/>
  <c r="X132" i="3"/>
  <c r="W132" i="3"/>
  <c r="X131" i="3"/>
  <c r="W131" i="3"/>
  <c r="X130" i="3"/>
  <c r="W130" i="3"/>
  <c r="X129" i="3"/>
  <c r="W129" i="3"/>
  <c r="X128" i="3"/>
  <c r="W128" i="3"/>
  <c r="X127" i="3"/>
  <c r="W127" i="3"/>
  <c r="X126" i="3"/>
  <c r="W126" i="3"/>
  <c r="X125" i="3"/>
  <c r="W125" i="3"/>
  <c r="X124" i="3"/>
  <c r="W124" i="3"/>
  <c r="X123" i="3"/>
  <c r="W123" i="3"/>
  <c r="X122" i="3"/>
  <c r="W122" i="3"/>
  <c r="X121" i="3"/>
  <c r="W121" i="3"/>
  <c r="X120" i="3"/>
  <c r="W120" i="3"/>
  <c r="X119" i="3"/>
  <c r="W119" i="3"/>
  <c r="X118" i="3"/>
  <c r="W118" i="3"/>
  <c r="X117" i="3"/>
  <c r="W117" i="3"/>
  <c r="X116" i="3"/>
  <c r="W116" i="3"/>
  <c r="X115" i="3"/>
  <c r="W115" i="3"/>
  <c r="X114" i="3"/>
  <c r="W114" i="3"/>
  <c r="X113" i="3"/>
  <c r="W113" i="3"/>
  <c r="X112" i="3"/>
  <c r="W112" i="3"/>
  <c r="X111" i="3"/>
  <c r="W111" i="3"/>
  <c r="X110" i="3"/>
  <c r="W110" i="3"/>
  <c r="X109" i="3"/>
  <c r="W109" i="3"/>
  <c r="X108" i="3"/>
  <c r="W108" i="3"/>
  <c r="X107" i="3"/>
  <c r="W107" i="3"/>
  <c r="X106" i="3"/>
  <c r="W106" i="3"/>
  <c r="X105" i="3"/>
  <c r="W105" i="3"/>
  <c r="X104" i="3"/>
  <c r="W104" i="3"/>
  <c r="X103" i="3"/>
  <c r="W103" i="3"/>
  <c r="X102" i="3"/>
  <c r="W102" i="3"/>
  <c r="X101" i="3"/>
  <c r="W101" i="3"/>
  <c r="X100" i="3"/>
  <c r="W100" i="3"/>
  <c r="X99" i="3"/>
  <c r="W99" i="3"/>
  <c r="X98" i="3"/>
  <c r="W98" i="3"/>
  <c r="X97" i="3"/>
  <c r="W97" i="3"/>
  <c r="X96" i="3"/>
  <c r="W96" i="3"/>
  <c r="X95" i="3"/>
  <c r="W95" i="3"/>
  <c r="X94" i="3"/>
  <c r="W94" i="3"/>
  <c r="X93" i="3"/>
  <c r="W93" i="3"/>
  <c r="X92" i="3"/>
  <c r="W92" i="3"/>
  <c r="X91" i="3"/>
  <c r="W91" i="3"/>
  <c r="X90" i="3"/>
  <c r="W90" i="3"/>
  <c r="X89" i="3"/>
  <c r="W89" i="3"/>
  <c r="X88" i="3"/>
  <c r="W88" i="3"/>
  <c r="X87" i="3"/>
  <c r="W87" i="3"/>
  <c r="X86" i="3"/>
  <c r="W86" i="3"/>
  <c r="X85" i="3"/>
  <c r="W85" i="3"/>
  <c r="X84" i="3"/>
  <c r="W84" i="3"/>
  <c r="X83" i="3"/>
  <c r="W83" i="3"/>
  <c r="X82" i="3"/>
  <c r="W82" i="3"/>
  <c r="X81" i="3"/>
  <c r="W81" i="3"/>
  <c r="X80" i="3"/>
  <c r="W80" i="3"/>
  <c r="X79" i="3"/>
  <c r="W79" i="3"/>
  <c r="X78" i="3"/>
  <c r="W78" i="3"/>
  <c r="X77" i="3"/>
  <c r="W77" i="3"/>
  <c r="X76" i="3"/>
  <c r="W76" i="3"/>
  <c r="X75" i="3"/>
  <c r="W75" i="3"/>
  <c r="X74" i="3"/>
  <c r="W74" i="3"/>
  <c r="X73" i="3"/>
  <c r="W73" i="3"/>
  <c r="X72" i="3"/>
  <c r="W72" i="3"/>
  <c r="X71" i="3"/>
  <c r="W71" i="3"/>
  <c r="X70" i="3"/>
  <c r="W70" i="3"/>
  <c r="X69" i="3"/>
  <c r="W69" i="3"/>
  <c r="X68" i="3"/>
  <c r="W68" i="3"/>
  <c r="X67" i="3"/>
  <c r="W67" i="3"/>
  <c r="X66" i="3"/>
  <c r="W66" i="3"/>
  <c r="X65" i="3"/>
  <c r="W65" i="3"/>
  <c r="X64" i="3"/>
  <c r="W64" i="3"/>
  <c r="X63" i="3"/>
  <c r="W63" i="3"/>
  <c r="X62" i="3"/>
  <c r="W62" i="3"/>
  <c r="X61" i="3"/>
  <c r="W61" i="3"/>
  <c r="X60" i="3"/>
  <c r="W60" i="3"/>
  <c r="X59" i="3"/>
  <c r="W59" i="3"/>
  <c r="X58" i="3"/>
  <c r="W58" i="3"/>
  <c r="X57" i="3"/>
  <c r="W57" i="3"/>
  <c r="X56" i="3"/>
  <c r="W56" i="3"/>
  <c r="X55" i="3"/>
  <c r="W55" i="3"/>
  <c r="X54" i="3"/>
  <c r="W54" i="3"/>
  <c r="X53" i="3"/>
  <c r="W53" i="3"/>
  <c r="X52" i="3"/>
  <c r="W52" i="3"/>
  <c r="X51" i="3"/>
  <c r="W51" i="3"/>
  <c r="X50" i="3"/>
  <c r="W50" i="3"/>
  <c r="X49" i="3"/>
  <c r="W49" i="3"/>
  <c r="X48" i="3"/>
  <c r="W48" i="3"/>
  <c r="X47" i="3"/>
  <c r="W47" i="3"/>
  <c r="X46" i="3"/>
  <c r="W46" i="3"/>
  <c r="X45" i="3"/>
  <c r="W45" i="3"/>
  <c r="X44" i="3"/>
  <c r="W44" i="3"/>
  <c r="X43" i="3"/>
  <c r="W43" i="3"/>
  <c r="X42" i="3"/>
  <c r="W42" i="3"/>
  <c r="X41" i="3"/>
  <c r="W41" i="3"/>
  <c r="X40" i="3"/>
  <c r="W40" i="3"/>
  <c r="X39" i="3"/>
  <c r="W39" i="3"/>
  <c r="X38" i="3"/>
  <c r="W38" i="3"/>
  <c r="X37" i="3"/>
  <c r="W37" i="3"/>
  <c r="X36" i="3"/>
  <c r="W36" i="3"/>
  <c r="X35" i="3"/>
  <c r="W35" i="3"/>
  <c r="X34" i="3"/>
  <c r="W34" i="3"/>
  <c r="X33" i="3"/>
  <c r="W33" i="3"/>
  <c r="X32" i="3"/>
  <c r="W32" i="3"/>
  <c r="X31" i="3"/>
  <c r="W31" i="3"/>
  <c r="X30" i="3"/>
  <c r="W30" i="3"/>
  <c r="X29" i="3"/>
  <c r="W29" i="3"/>
  <c r="X28" i="3"/>
  <c r="W28" i="3"/>
  <c r="X27" i="3"/>
  <c r="W27" i="3"/>
  <c r="X26" i="3"/>
  <c r="W26" i="3"/>
  <c r="X25" i="3"/>
  <c r="W25" i="3"/>
  <c r="X24" i="3"/>
  <c r="W24" i="3"/>
  <c r="X23" i="3"/>
  <c r="W23" i="3"/>
  <c r="X22" i="3"/>
  <c r="W22" i="3"/>
  <c r="X21" i="3"/>
  <c r="W21" i="3"/>
  <c r="X20" i="3"/>
  <c r="W20" i="3"/>
  <c r="X19" i="3"/>
  <c r="W19" i="3"/>
  <c r="X18" i="3"/>
  <c r="W18" i="3"/>
  <c r="X17" i="3"/>
  <c r="W17" i="3"/>
  <c r="X16" i="3"/>
  <c r="W16" i="3"/>
  <c r="X15" i="3"/>
  <c r="W15" i="3"/>
  <c r="X14" i="3"/>
  <c r="W14" i="3"/>
  <c r="X13" i="3"/>
  <c r="W13" i="3"/>
  <c r="X12" i="3"/>
  <c r="W12" i="3"/>
  <c r="X11" i="3"/>
  <c r="W11" i="3"/>
  <c r="X10" i="3"/>
  <c r="W10" i="3"/>
  <c r="X9" i="3"/>
  <c r="W9" i="3"/>
  <c r="X8" i="3"/>
  <c r="W8" i="3"/>
  <c r="X7" i="3"/>
  <c r="W7" i="3"/>
  <c r="X6" i="3"/>
  <c r="W6" i="3"/>
  <c r="X5" i="3"/>
  <c r="W5" i="3"/>
  <c r="X4" i="3"/>
  <c r="W4" i="3"/>
  <c r="X3" i="3"/>
  <c r="W3" i="3"/>
  <c r="X2" i="3"/>
  <c r="W2" i="3"/>
  <c r="J34" i="1"/>
  <c r="J66" i="1"/>
  <c r="J98" i="1"/>
  <c r="J130" i="1"/>
  <c r="J162" i="1"/>
  <c r="J194" i="1"/>
  <c r="J226" i="1"/>
  <c r="J258" i="1"/>
  <c r="J290" i="1"/>
  <c r="J322" i="1"/>
  <c r="J345" i="1"/>
  <c r="J346" i="1"/>
  <c r="J361" i="1"/>
  <c r="J362" i="1"/>
  <c r="J377" i="1"/>
  <c r="J378" i="1"/>
  <c r="J393" i="1"/>
  <c r="J394" i="1"/>
  <c r="J409" i="1"/>
  <c r="J410" i="1"/>
  <c r="J425" i="1"/>
  <c r="J426" i="1"/>
  <c r="J441" i="1"/>
  <c r="J442" i="1"/>
  <c r="J457" i="1"/>
  <c r="J458" i="1"/>
  <c r="J473" i="1"/>
  <c r="J474" i="1"/>
  <c r="J489" i="1"/>
  <c r="J490" i="1"/>
  <c r="J505" i="1"/>
  <c r="J513" i="1"/>
  <c r="J514" i="1"/>
  <c r="J521" i="1"/>
  <c r="J522" i="1"/>
  <c r="J529" i="1"/>
  <c r="J530" i="1"/>
  <c r="J537" i="1"/>
  <c r="J538" i="1"/>
  <c r="J545" i="1"/>
  <c r="J546" i="1"/>
  <c r="J553" i="1"/>
  <c r="J554" i="1"/>
  <c r="J561" i="1"/>
  <c r="J562" i="1"/>
  <c r="J569" i="1"/>
  <c r="J570" i="1"/>
  <c r="J577" i="1"/>
  <c r="J578" i="1"/>
  <c r="J585" i="1"/>
  <c r="J586" i="1"/>
  <c r="J593" i="1"/>
  <c r="J594" i="1"/>
  <c r="J601" i="1"/>
  <c r="J602" i="1"/>
  <c r="J609" i="1"/>
  <c r="J610" i="1"/>
  <c r="J617" i="1"/>
  <c r="J618" i="1"/>
  <c r="J625" i="1"/>
  <c r="J626" i="1"/>
  <c r="J633" i="1"/>
  <c r="J634" i="1"/>
  <c r="J641" i="1"/>
  <c r="J642" i="1"/>
  <c r="J649" i="1"/>
  <c r="J650" i="1"/>
  <c r="J657" i="1"/>
  <c r="J658" i="1"/>
  <c r="J665" i="1"/>
  <c r="J666" i="1"/>
  <c r="J673" i="1"/>
  <c r="J674" i="1"/>
  <c r="I2" i="1"/>
  <c r="J2" i="1" s="1"/>
  <c r="I3" i="1"/>
  <c r="J3" i="1" s="1"/>
  <c r="I4" i="1"/>
  <c r="J4" i="1" s="1"/>
  <c r="I5" i="1"/>
  <c r="J5" i="1" s="1"/>
  <c r="I6" i="1"/>
  <c r="J6" i="1" s="1"/>
  <c r="I7" i="1"/>
  <c r="J7" i="1" s="1"/>
  <c r="I8" i="1"/>
  <c r="J8" i="1" s="1"/>
  <c r="I9" i="1"/>
  <c r="J9" i="1" s="1"/>
  <c r="I10" i="1"/>
  <c r="J1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J32" i="1" s="1"/>
  <c r="I33" i="1"/>
  <c r="J33" i="1" s="1"/>
  <c r="I34" i="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J56" i="1" s="1"/>
  <c r="I57" i="1"/>
  <c r="J57" i="1" s="1"/>
  <c r="I58" i="1"/>
  <c r="J58" i="1" s="1"/>
  <c r="I59" i="1"/>
  <c r="J59" i="1" s="1"/>
  <c r="I60" i="1"/>
  <c r="J60" i="1" s="1"/>
  <c r="I61" i="1"/>
  <c r="J61" i="1" s="1"/>
  <c r="I62" i="1"/>
  <c r="J62" i="1" s="1"/>
  <c r="I63" i="1"/>
  <c r="J63" i="1" s="1"/>
  <c r="I64" i="1"/>
  <c r="J64" i="1" s="1"/>
  <c r="I65" i="1"/>
  <c r="J65" i="1" s="1"/>
  <c r="I66" i="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J96" i="1" s="1"/>
  <c r="I97" i="1"/>
  <c r="J97" i="1" s="1"/>
  <c r="I98" i="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J128" i="1" s="1"/>
  <c r="I129" i="1"/>
  <c r="J129" i="1" s="1"/>
  <c r="I130" i="1"/>
  <c r="I131" i="1"/>
  <c r="J131" i="1" s="1"/>
  <c r="I132" i="1"/>
  <c r="J132" i="1" s="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J144" i="1" s="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J161" i="1" s="1"/>
  <c r="I162" i="1"/>
  <c r="I163" i="1"/>
  <c r="J163" i="1" s="1"/>
  <c r="I164" i="1"/>
  <c r="J164" i="1" s="1"/>
  <c r="I165" i="1"/>
  <c r="J165" i="1" s="1"/>
  <c r="I166" i="1"/>
  <c r="J166" i="1" s="1"/>
  <c r="I167" i="1"/>
  <c r="J167" i="1" s="1"/>
  <c r="I168" i="1"/>
  <c r="J168" i="1" s="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 r="I182" i="1"/>
  <c r="J182" i="1" s="1"/>
  <c r="I183" i="1"/>
  <c r="J183" i="1" s="1"/>
  <c r="I184" i="1"/>
  <c r="J184" i="1" s="1"/>
  <c r="I185" i="1"/>
  <c r="J185" i="1" s="1"/>
  <c r="I186" i="1"/>
  <c r="J186" i="1" s="1"/>
  <c r="I187" i="1"/>
  <c r="J187" i="1" s="1"/>
  <c r="I188" i="1"/>
  <c r="J188" i="1" s="1"/>
  <c r="I189" i="1"/>
  <c r="J189" i="1" s="1"/>
  <c r="I190" i="1"/>
  <c r="J190" i="1" s="1"/>
  <c r="I191" i="1"/>
  <c r="J191" i="1" s="1"/>
  <c r="I192" i="1"/>
  <c r="J192" i="1" s="1"/>
  <c r="I193" i="1"/>
  <c r="J193" i="1" s="1"/>
  <c r="I194" i="1"/>
  <c r="I195" i="1"/>
  <c r="J195" i="1" s="1"/>
  <c r="I196" i="1"/>
  <c r="J196" i="1" s="1"/>
  <c r="I197" i="1"/>
  <c r="J197" i="1" s="1"/>
  <c r="I198" i="1"/>
  <c r="J198" i="1" s="1"/>
  <c r="I199" i="1"/>
  <c r="J199" i="1" s="1"/>
  <c r="I200" i="1"/>
  <c r="J200" i="1" s="1"/>
  <c r="I201" i="1"/>
  <c r="J201" i="1" s="1"/>
  <c r="I202" i="1"/>
  <c r="J202" i="1" s="1"/>
  <c r="I203" i="1"/>
  <c r="J203" i="1" s="1"/>
  <c r="I204" i="1"/>
  <c r="J204" i="1" s="1"/>
  <c r="I205" i="1"/>
  <c r="J205" i="1" s="1"/>
  <c r="I206" i="1"/>
  <c r="J206" i="1" s="1"/>
  <c r="I207" i="1"/>
  <c r="J207" i="1" s="1"/>
  <c r="I208" i="1"/>
  <c r="J208" i="1" s="1"/>
  <c r="I209" i="1"/>
  <c r="J209" i="1" s="1"/>
  <c r="I210" i="1"/>
  <c r="J210" i="1" s="1"/>
  <c r="I211" i="1"/>
  <c r="J211" i="1" s="1"/>
  <c r="I212" i="1"/>
  <c r="J212" i="1" s="1"/>
  <c r="I213" i="1"/>
  <c r="J213" i="1" s="1"/>
  <c r="I214" i="1"/>
  <c r="J214" i="1" s="1"/>
  <c r="I215" i="1"/>
  <c r="J215" i="1" s="1"/>
  <c r="I216" i="1"/>
  <c r="J216" i="1" s="1"/>
  <c r="I217" i="1"/>
  <c r="J217" i="1" s="1"/>
  <c r="I218" i="1"/>
  <c r="J218" i="1" s="1"/>
  <c r="I219" i="1"/>
  <c r="J219" i="1" s="1"/>
  <c r="I220" i="1"/>
  <c r="J220" i="1" s="1"/>
  <c r="I221" i="1"/>
  <c r="J221" i="1" s="1"/>
  <c r="I222" i="1"/>
  <c r="J222" i="1" s="1"/>
  <c r="I223" i="1"/>
  <c r="J223" i="1" s="1"/>
  <c r="I224" i="1"/>
  <c r="J224" i="1" s="1"/>
  <c r="I225" i="1"/>
  <c r="J225" i="1" s="1"/>
  <c r="I226" i="1"/>
  <c r="I227" i="1"/>
  <c r="J227" i="1" s="1"/>
  <c r="I228" i="1"/>
  <c r="J228" i="1" s="1"/>
  <c r="I229" i="1"/>
  <c r="J229" i="1" s="1"/>
  <c r="I230" i="1"/>
  <c r="J230" i="1" s="1"/>
  <c r="I231" i="1"/>
  <c r="J231" i="1" s="1"/>
  <c r="I232" i="1"/>
  <c r="J232" i="1" s="1"/>
  <c r="I233" i="1"/>
  <c r="J233" i="1" s="1"/>
  <c r="I234" i="1"/>
  <c r="J234" i="1" s="1"/>
  <c r="I235" i="1"/>
  <c r="J235" i="1" s="1"/>
  <c r="I236" i="1"/>
  <c r="J236" i="1" s="1"/>
  <c r="I237" i="1"/>
  <c r="J237" i="1" s="1"/>
  <c r="I238" i="1"/>
  <c r="J238" i="1" s="1"/>
  <c r="I239" i="1"/>
  <c r="J239" i="1" s="1"/>
  <c r="I240" i="1"/>
  <c r="J240" i="1" s="1"/>
  <c r="I241" i="1"/>
  <c r="J241" i="1" s="1"/>
  <c r="I242" i="1"/>
  <c r="J242" i="1" s="1"/>
  <c r="I243" i="1"/>
  <c r="J243" i="1" s="1"/>
  <c r="I244" i="1"/>
  <c r="J244" i="1" s="1"/>
  <c r="I245" i="1"/>
  <c r="J245" i="1" s="1"/>
  <c r="I246" i="1"/>
  <c r="J246" i="1" s="1"/>
  <c r="I247" i="1"/>
  <c r="J247" i="1" s="1"/>
  <c r="I248" i="1"/>
  <c r="J248" i="1" s="1"/>
  <c r="I249" i="1"/>
  <c r="J249" i="1" s="1"/>
  <c r="I250" i="1"/>
  <c r="J250" i="1" s="1"/>
  <c r="I251" i="1"/>
  <c r="J251" i="1" s="1"/>
  <c r="I252" i="1"/>
  <c r="J252" i="1" s="1"/>
  <c r="I253" i="1"/>
  <c r="J253" i="1" s="1"/>
  <c r="I254" i="1"/>
  <c r="J254" i="1" s="1"/>
  <c r="I255" i="1"/>
  <c r="J255" i="1" s="1"/>
  <c r="I256" i="1"/>
  <c r="J256" i="1" s="1"/>
  <c r="I257" i="1"/>
  <c r="J257" i="1" s="1"/>
  <c r="I258" i="1"/>
  <c r="I259" i="1"/>
  <c r="J259" i="1" s="1"/>
  <c r="I260" i="1"/>
  <c r="J260" i="1" s="1"/>
  <c r="I261" i="1"/>
  <c r="J261" i="1" s="1"/>
  <c r="I262" i="1"/>
  <c r="J262" i="1" s="1"/>
  <c r="I263" i="1"/>
  <c r="J263" i="1" s="1"/>
  <c r="I264" i="1"/>
  <c r="J264" i="1" s="1"/>
  <c r="I265" i="1"/>
  <c r="J265" i="1" s="1"/>
  <c r="I266" i="1"/>
  <c r="J266" i="1" s="1"/>
  <c r="I267" i="1"/>
  <c r="J267" i="1" s="1"/>
  <c r="I268" i="1"/>
  <c r="J268" i="1" s="1"/>
  <c r="I269" i="1"/>
  <c r="J269" i="1" s="1"/>
  <c r="I270" i="1"/>
  <c r="J270" i="1" s="1"/>
  <c r="I271" i="1"/>
  <c r="J271" i="1" s="1"/>
  <c r="I272" i="1"/>
  <c r="J272" i="1" s="1"/>
  <c r="I273" i="1"/>
  <c r="J273" i="1" s="1"/>
  <c r="I274" i="1"/>
  <c r="J274" i="1" s="1"/>
  <c r="I275" i="1"/>
  <c r="J275" i="1" s="1"/>
  <c r="I276" i="1"/>
  <c r="J276" i="1" s="1"/>
  <c r="I277" i="1"/>
  <c r="J277" i="1" s="1"/>
  <c r="I278" i="1"/>
  <c r="J278" i="1" s="1"/>
  <c r="I279" i="1"/>
  <c r="J279" i="1" s="1"/>
  <c r="I280" i="1"/>
  <c r="J280" i="1" s="1"/>
  <c r="I281" i="1"/>
  <c r="J281" i="1" s="1"/>
  <c r="I282" i="1"/>
  <c r="J282" i="1" s="1"/>
  <c r="I283" i="1"/>
  <c r="J283" i="1" s="1"/>
  <c r="I284" i="1"/>
  <c r="J284" i="1" s="1"/>
  <c r="I285" i="1"/>
  <c r="J285" i="1" s="1"/>
  <c r="I286" i="1"/>
  <c r="J286" i="1" s="1"/>
  <c r="I287" i="1"/>
  <c r="J287" i="1" s="1"/>
  <c r="I288" i="1"/>
  <c r="J288" i="1" s="1"/>
  <c r="I289" i="1"/>
  <c r="J289" i="1" s="1"/>
  <c r="I290" i="1"/>
  <c r="I291" i="1"/>
  <c r="J291" i="1" s="1"/>
  <c r="I292" i="1"/>
  <c r="J292" i="1" s="1"/>
  <c r="I293" i="1"/>
  <c r="J293" i="1" s="1"/>
  <c r="I294" i="1"/>
  <c r="J294" i="1" s="1"/>
  <c r="I295" i="1"/>
  <c r="J295" i="1" s="1"/>
  <c r="I296" i="1"/>
  <c r="J296" i="1" s="1"/>
  <c r="I297" i="1"/>
  <c r="J297" i="1" s="1"/>
  <c r="I298" i="1"/>
  <c r="J298" i="1" s="1"/>
  <c r="I299" i="1"/>
  <c r="J299" i="1" s="1"/>
  <c r="I300" i="1"/>
  <c r="J300" i="1" s="1"/>
  <c r="I301" i="1"/>
  <c r="J301" i="1" s="1"/>
  <c r="I302" i="1"/>
  <c r="J302" i="1" s="1"/>
  <c r="I303" i="1"/>
  <c r="J303" i="1" s="1"/>
  <c r="I304" i="1"/>
  <c r="J304" i="1" s="1"/>
  <c r="I305" i="1"/>
  <c r="J305" i="1" s="1"/>
  <c r="I306" i="1"/>
  <c r="J306" i="1" s="1"/>
  <c r="I307" i="1"/>
  <c r="J307" i="1" s="1"/>
  <c r="I308" i="1"/>
  <c r="J308" i="1" s="1"/>
  <c r="I309" i="1"/>
  <c r="J309" i="1" s="1"/>
  <c r="I310" i="1"/>
  <c r="J310" i="1" s="1"/>
  <c r="I311" i="1"/>
  <c r="J311" i="1" s="1"/>
  <c r="I312" i="1"/>
  <c r="J312" i="1" s="1"/>
  <c r="I313" i="1"/>
  <c r="J313" i="1" s="1"/>
  <c r="I314" i="1"/>
  <c r="J314" i="1" s="1"/>
  <c r="I315" i="1"/>
  <c r="J315" i="1" s="1"/>
  <c r="I316" i="1"/>
  <c r="J316" i="1" s="1"/>
  <c r="I317" i="1"/>
  <c r="J317" i="1" s="1"/>
  <c r="I318" i="1"/>
  <c r="J318" i="1" s="1"/>
  <c r="I319" i="1"/>
  <c r="J319" i="1" s="1"/>
  <c r="I320" i="1"/>
  <c r="J320" i="1" s="1"/>
  <c r="I321" i="1"/>
  <c r="J321" i="1" s="1"/>
  <c r="I322" i="1"/>
  <c r="I323" i="1"/>
  <c r="J323" i="1" s="1"/>
  <c r="I324" i="1"/>
  <c r="J324" i="1" s="1"/>
  <c r="I325" i="1"/>
  <c r="J325" i="1" s="1"/>
  <c r="I326" i="1"/>
  <c r="J326" i="1" s="1"/>
  <c r="I327" i="1"/>
  <c r="J327" i="1" s="1"/>
  <c r="I328" i="1"/>
  <c r="J328" i="1" s="1"/>
  <c r="I329" i="1"/>
  <c r="J329" i="1" s="1"/>
  <c r="I330" i="1"/>
  <c r="J330" i="1" s="1"/>
  <c r="I331" i="1"/>
  <c r="J331" i="1" s="1"/>
  <c r="I332" i="1"/>
  <c r="J332" i="1" s="1"/>
  <c r="I333" i="1"/>
  <c r="J333" i="1" s="1"/>
  <c r="I334" i="1"/>
  <c r="J334" i="1" s="1"/>
  <c r="I335" i="1"/>
  <c r="J335" i="1" s="1"/>
  <c r="I336" i="1"/>
  <c r="J336" i="1" s="1"/>
  <c r="I337" i="1"/>
  <c r="J337" i="1" s="1"/>
  <c r="I338" i="1"/>
  <c r="J338" i="1" s="1"/>
  <c r="I339" i="1"/>
  <c r="J339" i="1" s="1"/>
  <c r="I340" i="1"/>
  <c r="J340" i="1" s="1"/>
  <c r="I341" i="1"/>
  <c r="J341" i="1" s="1"/>
  <c r="I342" i="1"/>
  <c r="J342" i="1" s="1"/>
  <c r="I343" i="1"/>
  <c r="J343" i="1" s="1"/>
  <c r="I344" i="1"/>
  <c r="J344" i="1" s="1"/>
  <c r="I345" i="1"/>
  <c r="I346" i="1"/>
  <c r="I347" i="1"/>
  <c r="J347" i="1" s="1"/>
  <c r="I348" i="1"/>
  <c r="J348" i="1" s="1"/>
  <c r="I349" i="1"/>
  <c r="J349" i="1" s="1"/>
  <c r="I350" i="1"/>
  <c r="J350" i="1" s="1"/>
  <c r="I351" i="1"/>
  <c r="J351" i="1" s="1"/>
  <c r="I352" i="1"/>
  <c r="J352" i="1" s="1"/>
  <c r="I353" i="1"/>
  <c r="J353" i="1" s="1"/>
  <c r="I354" i="1"/>
  <c r="J354" i="1" s="1"/>
  <c r="I355" i="1"/>
  <c r="J355" i="1" s="1"/>
  <c r="I356" i="1"/>
  <c r="J356" i="1" s="1"/>
  <c r="I357" i="1"/>
  <c r="J357" i="1" s="1"/>
  <c r="I358" i="1"/>
  <c r="J358" i="1" s="1"/>
  <c r="I359" i="1"/>
  <c r="J359" i="1" s="1"/>
  <c r="I360" i="1"/>
  <c r="J360" i="1" s="1"/>
  <c r="I361" i="1"/>
  <c r="I362" i="1"/>
  <c r="I363" i="1"/>
  <c r="J363" i="1" s="1"/>
  <c r="I364" i="1"/>
  <c r="J364" i="1" s="1"/>
  <c r="I365" i="1"/>
  <c r="J365" i="1" s="1"/>
  <c r="I366" i="1"/>
  <c r="J366" i="1" s="1"/>
  <c r="I367" i="1"/>
  <c r="J367" i="1" s="1"/>
  <c r="I368" i="1"/>
  <c r="J368" i="1" s="1"/>
  <c r="I369" i="1"/>
  <c r="J369" i="1" s="1"/>
  <c r="I370" i="1"/>
  <c r="J370" i="1" s="1"/>
  <c r="I371" i="1"/>
  <c r="J371" i="1" s="1"/>
  <c r="I372" i="1"/>
  <c r="J372" i="1" s="1"/>
  <c r="I373" i="1"/>
  <c r="J373" i="1" s="1"/>
  <c r="I374" i="1"/>
  <c r="J374" i="1" s="1"/>
  <c r="I375" i="1"/>
  <c r="J375" i="1" s="1"/>
  <c r="I376" i="1"/>
  <c r="J376" i="1" s="1"/>
  <c r="I377" i="1"/>
  <c r="I378" i="1"/>
  <c r="I379" i="1"/>
  <c r="J379" i="1" s="1"/>
  <c r="I380" i="1"/>
  <c r="J380" i="1" s="1"/>
  <c r="I381" i="1"/>
  <c r="J381" i="1" s="1"/>
  <c r="I382" i="1"/>
  <c r="J382" i="1" s="1"/>
  <c r="I383" i="1"/>
  <c r="J383" i="1" s="1"/>
  <c r="I384" i="1"/>
  <c r="J384" i="1" s="1"/>
  <c r="I385" i="1"/>
  <c r="J385" i="1" s="1"/>
  <c r="I386" i="1"/>
  <c r="J386" i="1" s="1"/>
  <c r="I387" i="1"/>
  <c r="J387" i="1" s="1"/>
  <c r="I388" i="1"/>
  <c r="J388" i="1" s="1"/>
  <c r="I389" i="1"/>
  <c r="J389" i="1" s="1"/>
  <c r="I390" i="1"/>
  <c r="J390" i="1" s="1"/>
  <c r="I391" i="1"/>
  <c r="J391" i="1" s="1"/>
  <c r="I392" i="1"/>
  <c r="J392" i="1" s="1"/>
  <c r="I393" i="1"/>
  <c r="I394" i="1"/>
  <c r="I395" i="1"/>
  <c r="J395" i="1" s="1"/>
  <c r="I396" i="1"/>
  <c r="J396" i="1" s="1"/>
  <c r="I397" i="1"/>
  <c r="J397" i="1" s="1"/>
  <c r="I398" i="1"/>
  <c r="J398" i="1" s="1"/>
  <c r="I399" i="1"/>
  <c r="J399" i="1" s="1"/>
  <c r="I400" i="1"/>
  <c r="J400" i="1" s="1"/>
  <c r="I401" i="1"/>
  <c r="J401" i="1" s="1"/>
  <c r="I402" i="1"/>
  <c r="J402" i="1" s="1"/>
  <c r="I403" i="1"/>
  <c r="J403" i="1" s="1"/>
  <c r="I404" i="1"/>
  <c r="J404" i="1" s="1"/>
  <c r="I405" i="1"/>
  <c r="J405" i="1" s="1"/>
  <c r="I406" i="1"/>
  <c r="J406" i="1" s="1"/>
  <c r="I407" i="1"/>
  <c r="J407" i="1" s="1"/>
  <c r="I408" i="1"/>
  <c r="J408" i="1" s="1"/>
  <c r="I409" i="1"/>
  <c r="I410" i="1"/>
  <c r="I411" i="1"/>
  <c r="J411" i="1" s="1"/>
  <c r="I412" i="1"/>
  <c r="J412" i="1" s="1"/>
  <c r="I413" i="1"/>
  <c r="J413" i="1" s="1"/>
  <c r="I414" i="1"/>
  <c r="J414" i="1" s="1"/>
  <c r="I415" i="1"/>
  <c r="J415" i="1" s="1"/>
  <c r="I416" i="1"/>
  <c r="J416" i="1" s="1"/>
  <c r="I417" i="1"/>
  <c r="J417" i="1" s="1"/>
  <c r="I418" i="1"/>
  <c r="J418" i="1" s="1"/>
  <c r="I419" i="1"/>
  <c r="J419" i="1" s="1"/>
  <c r="I420" i="1"/>
  <c r="J420" i="1" s="1"/>
  <c r="I421" i="1"/>
  <c r="J421" i="1" s="1"/>
  <c r="I422" i="1"/>
  <c r="J422" i="1" s="1"/>
  <c r="I423" i="1"/>
  <c r="J423" i="1" s="1"/>
  <c r="I424" i="1"/>
  <c r="J424" i="1" s="1"/>
  <c r="I425" i="1"/>
  <c r="I426" i="1"/>
  <c r="I427" i="1"/>
  <c r="J427" i="1" s="1"/>
  <c r="I428" i="1"/>
  <c r="J428" i="1" s="1"/>
  <c r="I429" i="1"/>
  <c r="J429" i="1" s="1"/>
  <c r="I430" i="1"/>
  <c r="J430" i="1" s="1"/>
  <c r="I431" i="1"/>
  <c r="J431" i="1" s="1"/>
  <c r="I432" i="1"/>
  <c r="J432" i="1" s="1"/>
  <c r="I433" i="1"/>
  <c r="J433" i="1" s="1"/>
  <c r="I434" i="1"/>
  <c r="J434" i="1" s="1"/>
  <c r="I435" i="1"/>
  <c r="J435" i="1" s="1"/>
  <c r="I436" i="1"/>
  <c r="J436" i="1" s="1"/>
  <c r="I437" i="1"/>
  <c r="J437" i="1" s="1"/>
  <c r="I438" i="1"/>
  <c r="J438" i="1" s="1"/>
  <c r="I439" i="1"/>
  <c r="J439" i="1" s="1"/>
  <c r="I440" i="1"/>
  <c r="J440" i="1" s="1"/>
  <c r="I441" i="1"/>
  <c r="I442" i="1"/>
  <c r="I443" i="1"/>
  <c r="J443" i="1" s="1"/>
  <c r="I444" i="1"/>
  <c r="J444" i="1" s="1"/>
  <c r="I445" i="1"/>
  <c r="J445" i="1" s="1"/>
  <c r="I446" i="1"/>
  <c r="J446" i="1" s="1"/>
  <c r="I447" i="1"/>
  <c r="J447" i="1" s="1"/>
  <c r="I448" i="1"/>
  <c r="J448" i="1" s="1"/>
  <c r="I449" i="1"/>
  <c r="J449" i="1" s="1"/>
  <c r="I450" i="1"/>
  <c r="J450" i="1" s="1"/>
  <c r="I451" i="1"/>
  <c r="J451" i="1" s="1"/>
  <c r="I452" i="1"/>
  <c r="J452" i="1" s="1"/>
  <c r="I453" i="1"/>
  <c r="J453" i="1" s="1"/>
  <c r="I454" i="1"/>
  <c r="J454" i="1" s="1"/>
  <c r="I455" i="1"/>
  <c r="J455" i="1" s="1"/>
  <c r="I456" i="1"/>
  <c r="J456" i="1" s="1"/>
  <c r="I457" i="1"/>
  <c r="I458" i="1"/>
  <c r="I459" i="1"/>
  <c r="J459" i="1" s="1"/>
  <c r="I460" i="1"/>
  <c r="J460" i="1" s="1"/>
  <c r="I461" i="1"/>
  <c r="J461" i="1" s="1"/>
  <c r="I462" i="1"/>
  <c r="J462" i="1" s="1"/>
  <c r="I463" i="1"/>
  <c r="J463" i="1" s="1"/>
  <c r="I464" i="1"/>
  <c r="J464" i="1" s="1"/>
  <c r="I465" i="1"/>
  <c r="J465" i="1" s="1"/>
  <c r="I466" i="1"/>
  <c r="J466" i="1" s="1"/>
  <c r="I467" i="1"/>
  <c r="J467" i="1" s="1"/>
  <c r="I468" i="1"/>
  <c r="J468" i="1" s="1"/>
  <c r="I469" i="1"/>
  <c r="J469" i="1" s="1"/>
  <c r="I470" i="1"/>
  <c r="J470" i="1" s="1"/>
  <c r="I471" i="1"/>
  <c r="J471" i="1" s="1"/>
  <c r="I472" i="1"/>
  <c r="J472" i="1" s="1"/>
  <c r="I473" i="1"/>
  <c r="I474" i="1"/>
  <c r="I475" i="1"/>
  <c r="J475" i="1" s="1"/>
  <c r="I476" i="1"/>
  <c r="J476" i="1" s="1"/>
  <c r="I477" i="1"/>
  <c r="J477" i="1" s="1"/>
  <c r="I478" i="1"/>
  <c r="J478" i="1" s="1"/>
  <c r="I479" i="1"/>
  <c r="J479" i="1" s="1"/>
  <c r="I480" i="1"/>
  <c r="J480" i="1" s="1"/>
  <c r="I481" i="1"/>
  <c r="J481" i="1" s="1"/>
  <c r="I482" i="1"/>
  <c r="J482" i="1" s="1"/>
  <c r="I483" i="1"/>
  <c r="J483" i="1" s="1"/>
  <c r="I484" i="1"/>
  <c r="J484" i="1" s="1"/>
  <c r="I485" i="1"/>
  <c r="J485" i="1" s="1"/>
  <c r="I486" i="1"/>
  <c r="J486" i="1" s="1"/>
  <c r="I487" i="1"/>
  <c r="J487" i="1" s="1"/>
  <c r="I488" i="1"/>
  <c r="J488" i="1" s="1"/>
  <c r="I489" i="1"/>
  <c r="I490" i="1"/>
  <c r="I491" i="1"/>
  <c r="J491" i="1" s="1"/>
  <c r="I492" i="1"/>
  <c r="J492" i="1" s="1"/>
  <c r="I493" i="1"/>
  <c r="J493" i="1" s="1"/>
  <c r="I494" i="1"/>
  <c r="J494" i="1" s="1"/>
  <c r="I495" i="1"/>
  <c r="J495" i="1" s="1"/>
  <c r="I496" i="1"/>
  <c r="J496" i="1" s="1"/>
  <c r="I497" i="1"/>
  <c r="J497" i="1" s="1"/>
  <c r="I498" i="1"/>
  <c r="J498" i="1" s="1"/>
  <c r="I499" i="1"/>
  <c r="J499" i="1" s="1"/>
  <c r="I500" i="1"/>
  <c r="J500" i="1" s="1"/>
  <c r="I501" i="1"/>
  <c r="J501" i="1" s="1"/>
  <c r="I502" i="1"/>
  <c r="J502" i="1" s="1"/>
  <c r="I503" i="1"/>
  <c r="J503" i="1" s="1"/>
  <c r="I504" i="1"/>
  <c r="J504" i="1" s="1"/>
  <c r="I505" i="1"/>
  <c r="I506" i="1"/>
  <c r="J506" i="1" s="1"/>
  <c r="I507" i="1"/>
  <c r="J507" i="1" s="1"/>
  <c r="I508" i="1"/>
  <c r="J508" i="1" s="1"/>
  <c r="I509" i="1"/>
  <c r="J509" i="1" s="1"/>
  <c r="I510" i="1"/>
  <c r="J510" i="1" s="1"/>
  <c r="I511" i="1"/>
  <c r="J511" i="1" s="1"/>
  <c r="I512" i="1"/>
  <c r="J512" i="1" s="1"/>
  <c r="I513" i="1"/>
  <c r="I514" i="1"/>
  <c r="I515" i="1"/>
  <c r="J515" i="1" s="1"/>
  <c r="I516" i="1"/>
  <c r="J516" i="1" s="1"/>
  <c r="I517" i="1"/>
  <c r="J517" i="1" s="1"/>
  <c r="I518" i="1"/>
  <c r="J518" i="1" s="1"/>
  <c r="I519" i="1"/>
  <c r="J519" i="1" s="1"/>
  <c r="I520" i="1"/>
  <c r="J520" i="1" s="1"/>
  <c r="I521" i="1"/>
  <c r="I522" i="1"/>
  <c r="I523" i="1"/>
  <c r="J523" i="1" s="1"/>
  <c r="I524" i="1"/>
  <c r="J524" i="1" s="1"/>
  <c r="I525" i="1"/>
  <c r="J525" i="1" s="1"/>
  <c r="I526" i="1"/>
  <c r="J526" i="1" s="1"/>
  <c r="I527" i="1"/>
  <c r="J527" i="1" s="1"/>
  <c r="I528" i="1"/>
  <c r="J528" i="1" s="1"/>
  <c r="I529" i="1"/>
  <c r="I530" i="1"/>
  <c r="I531" i="1"/>
  <c r="J531" i="1" s="1"/>
  <c r="I532" i="1"/>
  <c r="J532" i="1" s="1"/>
  <c r="I533" i="1"/>
  <c r="J533" i="1" s="1"/>
  <c r="I534" i="1"/>
  <c r="J534" i="1" s="1"/>
  <c r="I535" i="1"/>
  <c r="J535" i="1" s="1"/>
  <c r="I536" i="1"/>
  <c r="J536" i="1" s="1"/>
  <c r="I537" i="1"/>
  <c r="I538" i="1"/>
  <c r="I539" i="1"/>
  <c r="J539" i="1" s="1"/>
  <c r="I540" i="1"/>
  <c r="J540" i="1" s="1"/>
  <c r="I541" i="1"/>
  <c r="J541" i="1" s="1"/>
  <c r="I542" i="1"/>
  <c r="J542" i="1" s="1"/>
  <c r="I543" i="1"/>
  <c r="J543" i="1" s="1"/>
  <c r="I544" i="1"/>
  <c r="J544" i="1" s="1"/>
  <c r="I545" i="1"/>
  <c r="I546" i="1"/>
  <c r="I547" i="1"/>
  <c r="J547" i="1" s="1"/>
  <c r="I548" i="1"/>
  <c r="J548" i="1" s="1"/>
  <c r="I549" i="1"/>
  <c r="J549" i="1" s="1"/>
  <c r="I550" i="1"/>
  <c r="J550" i="1" s="1"/>
  <c r="I551" i="1"/>
  <c r="J551" i="1" s="1"/>
  <c r="I552" i="1"/>
  <c r="J552" i="1" s="1"/>
  <c r="I553" i="1"/>
  <c r="I554" i="1"/>
  <c r="I555" i="1"/>
  <c r="J555" i="1" s="1"/>
  <c r="I556" i="1"/>
  <c r="J556" i="1" s="1"/>
  <c r="I557" i="1"/>
  <c r="J557" i="1" s="1"/>
  <c r="I558" i="1"/>
  <c r="J558" i="1" s="1"/>
  <c r="I559" i="1"/>
  <c r="J559" i="1" s="1"/>
  <c r="I560" i="1"/>
  <c r="J560" i="1" s="1"/>
  <c r="I561" i="1"/>
  <c r="I562" i="1"/>
  <c r="I563" i="1"/>
  <c r="J563" i="1" s="1"/>
  <c r="I564" i="1"/>
  <c r="J564" i="1" s="1"/>
  <c r="I565" i="1"/>
  <c r="J565" i="1" s="1"/>
  <c r="I566" i="1"/>
  <c r="J566" i="1" s="1"/>
  <c r="I567" i="1"/>
  <c r="J567" i="1" s="1"/>
  <c r="I568" i="1"/>
  <c r="J568" i="1" s="1"/>
  <c r="I569" i="1"/>
  <c r="I570" i="1"/>
  <c r="I571" i="1"/>
  <c r="J571" i="1" s="1"/>
  <c r="I572" i="1"/>
  <c r="J572" i="1" s="1"/>
  <c r="I573" i="1"/>
  <c r="J573" i="1" s="1"/>
  <c r="I574" i="1"/>
  <c r="J574" i="1" s="1"/>
  <c r="I575" i="1"/>
  <c r="J575" i="1" s="1"/>
  <c r="I576" i="1"/>
  <c r="J576" i="1" s="1"/>
  <c r="I577" i="1"/>
  <c r="I578" i="1"/>
  <c r="I579" i="1"/>
  <c r="J579" i="1" s="1"/>
  <c r="I580" i="1"/>
  <c r="J580" i="1" s="1"/>
  <c r="I581" i="1"/>
  <c r="J581" i="1" s="1"/>
  <c r="I582" i="1"/>
  <c r="J582" i="1" s="1"/>
  <c r="I583" i="1"/>
  <c r="J583" i="1" s="1"/>
  <c r="I584" i="1"/>
  <c r="J584" i="1" s="1"/>
  <c r="I585" i="1"/>
  <c r="I586" i="1"/>
  <c r="I587" i="1"/>
  <c r="J587" i="1" s="1"/>
  <c r="I588" i="1"/>
  <c r="J588" i="1" s="1"/>
  <c r="I589" i="1"/>
  <c r="J589" i="1" s="1"/>
  <c r="I590" i="1"/>
  <c r="J590" i="1" s="1"/>
  <c r="I591" i="1"/>
  <c r="J591" i="1" s="1"/>
  <c r="I592" i="1"/>
  <c r="J592" i="1" s="1"/>
  <c r="I593" i="1"/>
  <c r="I594" i="1"/>
  <c r="I595" i="1"/>
  <c r="J595" i="1" s="1"/>
  <c r="I596" i="1"/>
  <c r="J596" i="1" s="1"/>
  <c r="I597" i="1"/>
  <c r="J597" i="1" s="1"/>
  <c r="I598" i="1"/>
  <c r="J598" i="1" s="1"/>
  <c r="I599" i="1"/>
  <c r="J599" i="1" s="1"/>
  <c r="I600" i="1"/>
  <c r="J600" i="1" s="1"/>
  <c r="I601" i="1"/>
  <c r="I602" i="1"/>
  <c r="I603" i="1"/>
  <c r="J603" i="1" s="1"/>
  <c r="I604" i="1"/>
  <c r="J604" i="1" s="1"/>
  <c r="I605" i="1"/>
  <c r="J605" i="1" s="1"/>
  <c r="I606" i="1"/>
  <c r="J606" i="1" s="1"/>
  <c r="I607" i="1"/>
  <c r="J607" i="1" s="1"/>
  <c r="I608" i="1"/>
  <c r="J608" i="1" s="1"/>
  <c r="I609" i="1"/>
  <c r="I610" i="1"/>
  <c r="I611" i="1"/>
  <c r="J611" i="1" s="1"/>
  <c r="I612" i="1"/>
  <c r="J612" i="1" s="1"/>
  <c r="I613" i="1"/>
  <c r="J613" i="1" s="1"/>
  <c r="I614" i="1"/>
  <c r="J614" i="1" s="1"/>
  <c r="I615" i="1"/>
  <c r="J615" i="1" s="1"/>
  <c r="I616" i="1"/>
  <c r="J616" i="1" s="1"/>
  <c r="I617" i="1"/>
  <c r="I618" i="1"/>
  <c r="I619" i="1"/>
  <c r="J619" i="1" s="1"/>
  <c r="I620" i="1"/>
  <c r="J620" i="1" s="1"/>
  <c r="I621" i="1"/>
  <c r="J621" i="1" s="1"/>
  <c r="I622" i="1"/>
  <c r="J622" i="1" s="1"/>
  <c r="I623" i="1"/>
  <c r="J623" i="1" s="1"/>
  <c r="I624" i="1"/>
  <c r="J624" i="1" s="1"/>
  <c r="I625" i="1"/>
  <c r="I626" i="1"/>
  <c r="I627" i="1"/>
  <c r="J627" i="1" s="1"/>
  <c r="I628" i="1"/>
  <c r="J628" i="1" s="1"/>
  <c r="I629" i="1"/>
  <c r="J629" i="1" s="1"/>
  <c r="I630" i="1"/>
  <c r="J630" i="1" s="1"/>
  <c r="I631" i="1"/>
  <c r="J631" i="1" s="1"/>
  <c r="I632" i="1"/>
  <c r="J632" i="1" s="1"/>
  <c r="I633" i="1"/>
  <c r="I634" i="1"/>
  <c r="I635" i="1"/>
  <c r="J635" i="1" s="1"/>
  <c r="I636" i="1"/>
  <c r="J636" i="1" s="1"/>
  <c r="I637" i="1"/>
  <c r="J637" i="1" s="1"/>
  <c r="I638" i="1"/>
  <c r="J638" i="1" s="1"/>
  <c r="I639" i="1"/>
  <c r="J639" i="1" s="1"/>
  <c r="I640" i="1"/>
  <c r="J640" i="1" s="1"/>
  <c r="I641" i="1"/>
  <c r="I642" i="1"/>
  <c r="I643" i="1"/>
  <c r="J643" i="1" s="1"/>
  <c r="I644" i="1"/>
  <c r="J644" i="1" s="1"/>
  <c r="I645" i="1"/>
  <c r="J645" i="1" s="1"/>
  <c r="I646" i="1"/>
  <c r="J646" i="1" s="1"/>
  <c r="I647" i="1"/>
  <c r="J647" i="1" s="1"/>
  <c r="I648" i="1"/>
  <c r="J648" i="1" s="1"/>
  <c r="I649" i="1"/>
  <c r="I650" i="1"/>
  <c r="I651" i="1"/>
  <c r="J651" i="1" s="1"/>
  <c r="I652" i="1"/>
  <c r="J652" i="1" s="1"/>
  <c r="I653" i="1"/>
  <c r="J653" i="1" s="1"/>
  <c r="I654" i="1"/>
  <c r="J654" i="1" s="1"/>
  <c r="I655" i="1"/>
  <c r="J655" i="1" s="1"/>
  <c r="I656" i="1"/>
  <c r="J656" i="1" s="1"/>
  <c r="I657" i="1"/>
  <c r="I658" i="1"/>
  <c r="I659" i="1"/>
  <c r="J659" i="1" s="1"/>
  <c r="I660" i="1"/>
  <c r="J660" i="1" s="1"/>
  <c r="I661" i="1"/>
  <c r="J661" i="1" s="1"/>
  <c r="I662" i="1"/>
  <c r="J662" i="1" s="1"/>
  <c r="I663" i="1"/>
  <c r="J663" i="1" s="1"/>
  <c r="I664" i="1"/>
  <c r="J664" i="1" s="1"/>
  <c r="I665" i="1"/>
  <c r="I666" i="1"/>
  <c r="I667" i="1"/>
  <c r="J667" i="1" s="1"/>
  <c r="I668" i="1"/>
  <c r="J668" i="1" s="1"/>
  <c r="I669" i="1"/>
  <c r="J669" i="1" s="1"/>
  <c r="I670" i="1"/>
  <c r="J670" i="1" s="1"/>
  <c r="I671" i="1"/>
  <c r="J671" i="1" s="1"/>
  <c r="I672" i="1"/>
  <c r="J672" i="1" s="1"/>
  <c r="I673" i="1"/>
  <c r="I674" i="1"/>
  <c r="I675" i="1"/>
  <c r="J675" i="1" s="1"/>
  <c r="I676" i="1"/>
  <c r="J676" i="1" s="1"/>
  <c r="I677" i="1"/>
  <c r="J677" i="1" s="1"/>
  <c r="I678" i="1"/>
  <c r="J678" i="1" s="1"/>
  <c r="I679" i="1"/>
  <c r="J679" i="1" s="1"/>
  <c r="I680" i="1"/>
  <c r="J680" i="1" s="1"/>
  <c r="I681" i="1"/>
  <c r="J681" i="1" s="1"/>
  <c r="I682" i="1"/>
  <c r="J682" i="1" s="1"/>
  <c r="I683" i="1"/>
  <c r="J683" i="1" s="1"/>
  <c r="I684" i="1"/>
  <c r="J684" i="1" s="1"/>
  <c r="I685" i="1"/>
  <c r="J685" i="1" s="1"/>
  <c r="I686" i="1"/>
  <c r="J686" i="1" s="1"/>
  <c r="I687" i="1"/>
  <c r="J687" i="1" s="1"/>
  <c r="I688" i="1"/>
  <c r="J688" i="1" s="1"/>
  <c r="I689" i="1"/>
  <c r="J689" i="1" s="1"/>
  <c r="I690" i="1"/>
  <c r="J690" i="1" s="1"/>
  <c r="I691" i="1"/>
  <c r="J691" i="1" s="1"/>
  <c r="I692" i="1"/>
  <c r="J692" i="1" s="1"/>
  <c r="I693" i="1"/>
  <c r="J693" i="1" s="1"/>
  <c r="I694" i="1"/>
  <c r="J694" i="1" s="1"/>
  <c r="I695" i="1"/>
  <c r="J695" i="1" s="1"/>
  <c r="I696" i="1"/>
  <c r="J696" i="1" s="1"/>
  <c r="I697" i="1"/>
  <c r="J697" i="1" s="1"/>
  <c r="I698" i="1"/>
  <c r="J698" i="1" s="1"/>
  <c r="I699" i="1"/>
  <c r="J699" i="1" s="1"/>
  <c r="I700" i="1"/>
  <c r="J700" i="1" s="1"/>
  <c r="I701" i="1"/>
  <c r="J701" i="1" s="1"/>
  <c r="I702" i="1"/>
  <c r="J702" i="1" s="1"/>
  <c r="I703" i="1"/>
  <c r="J703" i="1" s="1"/>
  <c r="I704" i="1"/>
  <c r="J704" i="1" s="1"/>
  <c r="I705" i="1"/>
  <c r="J705" i="1" s="1"/>
  <c r="I706" i="1"/>
  <c r="J706" i="1" s="1"/>
  <c r="I707" i="1"/>
  <c r="J707" i="1" s="1"/>
  <c r="I708" i="1"/>
  <c r="J708" i="1" s="1"/>
  <c r="I709" i="1"/>
  <c r="J709" i="1" s="1"/>
  <c r="I710" i="1"/>
  <c r="J710" i="1" s="1"/>
  <c r="I711" i="1"/>
  <c r="J711" i="1" s="1"/>
  <c r="I712" i="1"/>
  <c r="J712" i="1" s="1"/>
  <c r="I713" i="1"/>
  <c r="J713" i="1" s="1"/>
  <c r="I714" i="1"/>
  <c r="J714" i="1" s="1"/>
  <c r="I715" i="1"/>
  <c r="J715" i="1" s="1"/>
  <c r="I716" i="1"/>
  <c r="J716" i="1" s="1"/>
  <c r="I717" i="1"/>
  <c r="J717" i="1" s="1"/>
  <c r="I718" i="1"/>
  <c r="J718" i="1" s="1"/>
  <c r="I719" i="1"/>
  <c r="J719" i="1" s="1"/>
  <c r="I720" i="1"/>
  <c r="J720" i="1" s="1"/>
  <c r="I721" i="1"/>
  <c r="J721" i="1" s="1"/>
  <c r="I722" i="1"/>
  <c r="J722" i="1" s="1"/>
  <c r="I723" i="1"/>
  <c r="J723" i="1" s="1"/>
  <c r="I724" i="1"/>
  <c r="J724" i="1" s="1"/>
  <c r="I725" i="1"/>
  <c r="J725" i="1" s="1"/>
  <c r="I726" i="1"/>
  <c r="J726" i="1" s="1"/>
  <c r="I727" i="1"/>
  <c r="J727" i="1" s="1"/>
  <c r="I728" i="1"/>
  <c r="J728" i="1" s="1"/>
  <c r="I729" i="1"/>
  <c r="J729" i="1" s="1"/>
  <c r="I730" i="1"/>
  <c r="J730" i="1" s="1"/>
  <c r="I731" i="1"/>
  <c r="J731" i="1" s="1"/>
  <c r="I732" i="1"/>
  <c r="J732" i="1" s="1"/>
  <c r="I733" i="1"/>
  <c r="J733" i="1" s="1"/>
  <c r="I734" i="1"/>
  <c r="J734" i="1" s="1"/>
  <c r="I735" i="1"/>
  <c r="J735" i="1" s="1"/>
  <c r="I736" i="1"/>
  <c r="J736" i="1" s="1"/>
  <c r="I737" i="1"/>
  <c r="J737" i="1" s="1"/>
  <c r="I738" i="1"/>
  <c r="J738" i="1" s="1"/>
  <c r="I739" i="1"/>
  <c r="J739" i="1" s="1"/>
  <c r="I740" i="1"/>
  <c r="J740" i="1" s="1"/>
  <c r="I741" i="1"/>
  <c r="J741" i="1" s="1"/>
  <c r="I742" i="1"/>
  <c r="J742" i="1" s="1"/>
  <c r="I743" i="1"/>
  <c r="J743" i="1" s="1"/>
  <c r="I744" i="1"/>
  <c r="J744" i="1" s="1"/>
  <c r="I745" i="1"/>
  <c r="J745" i="1" s="1"/>
  <c r="I746" i="1"/>
  <c r="J746" i="1" s="1"/>
  <c r="I747" i="1"/>
  <c r="J747" i="1" s="1"/>
  <c r="I748" i="1"/>
  <c r="J748" i="1" s="1"/>
  <c r="I749" i="1"/>
  <c r="J749" i="1" s="1"/>
  <c r="I750" i="1"/>
  <c r="J750" i="1" s="1"/>
  <c r="I751" i="1"/>
  <c r="J751" i="1" s="1"/>
  <c r="I752" i="1"/>
  <c r="J752" i="1" s="1"/>
  <c r="I753" i="1"/>
  <c r="J753" i="1" s="1"/>
  <c r="I754" i="1"/>
  <c r="J754" i="1" s="1"/>
  <c r="I755" i="1"/>
  <c r="J755" i="1" s="1"/>
  <c r="I756" i="1"/>
  <c r="J756" i="1" s="1"/>
  <c r="I757" i="1"/>
  <c r="J757" i="1" s="1"/>
  <c r="I758" i="1"/>
  <c r="J758" i="1" s="1"/>
  <c r="I759" i="1"/>
  <c r="J759" i="1" s="1"/>
  <c r="I760" i="1"/>
  <c r="J760" i="1" s="1"/>
  <c r="I761" i="1"/>
  <c r="J761" i="1" s="1"/>
  <c r="I762" i="1"/>
  <c r="J762" i="1" s="1"/>
  <c r="I763" i="1"/>
  <c r="J763" i="1" s="1"/>
  <c r="I764" i="1"/>
  <c r="J764" i="1" s="1"/>
  <c r="I765" i="1"/>
  <c r="J765" i="1" s="1"/>
  <c r="I766" i="1"/>
  <c r="J766" i="1" s="1"/>
  <c r="I767" i="1"/>
  <c r="J767" i="1" s="1"/>
  <c r="I768" i="1"/>
  <c r="J768" i="1" s="1"/>
  <c r="I769" i="1"/>
  <c r="J769" i="1" s="1"/>
  <c r="I770" i="1"/>
  <c r="J770" i="1" s="1"/>
  <c r="I771" i="1"/>
  <c r="J771" i="1" s="1"/>
  <c r="I772" i="1"/>
  <c r="J772" i="1" s="1"/>
  <c r="I773" i="1"/>
  <c r="J773" i="1" s="1"/>
  <c r="I774" i="1"/>
  <c r="J774" i="1" s="1"/>
  <c r="I775" i="1"/>
  <c r="J775" i="1" s="1"/>
  <c r="I776" i="1"/>
  <c r="J776" i="1" s="1"/>
  <c r="I777" i="1"/>
  <c r="J777" i="1" s="1"/>
  <c r="I778" i="1"/>
  <c r="J778" i="1" s="1"/>
  <c r="I779" i="1"/>
  <c r="J779" i="1" s="1"/>
  <c r="I780" i="1"/>
  <c r="J780" i="1" s="1"/>
  <c r="I781" i="1"/>
  <c r="J781" i="1" s="1"/>
  <c r="I782" i="1"/>
  <c r="J782" i="1" s="1"/>
  <c r="I783" i="1"/>
  <c r="J783" i="1" s="1"/>
  <c r="I784" i="1"/>
  <c r="J784" i="1" s="1"/>
  <c r="I785" i="1"/>
  <c r="J785" i="1" s="1"/>
  <c r="I786" i="1"/>
  <c r="J786" i="1" s="1"/>
  <c r="I787" i="1"/>
  <c r="J787" i="1" s="1"/>
  <c r="I788" i="1"/>
  <c r="J788" i="1" s="1"/>
  <c r="I789" i="1"/>
  <c r="J789" i="1" s="1"/>
  <c r="I790" i="1"/>
  <c r="J790" i="1" s="1"/>
  <c r="I791" i="1"/>
  <c r="J791" i="1" s="1"/>
  <c r="I792" i="1"/>
  <c r="J792" i="1" s="1"/>
  <c r="I793" i="1"/>
  <c r="J793" i="1" s="1"/>
  <c r="I794" i="1"/>
  <c r="J794" i="1" s="1"/>
  <c r="I795" i="1"/>
  <c r="J795" i="1" s="1"/>
  <c r="I796" i="1"/>
  <c r="J796" i="1" s="1"/>
  <c r="I797" i="1"/>
  <c r="J797" i="1" s="1"/>
  <c r="I798" i="1"/>
  <c r="J798" i="1" s="1"/>
  <c r="I799" i="1"/>
  <c r="J799" i="1" s="1"/>
  <c r="I800" i="1"/>
  <c r="J800" i="1" s="1"/>
  <c r="I801" i="1"/>
  <c r="J801" i="1" s="1"/>
  <c r="I802" i="1"/>
  <c r="J802" i="1" s="1"/>
  <c r="I803" i="1"/>
  <c r="J803" i="1" s="1"/>
  <c r="I804" i="1"/>
  <c r="J804" i="1" s="1"/>
  <c r="I805" i="1"/>
  <c r="J805" i="1" s="1"/>
  <c r="I806" i="1"/>
  <c r="J806" i="1" s="1"/>
  <c r="I807" i="1"/>
  <c r="J807" i="1" s="1"/>
  <c r="I808" i="1"/>
  <c r="J808" i="1" s="1"/>
  <c r="I809" i="1"/>
  <c r="J809" i="1" s="1"/>
  <c r="I810" i="1"/>
  <c r="J810" i="1" s="1"/>
  <c r="I811" i="1"/>
  <c r="J811" i="1" s="1"/>
  <c r="I812" i="1"/>
  <c r="J812" i="1" s="1"/>
  <c r="I813" i="1"/>
  <c r="J813" i="1" s="1"/>
  <c r="I814" i="1"/>
  <c r="J814" i="1" s="1"/>
  <c r="I815" i="1"/>
  <c r="J815" i="1" s="1"/>
  <c r="I816" i="1"/>
  <c r="J816" i="1" s="1"/>
  <c r="I817" i="1"/>
  <c r="J817" i="1" s="1"/>
  <c r="I818" i="1"/>
  <c r="J818" i="1" s="1"/>
  <c r="I819" i="1"/>
  <c r="J819" i="1" s="1"/>
  <c r="I820" i="1"/>
  <c r="J820" i="1" s="1"/>
  <c r="I821" i="1"/>
  <c r="J821" i="1" s="1"/>
  <c r="I822" i="1"/>
  <c r="J822" i="1" s="1"/>
  <c r="I823" i="1"/>
  <c r="J823" i="1" s="1"/>
  <c r="I824" i="1"/>
  <c r="J824" i="1" s="1"/>
  <c r="I825" i="1"/>
  <c r="J825" i="1" s="1"/>
  <c r="I826" i="1"/>
  <c r="J826" i="1" s="1"/>
  <c r="I827" i="1"/>
  <c r="J827" i="1" s="1"/>
  <c r="I828" i="1"/>
  <c r="J828" i="1" s="1"/>
  <c r="I829" i="1"/>
  <c r="J829" i="1" s="1"/>
  <c r="I830" i="1"/>
  <c r="J830" i="1" s="1"/>
  <c r="I831" i="1"/>
  <c r="J831" i="1" s="1"/>
  <c r="I832" i="1"/>
  <c r="J832" i="1" s="1"/>
  <c r="I833" i="1"/>
  <c r="J833" i="1" s="1"/>
  <c r="I834" i="1"/>
  <c r="J834" i="1" s="1"/>
  <c r="I835" i="1"/>
  <c r="J835" i="1" s="1"/>
  <c r="I836" i="1"/>
  <c r="J836" i="1" s="1"/>
  <c r="I837" i="1"/>
  <c r="J837" i="1" s="1"/>
  <c r="I838" i="1"/>
  <c r="J838" i="1" s="1"/>
  <c r="I839" i="1"/>
  <c r="J839" i="1" s="1"/>
  <c r="I840" i="1"/>
  <c r="J840" i="1" s="1"/>
  <c r="I841" i="1"/>
  <c r="J841" i="1" s="1"/>
  <c r="I842" i="1"/>
  <c r="J842" i="1" s="1"/>
  <c r="I843" i="1"/>
  <c r="J843" i="1" s="1"/>
  <c r="I844" i="1"/>
  <c r="J844" i="1" s="1"/>
  <c r="I845" i="1"/>
  <c r="J845" i="1" s="1"/>
  <c r="I846" i="1"/>
  <c r="J846" i="1" s="1"/>
  <c r="I847" i="1"/>
  <c r="J847" i="1" s="1"/>
  <c r="I848" i="1"/>
  <c r="J848" i="1" s="1"/>
  <c r="I849" i="1"/>
  <c r="J849" i="1" s="1"/>
  <c r="I850" i="1"/>
  <c r="J850" i="1" s="1"/>
  <c r="I851" i="1"/>
  <c r="J851" i="1" s="1"/>
  <c r="I852" i="1"/>
  <c r="J852" i="1" s="1"/>
  <c r="I853" i="1"/>
  <c r="J853" i="1" s="1"/>
  <c r="I854" i="1"/>
  <c r="J854" i="1" s="1"/>
  <c r="I855" i="1"/>
  <c r="J855" i="1" s="1"/>
  <c r="I856" i="1"/>
  <c r="J856" i="1" s="1"/>
  <c r="I857" i="1"/>
  <c r="J857" i="1" s="1"/>
  <c r="I858" i="1"/>
  <c r="J858" i="1" s="1"/>
  <c r="I859" i="1"/>
  <c r="J859" i="1" s="1"/>
  <c r="I860" i="1"/>
  <c r="J860" i="1" s="1"/>
  <c r="I861" i="1"/>
  <c r="J861" i="1" s="1"/>
  <c r="I862" i="1"/>
  <c r="J862" i="1" s="1"/>
  <c r="I863" i="1"/>
  <c r="J863" i="1" s="1"/>
  <c r="I864" i="1"/>
  <c r="J864" i="1" s="1"/>
  <c r="I865" i="1"/>
  <c r="J865" i="1" s="1"/>
  <c r="I866" i="1"/>
  <c r="J866" i="1" s="1"/>
  <c r="I867" i="1"/>
  <c r="J867" i="1" s="1"/>
  <c r="I868" i="1"/>
  <c r="J868" i="1" s="1"/>
  <c r="I869" i="1"/>
  <c r="J869" i="1" s="1"/>
  <c r="I870" i="1"/>
  <c r="J870" i="1" s="1"/>
  <c r="I871" i="1"/>
  <c r="J871" i="1" s="1"/>
  <c r="I872" i="1"/>
  <c r="J872" i="1" s="1"/>
  <c r="I873" i="1"/>
  <c r="J873" i="1" s="1"/>
  <c r="I874" i="1"/>
  <c r="J874" i="1" s="1"/>
  <c r="I875" i="1"/>
  <c r="J875" i="1" s="1"/>
  <c r="I876" i="1"/>
  <c r="J876" i="1" s="1"/>
  <c r="I877" i="1"/>
  <c r="J877" i="1" s="1"/>
  <c r="I878" i="1"/>
  <c r="J878" i="1" s="1"/>
  <c r="I879" i="1"/>
  <c r="J879" i="1" s="1"/>
  <c r="I880" i="1"/>
  <c r="J880" i="1" s="1"/>
  <c r="I881" i="1"/>
  <c r="J881" i="1" s="1"/>
  <c r="I882" i="1"/>
  <c r="J882" i="1" s="1"/>
  <c r="I883" i="1"/>
  <c r="J883" i="1" s="1"/>
  <c r="I884" i="1"/>
  <c r="J884" i="1" s="1"/>
  <c r="I885" i="1"/>
  <c r="J885" i="1" s="1"/>
  <c r="I886" i="1"/>
  <c r="J886" i="1" s="1"/>
  <c r="I887" i="1"/>
  <c r="J887" i="1" s="1"/>
  <c r="I888" i="1"/>
  <c r="J888" i="1" s="1"/>
  <c r="I889" i="1"/>
  <c r="J889" i="1" s="1"/>
  <c r="I890" i="1"/>
  <c r="J890" i="1" s="1"/>
  <c r="I891" i="1"/>
  <c r="J891" i="1" s="1"/>
  <c r="I892" i="1"/>
  <c r="J892" i="1" s="1"/>
  <c r="I893" i="1"/>
  <c r="J893" i="1" s="1"/>
  <c r="I894" i="1"/>
  <c r="J894" i="1" s="1"/>
  <c r="I895" i="1"/>
  <c r="J895" i="1" s="1"/>
  <c r="I896" i="1"/>
  <c r="J896" i="1" s="1"/>
  <c r="I897" i="1"/>
  <c r="J897" i="1" s="1"/>
  <c r="I898" i="1"/>
  <c r="J898" i="1" s="1"/>
  <c r="I899" i="1"/>
  <c r="J899" i="1" s="1"/>
  <c r="I900" i="1"/>
  <c r="J900" i="1" s="1"/>
  <c r="I901" i="1"/>
  <c r="J901" i="1" s="1"/>
  <c r="I902" i="1"/>
  <c r="J902" i="1" s="1"/>
  <c r="I903" i="1"/>
  <c r="J903" i="1" s="1"/>
  <c r="I904" i="1"/>
  <c r="J904" i="1" s="1"/>
  <c r="I905" i="1"/>
  <c r="J905" i="1" s="1"/>
  <c r="I906" i="1"/>
  <c r="J906" i="1" s="1"/>
  <c r="I907" i="1"/>
  <c r="J907" i="1" s="1"/>
  <c r="I908" i="1"/>
  <c r="J908" i="1" s="1"/>
  <c r="I909" i="1"/>
  <c r="J909" i="1" s="1"/>
  <c r="I910" i="1"/>
  <c r="J910" i="1" s="1"/>
  <c r="I911" i="1"/>
  <c r="J911" i="1" s="1"/>
  <c r="I912" i="1"/>
  <c r="J912" i="1" s="1"/>
  <c r="I913" i="1"/>
  <c r="J913" i="1" s="1"/>
  <c r="I914" i="1"/>
  <c r="J914" i="1" s="1"/>
  <c r="I915" i="1"/>
  <c r="J915" i="1" s="1"/>
  <c r="I916" i="1"/>
  <c r="J916" i="1" s="1"/>
  <c r="I917" i="1"/>
  <c r="J917" i="1" s="1"/>
  <c r="I918" i="1"/>
  <c r="J918" i="1" s="1"/>
  <c r="I919" i="1"/>
  <c r="J919" i="1" s="1"/>
  <c r="I920" i="1"/>
  <c r="J920" i="1" s="1"/>
  <c r="I921" i="1"/>
  <c r="J921" i="1" s="1"/>
  <c r="I922" i="1"/>
  <c r="J922" i="1" s="1"/>
  <c r="I923" i="1"/>
  <c r="J923" i="1" s="1"/>
  <c r="I924" i="1"/>
  <c r="J924" i="1" s="1"/>
  <c r="I925" i="1"/>
  <c r="J925" i="1" s="1"/>
  <c r="I926" i="1"/>
  <c r="J926" i="1" s="1"/>
  <c r="I927" i="1"/>
  <c r="J927" i="1" s="1"/>
  <c r="I928" i="1"/>
  <c r="J928" i="1" s="1"/>
  <c r="I929" i="1"/>
  <c r="J929" i="1" s="1"/>
  <c r="I930" i="1"/>
  <c r="J930" i="1" s="1"/>
  <c r="I931" i="1"/>
  <c r="J931" i="1" s="1"/>
  <c r="I932" i="1"/>
  <c r="J932" i="1" s="1"/>
  <c r="I933" i="1"/>
  <c r="J933" i="1" s="1"/>
  <c r="I934" i="1"/>
  <c r="J934" i="1" s="1"/>
  <c r="I935" i="1"/>
  <c r="J935" i="1" s="1"/>
  <c r="I936" i="1"/>
  <c r="J936" i="1" s="1"/>
  <c r="I937" i="1"/>
  <c r="J937" i="1" s="1"/>
  <c r="I938" i="1"/>
  <c r="J938" i="1" s="1"/>
  <c r="I939" i="1"/>
  <c r="J939" i="1" s="1"/>
  <c r="I940" i="1"/>
  <c r="J940" i="1" s="1"/>
  <c r="I941" i="1"/>
  <c r="J941" i="1" s="1"/>
  <c r="I942" i="1"/>
  <c r="J942" i="1" s="1"/>
  <c r="I943" i="1"/>
  <c r="J943" i="1" s="1"/>
  <c r="I944" i="1"/>
  <c r="J944" i="1" s="1"/>
  <c r="I945" i="1"/>
  <c r="J945" i="1" s="1"/>
  <c r="I946" i="1"/>
  <c r="J946" i="1" s="1"/>
  <c r="I947" i="1"/>
  <c r="J947" i="1" s="1"/>
  <c r="I948" i="1"/>
  <c r="J948" i="1" s="1"/>
  <c r="I949" i="1"/>
  <c r="J949" i="1" s="1"/>
  <c r="I950" i="1"/>
  <c r="J950" i="1" s="1"/>
  <c r="I951" i="1"/>
  <c r="J951" i="1" s="1"/>
  <c r="I952" i="1"/>
  <c r="J952" i="1" s="1"/>
  <c r="I953" i="1"/>
  <c r="J953" i="1" s="1"/>
  <c r="I954" i="1"/>
  <c r="J954" i="1" s="1"/>
  <c r="I955" i="1"/>
  <c r="J955" i="1" s="1"/>
  <c r="I956" i="1"/>
  <c r="J956" i="1" s="1"/>
  <c r="I957" i="1"/>
  <c r="J957" i="1" s="1"/>
  <c r="I958" i="1"/>
  <c r="J958" i="1" s="1"/>
  <c r="I959" i="1"/>
  <c r="J959" i="1" s="1"/>
  <c r="I960" i="1"/>
  <c r="J960" i="1" s="1"/>
  <c r="I961" i="1"/>
  <c r="J961" i="1" s="1"/>
  <c r="I962" i="1"/>
  <c r="J962" i="1" s="1"/>
  <c r="I963" i="1"/>
  <c r="J963" i="1" s="1"/>
  <c r="I964" i="1"/>
  <c r="J964" i="1" s="1"/>
  <c r="I965" i="1"/>
  <c r="J965" i="1" s="1"/>
  <c r="I966" i="1"/>
  <c r="J966" i="1" s="1"/>
  <c r="I967" i="1"/>
  <c r="J967" i="1" s="1"/>
  <c r="I968" i="1"/>
  <c r="J968" i="1" s="1"/>
  <c r="I969" i="1"/>
  <c r="J969" i="1" s="1"/>
  <c r="I970" i="1"/>
  <c r="J970" i="1" s="1"/>
  <c r="I971" i="1"/>
  <c r="J971" i="1" s="1"/>
  <c r="I972" i="1"/>
  <c r="J972" i="1" s="1"/>
  <c r="I973" i="1"/>
  <c r="J973" i="1" s="1"/>
  <c r="I974" i="1"/>
  <c r="J974" i="1" s="1"/>
  <c r="I975" i="1"/>
  <c r="J975" i="1" s="1"/>
  <c r="I976" i="1"/>
  <c r="J976" i="1" s="1"/>
  <c r="I977" i="1"/>
  <c r="J977" i="1" s="1"/>
  <c r="I978" i="1"/>
  <c r="J978" i="1" s="1"/>
  <c r="I979" i="1"/>
  <c r="J979" i="1" s="1"/>
  <c r="I980" i="1"/>
  <c r="J980" i="1" s="1"/>
  <c r="I981" i="1"/>
  <c r="J981" i="1" s="1"/>
  <c r="I982" i="1"/>
  <c r="J982" i="1" s="1"/>
  <c r="I983" i="1"/>
  <c r="J983" i="1" s="1"/>
  <c r="I984" i="1"/>
  <c r="J984" i="1" s="1"/>
  <c r="I985" i="1"/>
  <c r="J985" i="1" s="1"/>
  <c r="I986" i="1"/>
  <c r="J986" i="1" s="1"/>
  <c r="I987" i="1"/>
  <c r="J987" i="1" s="1"/>
  <c r="I988" i="1"/>
  <c r="J988" i="1" s="1"/>
  <c r="I989" i="1"/>
  <c r="J989" i="1" s="1"/>
  <c r="I990" i="1"/>
  <c r="J990" i="1" s="1"/>
  <c r="I991" i="1"/>
  <c r="J991" i="1" s="1"/>
  <c r="I992" i="1"/>
  <c r="J992" i="1" s="1"/>
  <c r="I993" i="1"/>
  <c r="J993" i="1" s="1"/>
  <c r="I994" i="1"/>
  <c r="J994" i="1" s="1"/>
  <c r="I995" i="1"/>
  <c r="J995" i="1" s="1"/>
  <c r="I996" i="1"/>
  <c r="J996" i="1" s="1"/>
  <c r="I997" i="1"/>
  <c r="J997" i="1" s="1"/>
  <c r="I998" i="1"/>
  <c r="J998" i="1" s="1"/>
  <c r="I999" i="1"/>
  <c r="J999" i="1" s="1"/>
  <c r="I1000" i="1"/>
  <c r="J1000" i="1" s="1"/>
  <c r="I1001" i="1"/>
  <c r="J1001" i="1" s="1"/>
  <c r="P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P633" i="3"/>
  <c r="P634" i="3"/>
  <c r="P635" i="3"/>
  <c r="P636" i="3"/>
  <c r="P637" i="3"/>
  <c r="P638" i="3"/>
  <c r="P639" i="3"/>
  <c r="P640" i="3"/>
  <c r="P641" i="3"/>
  <c r="P642" i="3"/>
  <c r="P643" i="3"/>
  <c r="P644" i="3"/>
  <c r="P645" i="3"/>
  <c r="P646" i="3"/>
  <c r="P647" i="3"/>
  <c r="P648" i="3"/>
  <c r="P649" i="3"/>
  <c r="P650" i="3"/>
  <c r="P651" i="3"/>
  <c r="P652" i="3"/>
  <c r="P653" i="3"/>
  <c r="P654" i="3"/>
  <c r="P655" i="3"/>
  <c r="P656" i="3"/>
  <c r="P657" i="3"/>
  <c r="P658" i="3"/>
  <c r="P659" i="3"/>
  <c r="P660" i="3"/>
  <c r="P661" i="3"/>
  <c r="P662" i="3"/>
  <c r="P663" i="3"/>
  <c r="P664" i="3"/>
  <c r="P665" i="3"/>
  <c r="P666" i="3"/>
  <c r="P667" i="3"/>
  <c r="P668" i="3"/>
  <c r="P669" i="3"/>
  <c r="P670" i="3"/>
  <c r="P671" i="3"/>
  <c r="P672" i="3"/>
  <c r="P673" i="3"/>
  <c r="P674" i="3"/>
  <c r="P675" i="3"/>
  <c r="P676" i="3"/>
  <c r="P677" i="3"/>
  <c r="P678" i="3"/>
  <c r="P679" i="3"/>
  <c r="P680" i="3"/>
  <c r="P681" i="3"/>
  <c r="P682" i="3"/>
  <c r="P683" i="3"/>
  <c r="P684" i="3"/>
  <c r="P685" i="3"/>
  <c r="P686" i="3"/>
  <c r="P687" i="3"/>
  <c r="P688" i="3"/>
  <c r="P689" i="3"/>
  <c r="P690" i="3"/>
  <c r="P691" i="3"/>
  <c r="P692" i="3"/>
  <c r="P693" i="3"/>
  <c r="P694" i="3"/>
  <c r="P695" i="3"/>
  <c r="P696" i="3"/>
  <c r="P697" i="3"/>
  <c r="P698" i="3"/>
  <c r="P699" i="3"/>
  <c r="P700" i="3"/>
  <c r="P701" i="3"/>
  <c r="P702" i="3"/>
  <c r="P703" i="3"/>
  <c r="P704" i="3"/>
  <c r="P705" i="3"/>
  <c r="P706" i="3"/>
  <c r="P707" i="3"/>
  <c r="P708" i="3"/>
  <c r="P709" i="3"/>
  <c r="P710" i="3"/>
  <c r="P711" i="3"/>
  <c r="P712" i="3"/>
  <c r="P713" i="3"/>
  <c r="P714" i="3"/>
  <c r="P715" i="3"/>
  <c r="P716" i="3"/>
  <c r="P717" i="3"/>
  <c r="P718" i="3"/>
  <c r="P719" i="3"/>
  <c r="P720" i="3"/>
  <c r="P721" i="3"/>
  <c r="P722" i="3"/>
  <c r="P723" i="3"/>
  <c r="P724" i="3"/>
  <c r="P725" i="3"/>
  <c r="P726" i="3"/>
  <c r="P727" i="3"/>
  <c r="P728" i="3"/>
  <c r="P729" i="3"/>
  <c r="P730" i="3"/>
  <c r="P731" i="3"/>
  <c r="P732" i="3"/>
  <c r="P733" i="3"/>
  <c r="P734" i="3"/>
  <c r="P735" i="3"/>
  <c r="P736" i="3"/>
  <c r="P737" i="3"/>
  <c r="P738" i="3"/>
  <c r="P739" i="3"/>
  <c r="P740" i="3"/>
  <c r="P741" i="3"/>
  <c r="P742" i="3"/>
  <c r="P743" i="3"/>
  <c r="P744" i="3"/>
  <c r="P745" i="3"/>
  <c r="P746" i="3"/>
  <c r="P747" i="3"/>
  <c r="P748" i="3"/>
  <c r="P749" i="3"/>
  <c r="P750" i="3"/>
  <c r="P751" i="3"/>
  <c r="P752" i="3"/>
  <c r="P753" i="3"/>
  <c r="P754" i="3"/>
  <c r="P755" i="3"/>
  <c r="P756" i="3"/>
  <c r="P757" i="3"/>
  <c r="P758" i="3"/>
  <c r="P759" i="3"/>
  <c r="P760" i="3"/>
  <c r="P761" i="3"/>
  <c r="P762" i="3"/>
  <c r="P763" i="3"/>
  <c r="P764" i="3"/>
  <c r="P765" i="3"/>
  <c r="P766" i="3"/>
  <c r="P767" i="3"/>
  <c r="P768" i="3"/>
  <c r="P769" i="3"/>
  <c r="P770" i="3"/>
  <c r="P771" i="3"/>
  <c r="P772" i="3"/>
  <c r="P773" i="3"/>
  <c r="P774" i="3"/>
  <c r="P775" i="3"/>
  <c r="P776" i="3"/>
  <c r="P777" i="3"/>
  <c r="P778" i="3"/>
  <c r="P779" i="3"/>
  <c r="P780" i="3"/>
  <c r="P781" i="3"/>
  <c r="P782" i="3"/>
  <c r="P783" i="3"/>
  <c r="P784" i="3"/>
  <c r="P785" i="3"/>
  <c r="P786" i="3"/>
  <c r="P787" i="3"/>
  <c r="P788" i="3"/>
  <c r="P789" i="3"/>
  <c r="P790" i="3"/>
  <c r="P791" i="3"/>
  <c r="P792" i="3"/>
  <c r="P793" i="3"/>
  <c r="P794" i="3"/>
  <c r="P795" i="3"/>
  <c r="P796" i="3"/>
  <c r="P797" i="3"/>
  <c r="P798" i="3"/>
  <c r="P799" i="3"/>
  <c r="P800" i="3"/>
  <c r="P801" i="3"/>
  <c r="P802" i="3"/>
  <c r="P803" i="3"/>
  <c r="P804" i="3"/>
  <c r="P805" i="3"/>
  <c r="P806" i="3"/>
  <c r="P807" i="3"/>
  <c r="P808" i="3"/>
  <c r="P809" i="3"/>
  <c r="P810" i="3"/>
  <c r="P811" i="3"/>
  <c r="P812" i="3"/>
  <c r="P813" i="3"/>
  <c r="P814" i="3"/>
  <c r="P815" i="3"/>
  <c r="P816" i="3"/>
  <c r="P817" i="3"/>
  <c r="P818" i="3"/>
  <c r="P819" i="3"/>
  <c r="P820" i="3"/>
  <c r="P821" i="3"/>
  <c r="P822" i="3"/>
  <c r="P823" i="3"/>
  <c r="P824" i="3"/>
  <c r="P825" i="3"/>
  <c r="P826" i="3"/>
  <c r="P827" i="3"/>
  <c r="P828" i="3"/>
  <c r="P829" i="3"/>
  <c r="P830" i="3"/>
  <c r="P831" i="3"/>
  <c r="P832" i="3"/>
  <c r="P833" i="3"/>
  <c r="P834" i="3"/>
  <c r="P835" i="3"/>
  <c r="P836" i="3"/>
  <c r="P837" i="3"/>
  <c r="P838" i="3"/>
  <c r="P839" i="3"/>
  <c r="P840" i="3"/>
  <c r="P841" i="3"/>
  <c r="P842" i="3"/>
  <c r="P843" i="3"/>
  <c r="P844" i="3"/>
  <c r="P845" i="3"/>
  <c r="P846" i="3"/>
  <c r="P847" i="3"/>
  <c r="P848" i="3"/>
  <c r="P849" i="3"/>
  <c r="P850" i="3"/>
  <c r="P851" i="3"/>
  <c r="P852" i="3"/>
  <c r="P853" i="3"/>
  <c r="P854" i="3"/>
  <c r="P855" i="3"/>
  <c r="P856" i="3"/>
  <c r="P857" i="3"/>
  <c r="P858" i="3"/>
  <c r="P859" i="3"/>
  <c r="P860" i="3"/>
  <c r="P861" i="3"/>
  <c r="P862" i="3"/>
  <c r="P863" i="3"/>
  <c r="P864" i="3"/>
  <c r="P865" i="3"/>
  <c r="P866" i="3"/>
  <c r="P867" i="3"/>
  <c r="P868" i="3"/>
  <c r="P869" i="3"/>
  <c r="P870" i="3"/>
  <c r="P871" i="3"/>
  <c r="P872" i="3"/>
  <c r="P873" i="3"/>
  <c r="P874" i="3"/>
  <c r="P875" i="3"/>
  <c r="P876" i="3"/>
  <c r="P877" i="3"/>
  <c r="P878" i="3"/>
  <c r="P879" i="3"/>
  <c r="P880" i="3"/>
  <c r="P881" i="3"/>
  <c r="P882" i="3"/>
  <c r="P883" i="3"/>
  <c r="P884" i="3"/>
  <c r="P885" i="3"/>
  <c r="P886" i="3"/>
  <c r="P887" i="3"/>
  <c r="P888" i="3"/>
  <c r="P889" i="3"/>
  <c r="P890" i="3"/>
  <c r="P891" i="3"/>
  <c r="P892" i="3"/>
  <c r="P893" i="3"/>
  <c r="P894" i="3"/>
  <c r="P895" i="3"/>
  <c r="P896" i="3"/>
  <c r="P897" i="3"/>
  <c r="P898" i="3"/>
  <c r="P899" i="3"/>
  <c r="P900" i="3"/>
  <c r="P901" i="3"/>
  <c r="P902" i="3"/>
  <c r="P903" i="3"/>
  <c r="P904" i="3"/>
  <c r="P905" i="3"/>
  <c r="P906" i="3"/>
  <c r="P907" i="3"/>
  <c r="P908" i="3"/>
  <c r="P909" i="3"/>
  <c r="P910" i="3"/>
  <c r="P911" i="3"/>
  <c r="P912" i="3"/>
  <c r="P913" i="3"/>
  <c r="P914" i="3"/>
  <c r="P915" i="3"/>
  <c r="P916" i="3"/>
  <c r="P917" i="3"/>
  <c r="P918" i="3"/>
  <c r="P919" i="3"/>
  <c r="P920" i="3"/>
  <c r="P921" i="3"/>
  <c r="P922" i="3"/>
  <c r="P923" i="3"/>
  <c r="P924" i="3"/>
  <c r="P925" i="3"/>
  <c r="P926" i="3"/>
  <c r="P927" i="3"/>
  <c r="P928" i="3"/>
  <c r="P929" i="3"/>
  <c r="P930" i="3"/>
  <c r="P931" i="3"/>
  <c r="P932" i="3"/>
  <c r="P933" i="3"/>
  <c r="P934" i="3"/>
  <c r="P935" i="3"/>
  <c r="P936" i="3"/>
  <c r="P937" i="3"/>
  <c r="P938" i="3"/>
  <c r="P939" i="3"/>
  <c r="P940" i="3"/>
  <c r="P941" i="3"/>
  <c r="P942" i="3"/>
  <c r="P943" i="3"/>
  <c r="P944" i="3"/>
  <c r="P945" i="3"/>
  <c r="P946" i="3"/>
  <c r="P947" i="3"/>
  <c r="P948" i="3"/>
  <c r="P949" i="3"/>
  <c r="P950" i="3"/>
  <c r="P951" i="3"/>
  <c r="P952" i="3"/>
  <c r="P953" i="3"/>
  <c r="P954" i="3"/>
  <c r="P955" i="3"/>
  <c r="P956" i="3"/>
  <c r="P957" i="3"/>
  <c r="P958" i="3"/>
  <c r="P959" i="3"/>
  <c r="P960" i="3"/>
  <c r="P961" i="3"/>
  <c r="P962" i="3"/>
  <c r="P963" i="3"/>
  <c r="P964" i="3"/>
  <c r="P965" i="3"/>
  <c r="P966" i="3"/>
  <c r="P967" i="3"/>
  <c r="P968" i="3"/>
  <c r="P969" i="3"/>
  <c r="P970" i="3"/>
  <c r="P971" i="3"/>
  <c r="P972" i="3"/>
  <c r="P973" i="3"/>
  <c r="P974" i="3"/>
  <c r="P975" i="3"/>
  <c r="P976" i="3"/>
  <c r="P977" i="3"/>
  <c r="P978" i="3"/>
  <c r="P979" i="3"/>
  <c r="P980" i="3"/>
  <c r="P981" i="3"/>
  <c r="P982" i="3"/>
  <c r="P983" i="3"/>
  <c r="P984" i="3"/>
  <c r="P985" i="3"/>
  <c r="P986" i="3"/>
  <c r="P987" i="3"/>
  <c r="P988" i="3"/>
  <c r="P989" i="3"/>
  <c r="P990" i="3"/>
  <c r="P991" i="3"/>
  <c r="P992" i="3"/>
  <c r="P993" i="3"/>
  <c r="P994" i="3"/>
  <c r="P995" i="3"/>
  <c r="P996" i="3"/>
  <c r="P997" i="3"/>
  <c r="P998" i="3"/>
  <c r="P999" i="3"/>
  <c r="P1000" i="3"/>
  <c r="P1001" i="3"/>
  <c r="H2" i="3"/>
  <c r="N2" i="3" s="1"/>
  <c r="H3" i="3"/>
  <c r="N3" i="3" s="1"/>
  <c r="H4" i="3"/>
  <c r="N4" i="3" s="1"/>
  <c r="H5" i="3"/>
  <c r="N5" i="3" s="1"/>
  <c r="H6" i="3"/>
  <c r="N6" i="3" s="1"/>
  <c r="H7" i="3"/>
  <c r="N7" i="3" s="1"/>
  <c r="H8" i="3"/>
  <c r="N8" i="3" s="1"/>
  <c r="H9" i="3"/>
  <c r="N9" i="3" s="1"/>
  <c r="H10" i="3"/>
  <c r="N10" i="3" s="1"/>
  <c r="H11" i="3"/>
  <c r="N11" i="3" s="1"/>
  <c r="H12" i="3"/>
  <c r="N12" i="3" s="1"/>
  <c r="H13" i="3"/>
  <c r="N13" i="3" s="1"/>
  <c r="H14" i="3"/>
  <c r="N14" i="3" s="1"/>
  <c r="H15" i="3"/>
  <c r="N15" i="3" s="1"/>
  <c r="H16" i="3"/>
  <c r="N16" i="3" s="1"/>
  <c r="H17" i="3"/>
  <c r="N17" i="3" s="1"/>
  <c r="H18" i="3"/>
  <c r="N18" i="3" s="1"/>
  <c r="H19" i="3"/>
  <c r="N19" i="3" s="1"/>
  <c r="H20" i="3"/>
  <c r="N20" i="3" s="1"/>
  <c r="H21" i="3"/>
  <c r="N21" i="3" s="1"/>
  <c r="H22" i="3"/>
  <c r="N22" i="3" s="1"/>
  <c r="H23" i="3"/>
  <c r="N23" i="3" s="1"/>
  <c r="H24" i="3"/>
  <c r="N24" i="3" s="1"/>
  <c r="H25" i="3"/>
  <c r="N25" i="3" s="1"/>
  <c r="H26" i="3"/>
  <c r="N26" i="3" s="1"/>
  <c r="H27" i="3"/>
  <c r="N27" i="3" s="1"/>
  <c r="H28" i="3"/>
  <c r="N28" i="3" s="1"/>
  <c r="H29" i="3"/>
  <c r="N29" i="3" s="1"/>
  <c r="H30" i="3"/>
  <c r="N30" i="3" s="1"/>
  <c r="H31" i="3"/>
  <c r="N31" i="3" s="1"/>
  <c r="H32" i="3"/>
  <c r="N32" i="3" s="1"/>
  <c r="H33" i="3"/>
  <c r="N33" i="3" s="1"/>
  <c r="H34" i="3"/>
  <c r="N34" i="3" s="1"/>
  <c r="H35" i="3"/>
  <c r="N35" i="3" s="1"/>
  <c r="H36" i="3"/>
  <c r="N36" i="3" s="1"/>
  <c r="H37" i="3"/>
  <c r="N37" i="3" s="1"/>
  <c r="H38" i="3"/>
  <c r="N38" i="3" s="1"/>
  <c r="H39" i="3"/>
  <c r="N39" i="3" s="1"/>
  <c r="H40" i="3"/>
  <c r="N40" i="3" s="1"/>
  <c r="H41" i="3"/>
  <c r="N41" i="3" s="1"/>
  <c r="H42" i="3"/>
  <c r="N42" i="3" s="1"/>
  <c r="H43" i="3"/>
  <c r="N43" i="3" s="1"/>
  <c r="H44" i="3"/>
  <c r="N44" i="3" s="1"/>
  <c r="H45" i="3"/>
  <c r="N45" i="3" s="1"/>
  <c r="H46" i="3"/>
  <c r="N46" i="3" s="1"/>
  <c r="H47" i="3"/>
  <c r="N47" i="3" s="1"/>
  <c r="H48" i="3"/>
  <c r="N48" i="3" s="1"/>
  <c r="H49" i="3"/>
  <c r="N49" i="3" s="1"/>
  <c r="H50" i="3"/>
  <c r="N50" i="3" s="1"/>
  <c r="H51" i="3"/>
  <c r="N51" i="3" s="1"/>
  <c r="H52" i="3"/>
  <c r="N52" i="3" s="1"/>
  <c r="H53" i="3"/>
  <c r="N53" i="3" s="1"/>
  <c r="H54" i="3"/>
  <c r="N54" i="3" s="1"/>
  <c r="H55" i="3"/>
  <c r="N55" i="3" s="1"/>
  <c r="H56" i="3"/>
  <c r="N56" i="3" s="1"/>
  <c r="H57" i="3"/>
  <c r="N57" i="3" s="1"/>
  <c r="H58" i="3"/>
  <c r="N58" i="3" s="1"/>
  <c r="H59" i="3"/>
  <c r="N59" i="3" s="1"/>
  <c r="H60" i="3"/>
  <c r="N60" i="3" s="1"/>
  <c r="H61" i="3"/>
  <c r="N61" i="3" s="1"/>
  <c r="H62" i="3"/>
  <c r="N62" i="3" s="1"/>
  <c r="H63" i="3"/>
  <c r="N63" i="3" s="1"/>
  <c r="H64" i="3"/>
  <c r="N64" i="3" s="1"/>
  <c r="H65" i="3"/>
  <c r="N65" i="3" s="1"/>
  <c r="H66" i="3"/>
  <c r="N66" i="3" s="1"/>
  <c r="H67" i="3"/>
  <c r="N67" i="3" s="1"/>
  <c r="H68" i="3"/>
  <c r="N68" i="3" s="1"/>
  <c r="H69" i="3"/>
  <c r="N69" i="3" s="1"/>
  <c r="H70" i="3"/>
  <c r="N70" i="3" s="1"/>
  <c r="H71" i="3"/>
  <c r="N71" i="3" s="1"/>
  <c r="H72" i="3"/>
  <c r="N72" i="3" s="1"/>
  <c r="H73" i="3"/>
  <c r="N73" i="3" s="1"/>
  <c r="H74" i="3"/>
  <c r="N74" i="3" s="1"/>
  <c r="H75" i="3"/>
  <c r="N75" i="3" s="1"/>
  <c r="H76" i="3"/>
  <c r="N76" i="3" s="1"/>
  <c r="H77" i="3"/>
  <c r="N77" i="3" s="1"/>
  <c r="H78" i="3"/>
  <c r="N78" i="3" s="1"/>
  <c r="H79" i="3"/>
  <c r="N79" i="3" s="1"/>
  <c r="H80" i="3"/>
  <c r="N80" i="3" s="1"/>
  <c r="H81" i="3"/>
  <c r="N81" i="3" s="1"/>
  <c r="H82" i="3"/>
  <c r="N82" i="3" s="1"/>
  <c r="H83" i="3"/>
  <c r="N83" i="3" s="1"/>
  <c r="H84" i="3"/>
  <c r="N84" i="3" s="1"/>
  <c r="H85" i="3"/>
  <c r="N85" i="3" s="1"/>
  <c r="H86" i="3"/>
  <c r="N86" i="3" s="1"/>
  <c r="H87" i="3"/>
  <c r="N87" i="3" s="1"/>
  <c r="H88" i="3"/>
  <c r="N88" i="3" s="1"/>
  <c r="H89" i="3"/>
  <c r="N89" i="3" s="1"/>
  <c r="H90" i="3"/>
  <c r="N90" i="3" s="1"/>
  <c r="H91" i="3"/>
  <c r="N91" i="3" s="1"/>
  <c r="H92" i="3"/>
  <c r="N92" i="3" s="1"/>
  <c r="H93" i="3"/>
  <c r="N93" i="3" s="1"/>
  <c r="H94" i="3"/>
  <c r="N94" i="3" s="1"/>
  <c r="H95" i="3"/>
  <c r="N95" i="3" s="1"/>
  <c r="H96" i="3"/>
  <c r="N96" i="3" s="1"/>
  <c r="H97" i="3"/>
  <c r="N97" i="3" s="1"/>
  <c r="H98" i="3"/>
  <c r="N98" i="3" s="1"/>
  <c r="H99" i="3"/>
  <c r="N99" i="3" s="1"/>
  <c r="H100" i="3"/>
  <c r="N100" i="3" s="1"/>
  <c r="H101" i="3"/>
  <c r="N101" i="3" s="1"/>
  <c r="H102" i="3"/>
  <c r="N102" i="3" s="1"/>
  <c r="H103" i="3"/>
  <c r="N103" i="3" s="1"/>
  <c r="H104" i="3"/>
  <c r="N104" i="3" s="1"/>
  <c r="H105" i="3"/>
  <c r="N105" i="3" s="1"/>
  <c r="H106" i="3"/>
  <c r="N106" i="3" s="1"/>
  <c r="H107" i="3"/>
  <c r="N107" i="3" s="1"/>
  <c r="H108" i="3"/>
  <c r="N108" i="3" s="1"/>
  <c r="H109" i="3"/>
  <c r="N109" i="3" s="1"/>
  <c r="H110" i="3"/>
  <c r="N110" i="3" s="1"/>
  <c r="H111" i="3"/>
  <c r="N111" i="3" s="1"/>
  <c r="H112" i="3"/>
  <c r="N112" i="3" s="1"/>
  <c r="H113" i="3"/>
  <c r="N113" i="3" s="1"/>
  <c r="H114" i="3"/>
  <c r="N114" i="3" s="1"/>
  <c r="H115" i="3"/>
  <c r="N115" i="3" s="1"/>
  <c r="H116" i="3"/>
  <c r="N116" i="3" s="1"/>
  <c r="H117" i="3"/>
  <c r="N117" i="3" s="1"/>
  <c r="H118" i="3"/>
  <c r="N118" i="3" s="1"/>
  <c r="H119" i="3"/>
  <c r="N119" i="3" s="1"/>
  <c r="H120" i="3"/>
  <c r="N120" i="3" s="1"/>
  <c r="H121" i="3"/>
  <c r="N121" i="3" s="1"/>
  <c r="H122" i="3"/>
  <c r="N122" i="3" s="1"/>
  <c r="H123" i="3"/>
  <c r="N123" i="3" s="1"/>
  <c r="H124" i="3"/>
  <c r="N124" i="3" s="1"/>
  <c r="H125" i="3"/>
  <c r="N125" i="3" s="1"/>
  <c r="H126" i="3"/>
  <c r="N126" i="3" s="1"/>
  <c r="H127" i="3"/>
  <c r="N127" i="3" s="1"/>
  <c r="H128" i="3"/>
  <c r="N128" i="3" s="1"/>
  <c r="H129" i="3"/>
  <c r="N129" i="3" s="1"/>
  <c r="H130" i="3"/>
  <c r="N130" i="3" s="1"/>
  <c r="H131" i="3"/>
  <c r="N131" i="3" s="1"/>
  <c r="H132" i="3"/>
  <c r="N132" i="3" s="1"/>
  <c r="H133" i="3"/>
  <c r="N133" i="3" s="1"/>
  <c r="H134" i="3"/>
  <c r="N134" i="3" s="1"/>
  <c r="H135" i="3"/>
  <c r="N135" i="3" s="1"/>
  <c r="H136" i="3"/>
  <c r="N136" i="3" s="1"/>
  <c r="H137" i="3"/>
  <c r="N137" i="3" s="1"/>
  <c r="H138" i="3"/>
  <c r="N138" i="3" s="1"/>
  <c r="H139" i="3"/>
  <c r="N139" i="3" s="1"/>
  <c r="H140" i="3"/>
  <c r="N140" i="3" s="1"/>
  <c r="H141" i="3"/>
  <c r="N141" i="3" s="1"/>
  <c r="H142" i="3"/>
  <c r="N142" i="3" s="1"/>
  <c r="H143" i="3"/>
  <c r="N143" i="3" s="1"/>
  <c r="H144" i="3"/>
  <c r="N144" i="3" s="1"/>
  <c r="H145" i="3"/>
  <c r="N145" i="3" s="1"/>
  <c r="H146" i="3"/>
  <c r="N146" i="3" s="1"/>
  <c r="H147" i="3"/>
  <c r="N147" i="3" s="1"/>
  <c r="H148" i="3"/>
  <c r="N148" i="3" s="1"/>
  <c r="H149" i="3"/>
  <c r="N149" i="3" s="1"/>
  <c r="H150" i="3"/>
  <c r="N150" i="3" s="1"/>
  <c r="H151" i="3"/>
  <c r="N151" i="3" s="1"/>
  <c r="H152" i="3"/>
  <c r="N152" i="3" s="1"/>
  <c r="H153" i="3"/>
  <c r="N153" i="3" s="1"/>
  <c r="H154" i="3"/>
  <c r="N154" i="3" s="1"/>
  <c r="H155" i="3"/>
  <c r="N155" i="3" s="1"/>
  <c r="H156" i="3"/>
  <c r="N156" i="3" s="1"/>
  <c r="H157" i="3"/>
  <c r="N157" i="3" s="1"/>
  <c r="H158" i="3"/>
  <c r="N158" i="3" s="1"/>
  <c r="H159" i="3"/>
  <c r="N159" i="3" s="1"/>
  <c r="H160" i="3"/>
  <c r="N160" i="3" s="1"/>
  <c r="H161" i="3"/>
  <c r="N161" i="3" s="1"/>
  <c r="H162" i="3"/>
  <c r="N162" i="3" s="1"/>
  <c r="H163" i="3"/>
  <c r="N163" i="3" s="1"/>
  <c r="H164" i="3"/>
  <c r="N164" i="3" s="1"/>
  <c r="H165" i="3"/>
  <c r="N165" i="3" s="1"/>
  <c r="H166" i="3"/>
  <c r="N166" i="3" s="1"/>
  <c r="H167" i="3"/>
  <c r="N167" i="3" s="1"/>
  <c r="H168" i="3"/>
  <c r="N168" i="3" s="1"/>
  <c r="H169" i="3"/>
  <c r="N169" i="3" s="1"/>
  <c r="H170" i="3"/>
  <c r="N170" i="3" s="1"/>
  <c r="H171" i="3"/>
  <c r="N171" i="3" s="1"/>
  <c r="H172" i="3"/>
  <c r="N172" i="3" s="1"/>
  <c r="H173" i="3"/>
  <c r="N173" i="3" s="1"/>
  <c r="H174" i="3"/>
  <c r="N174" i="3" s="1"/>
  <c r="H175" i="3"/>
  <c r="N175" i="3" s="1"/>
  <c r="H176" i="3"/>
  <c r="N176" i="3" s="1"/>
  <c r="H177" i="3"/>
  <c r="N177" i="3" s="1"/>
  <c r="H178" i="3"/>
  <c r="N178" i="3" s="1"/>
  <c r="H179" i="3"/>
  <c r="N179" i="3" s="1"/>
  <c r="H180" i="3"/>
  <c r="N180" i="3" s="1"/>
  <c r="H181" i="3"/>
  <c r="N181" i="3" s="1"/>
  <c r="H182" i="3"/>
  <c r="N182" i="3" s="1"/>
  <c r="H183" i="3"/>
  <c r="N183" i="3" s="1"/>
  <c r="H184" i="3"/>
  <c r="N184" i="3" s="1"/>
  <c r="H185" i="3"/>
  <c r="N185" i="3" s="1"/>
  <c r="H186" i="3"/>
  <c r="N186" i="3" s="1"/>
  <c r="H187" i="3"/>
  <c r="N187" i="3" s="1"/>
  <c r="H188" i="3"/>
  <c r="N188" i="3" s="1"/>
  <c r="H189" i="3"/>
  <c r="N189" i="3" s="1"/>
  <c r="H190" i="3"/>
  <c r="N190" i="3" s="1"/>
  <c r="H191" i="3"/>
  <c r="N191" i="3" s="1"/>
  <c r="H192" i="3"/>
  <c r="N192" i="3" s="1"/>
  <c r="H193" i="3"/>
  <c r="N193" i="3" s="1"/>
  <c r="H194" i="3"/>
  <c r="N194" i="3" s="1"/>
  <c r="H195" i="3"/>
  <c r="N195" i="3" s="1"/>
  <c r="H196" i="3"/>
  <c r="N196" i="3" s="1"/>
  <c r="H197" i="3"/>
  <c r="N197" i="3" s="1"/>
  <c r="H198" i="3"/>
  <c r="N198" i="3" s="1"/>
  <c r="H199" i="3"/>
  <c r="N199" i="3" s="1"/>
  <c r="H200" i="3"/>
  <c r="N200" i="3" s="1"/>
  <c r="H201" i="3"/>
  <c r="N201" i="3" s="1"/>
  <c r="H202" i="3"/>
  <c r="N202" i="3" s="1"/>
  <c r="H203" i="3"/>
  <c r="N203" i="3" s="1"/>
  <c r="H204" i="3"/>
  <c r="N204" i="3" s="1"/>
  <c r="H205" i="3"/>
  <c r="N205" i="3" s="1"/>
  <c r="H206" i="3"/>
  <c r="N206" i="3" s="1"/>
  <c r="H207" i="3"/>
  <c r="N207" i="3" s="1"/>
  <c r="H208" i="3"/>
  <c r="N208" i="3" s="1"/>
  <c r="H209" i="3"/>
  <c r="N209" i="3" s="1"/>
  <c r="H210" i="3"/>
  <c r="N210" i="3" s="1"/>
  <c r="H211" i="3"/>
  <c r="N211" i="3" s="1"/>
  <c r="H212" i="3"/>
  <c r="N212" i="3" s="1"/>
  <c r="H213" i="3"/>
  <c r="N213" i="3" s="1"/>
  <c r="H214" i="3"/>
  <c r="N214" i="3" s="1"/>
  <c r="H215" i="3"/>
  <c r="N215" i="3" s="1"/>
  <c r="H216" i="3"/>
  <c r="N216" i="3" s="1"/>
  <c r="H217" i="3"/>
  <c r="N217" i="3" s="1"/>
  <c r="H218" i="3"/>
  <c r="N218" i="3" s="1"/>
  <c r="H219" i="3"/>
  <c r="N219" i="3" s="1"/>
  <c r="H220" i="3"/>
  <c r="N220" i="3" s="1"/>
  <c r="H221" i="3"/>
  <c r="N221" i="3" s="1"/>
  <c r="H222" i="3"/>
  <c r="N222" i="3" s="1"/>
  <c r="H223" i="3"/>
  <c r="N223" i="3" s="1"/>
  <c r="H224" i="3"/>
  <c r="N224" i="3" s="1"/>
  <c r="H225" i="3"/>
  <c r="N225" i="3" s="1"/>
  <c r="H226" i="3"/>
  <c r="N226" i="3" s="1"/>
  <c r="H227" i="3"/>
  <c r="N227" i="3" s="1"/>
  <c r="H228" i="3"/>
  <c r="N228" i="3" s="1"/>
  <c r="H229" i="3"/>
  <c r="N229" i="3" s="1"/>
  <c r="H230" i="3"/>
  <c r="N230" i="3" s="1"/>
  <c r="H231" i="3"/>
  <c r="N231" i="3" s="1"/>
  <c r="H232" i="3"/>
  <c r="N232" i="3" s="1"/>
  <c r="H233" i="3"/>
  <c r="N233" i="3" s="1"/>
  <c r="H234" i="3"/>
  <c r="N234" i="3" s="1"/>
  <c r="H235" i="3"/>
  <c r="N235" i="3" s="1"/>
  <c r="H236" i="3"/>
  <c r="N236" i="3" s="1"/>
  <c r="H237" i="3"/>
  <c r="N237" i="3" s="1"/>
  <c r="H238" i="3"/>
  <c r="N238" i="3" s="1"/>
  <c r="H239" i="3"/>
  <c r="N239" i="3" s="1"/>
  <c r="H240" i="3"/>
  <c r="N240" i="3" s="1"/>
  <c r="H241" i="3"/>
  <c r="N241" i="3" s="1"/>
  <c r="H242" i="3"/>
  <c r="N242" i="3" s="1"/>
  <c r="H243" i="3"/>
  <c r="N243" i="3" s="1"/>
  <c r="H244" i="3"/>
  <c r="N244" i="3" s="1"/>
  <c r="H245" i="3"/>
  <c r="N245" i="3" s="1"/>
  <c r="H246" i="3"/>
  <c r="N246" i="3" s="1"/>
  <c r="H247" i="3"/>
  <c r="N247" i="3" s="1"/>
  <c r="H248" i="3"/>
  <c r="N248" i="3" s="1"/>
  <c r="H249" i="3"/>
  <c r="N249" i="3" s="1"/>
  <c r="H250" i="3"/>
  <c r="N250" i="3" s="1"/>
  <c r="H251" i="3"/>
  <c r="N251" i="3" s="1"/>
  <c r="H252" i="3"/>
  <c r="N252" i="3" s="1"/>
  <c r="H253" i="3"/>
  <c r="N253" i="3" s="1"/>
  <c r="H254" i="3"/>
  <c r="N254" i="3" s="1"/>
  <c r="H255" i="3"/>
  <c r="N255" i="3" s="1"/>
  <c r="H256" i="3"/>
  <c r="N256" i="3" s="1"/>
  <c r="H257" i="3"/>
  <c r="N257" i="3" s="1"/>
  <c r="H258" i="3"/>
  <c r="N258" i="3" s="1"/>
  <c r="H259" i="3"/>
  <c r="N259" i="3" s="1"/>
  <c r="H260" i="3"/>
  <c r="N260" i="3" s="1"/>
  <c r="H261" i="3"/>
  <c r="N261" i="3" s="1"/>
  <c r="H262" i="3"/>
  <c r="N262" i="3" s="1"/>
  <c r="H263" i="3"/>
  <c r="N263" i="3" s="1"/>
  <c r="H264" i="3"/>
  <c r="N264" i="3" s="1"/>
  <c r="H265" i="3"/>
  <c r="N265" i="3" s="1"/>
  <c r="H266" i="3"/>
  <c r="N266" i="3" s="1"/>
  <c r="H267" i="3"/>
  <c r="N267" i="3" s="1"/>
  <c r="H268" i="3"/>
  <c r="N268" i="3" s="1"/>
  <c r="H269" i="3"/>
  <c r="N269" i="3" s="1"/>
  <c r="H270" i="3"/>
  <c r="N270" i="3" s="1"/>
  <c r="H271" i="3"/>
  <c r="N271" i="3" s="1"/>
  <c r="H272" i="3"/>
  <c r="N272" i="3" s="1"/>
  <c r="H273" i="3"/>
  <c r="N273" i="3" s="1"/>
  <c r="H274" i="3"/>
  <c r="N274" i="3" s="1"/>
  <c r="H275" i="3"/>
  <c r="N275" i="3" s="1"/>
  <c r="H276" i="3"/>
  <c r="N276" i="3" s="1"/>
  <c r="H277" i="3"/>
  <c r="N277" i="3" s="1"/>
  <c r="H278" i="3"/>
  <c r="N278" i="3" s="1"/>
  <c r="H279" i="3"/>
  <c r="N279" i="3" s="1"/>
  <c r="H280" i="3"/>
  <c r="N280" i="3" s="1"/>
  <c r="H281" i="3"/>
  <c r="N281" i="3" s="1"/>
  <c r="H282" i="3"/>
  <c r="N282" i="3" s="1"/>
  <c r="H283" i="3"/>
  <c r="N283" i="3" s="1"/>
  <c r="H284" i="3"/>
  <c r="N284" i="3" s="1"/>
  <c r="H285" i="3"/>
  <c r="N285" i="3" s="1"/>
  <c r="H286" i="3"/>
  <c r="N286" i="3" s="1"/>
  <c r="H287" i="3"/>
  <c r="N287" i="3" s="1"/>
  <c r="H288" i="3"/>
  <c r="N288" i="3" s="1"/>
  <c r="H289" i="3"/>
  <c r="N289" i="3" s="1"/>
  <c r="H290" i="3"/>
  <c r="N290" i="3" s="1"/>
  <c r="H291" i="3"/>
  <c r="N291" i="3" s="1"/>
  <c r="H292" i="3"/>
  <c r="N292" i="3" s="1"/>
  <c r="H293" i="3"/>
  <c r="N293" i="3" s="1"/>
  <c r="H294" i="3"/>
  <c r="N294" i="3" s="1"/>
  <c r="H295" i="3"/>
  <c r="N295" i="3" s="1"/>
  <c r="H296" i="3"/>
  <c r="N296" i="3" s="1"/>
  <c r="H297" i="3"/>
  <c r="N297" i="3" s="1"/>
  <c r="H298" i="3"/>
  <c r="N298" i="3" s="1"/>
  <c r="H299" i="3"/>
  <c r="N299" i="3" s="1"/>
  <c r="H300" i="3"/>
  <c r="N300" i="3" s="1"/>
  <c r="H301" i="3"/>
  <c r="N301" i="3" s="1"/>
  <c r="H302" i="3"/>
  <c r="N302" i="3" s="1"/>
  <c r="H303" i="3"/>
  <c r="N303" i="3" s="1"/>
  <c r="H304" i="3"/>
  <c r="N304" i="3" s="1"/>
  <c r="H305" i="3"/>
  <c r="N305" i="3" s="1"/>
  <c r="H306" i="3"/>
  <c r="N306" i="3" s="1"/>
  <c r="H307" i="3"/>
  <c r="N307" i="3" s="1"/>
  <c r="H308" i="3"/>
  <c r="N308" i="3" s="1"/>
  <c r="H309" i="3"/>
  <c r="N309" i="3" s="1"/>
  <c r="H310" i="3"/>
  <c r="N310" i="3" s="1"/>
  <c r="H311" i="3"/>
  <c r="N311" i="3" s="1"/>
  <c r="H312" i="3"/>
  <c r="N312" i="3" s="1"/>
  <c r="H313" i="3"/>
  <c r="N313" i="3" s="1"/>
  <c r="H314" i="3"/>
  <c r="N314" i="3" s="1"/>
  <c r="H315" i="3"/>
  <c r="N315" i="3" s="1"/>
  <c r="H316" i="3"/>
  <c r="N316" i="3" s="1"/>
  <c r="H317" i="3"/>
  <c r="N317" i="3" s="1"/>
  <c r="H318" i="3"/>
  <c r="N318" i="3" s="1"/>
  <c r="H319" i="3"/>
  <c r="N319" i="3" s="1"/>
  <c r="H320" i="3"/>
  <c r="N320" i="3" s="1"/>
  <c r="H321" i="3"/>
  <c r="N321" i="3" s="1"/>
  <c r="H322" i="3"/>
  <c r="N322" i="3" s="1"/>
  <c r="H323" i="3"/>
  <c r="N323" i="3" s="1"/>
  <c r="H324" i="3"/>
  <c r="N324" i="3" s="1"/>
  <c r="H325" i="3"/>
  <c r="N325" i="3" s="1"/>
  <c r="H326" i="3"/>
  <c r="N326" i="3" s="1"/>
  <c r="H327" i="3"/>
  <c r="N327" i="3" s="1"/>
  <c r="H328" i="3"/>
  <c r="N328" i="3" s="1"/>
  <c r="H329" i="3"/>
  <c r="N329" i="3" s="1"/>
  <c r="H330" i="3"/>
  <c r="N330" i="3" s="1"/>
  <c r="H331" i="3"/>
  <c r="N331" i="3" s="1"/>
  <c r="H332" i="3"/>
  <c r="N332" i="3" s="1"/>
  <c r="H333" i="3"/>
  <c r="N333" i="3" s="1"/>
  <c r="H334" i="3"/>
  <c r="N334" i="3" s="1"/>
  <c r="H335" i="3"/>
  <c r="N335" i="3" s="1"/>
  <c r="H336" i="3"/>
  <c r="N336" i="3" s="1"/>
  <c r="H337" i="3"/>
  <c r="N337" i="3" s="1"/>
  <c r="H338" i="3"/>
  <c r="N338" i="3" s="1"/>
  <c r="H339" i="3"/>
  <c r="N339" i="3" s="1"/>
  <c r="H340" i="3"/>
  <c r="N340" i="3" s="1"/>
  <c r="H341" i="3"/>
  <c r="N341" i="3" s="1"/>
  <c r="H342" i="3"/>
  <c r="N342" i="3" s="1"/>
  <c r="H343" i="3"/>
  <c r="N343" i="3" s="1"/>
  <c r="H344" i="3"/>
  <c r="N344" i="3" s="1"/>
  <c r="H345" i="3"/>
  <c r="N345" i="3" s="1"/>
  <c r="H346" i="3"/>
  <c r="N346" i="3" s="1"/>
  <c r="H347" i="3"/>
  <c r="N347" i="3" s="1"/>
  <c r="H348" i="3"/>
  <c r="N348" i="3" s="1"/>
  <c r="H349" i="3"/>
  <c r="N349" i="3" s="1"/>
  <c r="H350" i="3"/>
  <c r="N350" i="3" s="1"/>
  <c r="H351" i="3"/>
  <c r="N351" i="3" s="1"/>
  <c r="H352" i="3"/>
  <c r="N352" i="3" s="1"/>
  <c r="H353" i="3"/>
  <c r="N353" i="3" s="1"/>
  <c r="H354" i="3"/>
  <c r="N354" i="3" s="1"/>
  <c r="H355" i="3"/>
  <c r="N355" i="3" s="1"/>
  <c r="H356" i="3"/>
  <c r="N356" i="3" s="1"/>
  <c r="H357" i="3"/>
  <c r="N357" i="3" s="1"/>
  <c r="H358" i="3"/>
  <c r="N358" i="3" s="1"/>
  <c r="H359" i="3"/>
  <c r="N359" i="3" s="1"/>
  <c r="H360" i="3"/>
  <c r="N360" i="3" s="1"/>
  <c r="H361" i="3"/>
  <c r="N361" i="3" s="1"/>
  <c r="H362" i="3"/>
  <c r="N362" i="3" s="1"/>
  <c r="H363" i="3"/>
  <c r="N363" i="3" s="1"/>
  <c r="H364" i="3"/>
  <c r="N364" i="3" s="1"/>
  <c r="H365" i="3"/>
  <c r="N365" i="3" s="1"/>
  <c r="H366" i="3"/>
  <c r="N366" i="3" s="1"/>
  <c r="H367" i="3"/>
  <c r="N367" i="3" s="1"/>
  <c r="H368" i="3"/>
  <c r="N368" i="3" s="1"/>
  <c r="H369" i="3"/>
  <c r="N369" i="3" s="1"/>
  <c r="H370" i="3"/>
  <c r="N370" i="3" s="1"/>
  <c r="H371" i="3"/>
  <c r="N371" i="3" s="1"/>
  <c r="H372" i="3"/>
  <c r="N372" i="3" s="1"/>
  <c r="H373" i="3"/>
  <c r="N373" i="3" s="1"/>
  <c r="H374" i="3"/>
  <c r="N374" i="3" s="1"/>
  <c r="H375" i="3"/>
  <c r="N375" i="3" s="1"/>
  <c r="H376" i="3"/>
  <c r="N376" i="3" s="1"/>
  <c r="H377" i="3"/>
  <c r="N377" i="3" s="1"/>
  <c r="H378" i="3"/>
  <c r="N378" i="3" s="1"/>
  <c r="H379" i="3"/>
  <c r="N379" i="3" s="1"/>
  <c r="H380" i="3"/>
  <c r="N380" i="3" s="1"/>
  <c r="H381" i="3"/>
  <c r="N381" i="3" s="1"/>
  <c r="H382" i="3"/>
  <c r="N382" i="3" s="1"/>
  <c r="H383" i="3"/>
  <c r="N383" i="3" s="1"/>
  <c r="H384" i="3"/>
  <c r="N384" i="3" s="1"/>
  <c r="H385" i="3"/>
  <c r="N385" i="3" s="1"/>
  <c r="H386" i="3"/>
  <c r="N386" i="3" s="1"/>
  <c r="H387" i="3"/>
  <c r="N387" i="3" s="1"/>
  <c r="H388" i="3"/>
  <c r="N388" i="3" s="1"/>
  <c r="H389" i="3"/>
  <c r="N389" i="3" s="1"/>
  <c r="H390" i="3"/>
  <c r="N390" i="3" s="1"/>
  <c r="H391" i="3"/>
  <c r="N391" i="3" s="1"/>
  <c r="H392" i="3"/>
  <c r="N392" i="3" s="1"/>
  <c r="H393" i="3"/>
  <c r="N393" i="3" s="1"/>
  <c r="H394" i="3"/>
  <c r="N394" i="3" s="1"/>
  <c r="H395" i="3"/>
  <c r="N395" i="3" s="1"/>
  <c r="H396" i="3"/>
  <c r="N396" i="3" s="1"/>
  <c r="H397" i="3"/>
  <c r="N397" i="3" s="1"/>
  <c r="H398" i="3"/>
  <c r="N398" i="3" s="1"/>
  <c r="H399" i="3"/>
  <c r="N399" i="3" s="1"/>
  <c r="H400" i="3"/>
  <c r="N400" i="3" s="1"/>
  <c r="H401" i="3"/>
  <c r="N401" i="3" s="1"/>
  <c r="H402" i="3"/>
  <c r="N402" i="3" s="1"/>
  <c r="H403" i="3"/>
  <c r="N403" i="3" s="1"/>
  <c r="H404" i="3"/>
  <c r="N404" i="3" s="1"/>
  <c r="H405" i="3"/>
  <c r="N405" i="3" s="1"/>
  <c r="H406" i="3"/>
  <c r="N406" i="3" s="1"/>
  <c r="H407" i="3"/>
  <c r="N407" i="3" s="1"/>
  <c r="H408" i="3"/>
  <c r="N408" i="3" s="1"/>
  <c r="H409" i="3"/>
  <c r="N409" i="3" s="1"/>
  <c r="H410" i="3"/>
  <c r="N410" i="3" s="1"/>
  <c r="H411" i="3"/>
  <c r="N411" i="3" s="1"/>
  <c r="H412" i="3"/>
  <c r="N412" i="3" s="1"/>
  <c r="H413" i="3"/>
  <c r="N413" i="3" s="1"/>
  <c r="H414" i="3"/>
  <c r="N414" i="3" s="1"/>
  <c r="H415" i="3"/>
  <c r="N415" i="3" s="1"/>
  <c r="H416" i="3"/>
  <c r="N416" i="3" s="1"/>
  <c r="H417" i="3"/>
  <c r="N417" i="3" s="1"/>
  <c r="H418" i="3"/>
  <c r="N418" i="3" s="1"/>
  <c r="H419" i="3"/>
  <c r="N419" i="3" s="1"/>
  <c r="H420" i="3"/>
  <c r="N420" i="3" s="1"/>
  <c r="H421" i="3"/>
  <c r="N421" i="3" s="1"/>
  <c r="H422" i="3"/>
  <c r="N422" i="3" s="1"/>
  <c r="H423" i="3"/>
  <c r="N423" i="3" s="1"/>
  <c r="H424" i="3"/>
  <c r="N424" i="3" s="1"/>
  <c r="H425" i="3"/>
  <c r="N425" i="3" s="1"/>
  <c r="H426" i="3"/>
  <c r="N426" i="3" s="1"/>
  <c r="H427" i="3"/>
  <c r="N427" i="3" s="1"/>
  <c r="H428" i="3"/>
  <c r="N428" i="3" s="1"/>
  <c r="H429" i="3"/>
  <c r="N429" i="3" s="1"/>
  <c r="H430" i="3"/>
  <c r="N430" i="3" s="1"/>
  <c r="H431" i="3"/>
  <c r="N431" i="3" s="1"/>
  <c r="H432" i="3"/>
  <c r="N432" i="3" s="1"/>
  <c r="H433" i="3"/>
  <c r="N433" i="3" s="1"/>
  <c r="H434" i="3"/>
  <c r="N434" i="3" s="1"/>
  <c r="H435" i="3"/>
  <c r="N435" i="3" s="1"/>
  <c r="H436" i="3"/>
  <c r="N436" i="3" s="1"/>
  <c r="H437" i="3"/>
  <c r="N437" i="3" s="1"/>
  <c r="H438" i="3"/>
  <c r="N438" i="3" s="1"/>
  <c r="H439" i="3"/>
  <c r="N439" i="3" s="1"/>
  <c r="H440" i="3"/>
  <c r="N440" i="3" s="1"/>
  <c r="H441" i="3"/>
  <c r="N441" i="3" s="1"/>
  <c r="H442" i="3"/>
  <c r="N442" i="3" s="1"/>
  <c r="H443" i="3"/>
  <c r="N443" i="3" s="1"/>
  <c r="H444" i="3"/>
  <c r="N444" i="3" s="1"/>
  <c r="H445" i="3"/>
  <c r="N445" i="3" s="1"/>
  <c r="H446" i="3"/>
  <c r="N446" i="3" s="1"/>
  <c r="H447" i="3"/>
  <c r="N447" i="3" s="1"/>
  <c r="H448" i="3"/>
  <c r="N448" i="3" s="1"/>
  <c r="H449" i="3"/>
  <c r="N449" i="3" s="1"/>
  <c r="H450" i="3"/>
  <c r="N450" i="3" s="1"/>
  <c r="H451" i="3"/>
  <c r="N451" i="3" s="1"/>
  <c r="H452" i="3"/>
  <c r="N452" i="3" s="1"/>
  <c r="H453" i="3"/>
  <c r="N453" i="3" s="1"/>
  <c r="H454" i="3"/>
  <c r="N454" i="3" s="1"/>
  <c r="H455" i="3"/>
  <c r="N455" i="3" s="1"/>
  <c r="H456" i="3"/>
  <c r="N456" i="3" s="1"/>
  <c r="H457" i="3"/>
  <c r="N457" i="3" s="1"/>
  <c r="H458" i="3"/>
  <c r="N458" i="3" s="1"/>
  <c r="H459" i="3"/>
  <c r="N459" i="3" s="1"/>
  <c r="H460" i="3"/>
  <c r="N460" i="3" s="1"/>
  <c r="H461" i="3"/>
  <c r="N461" i="3" s="1"/>
  <c r="H462" i="3"/>
  <c r="N462" i="3" s="1"/>
  <c r="H463" i="3"/>
  <c r="N463" i="3" s="1"/>
  <c r="H464" i="3"/>
  <c r="N464" i="3" s="1"/>
  <c r="H465" i="3"/>
  <c r="N465" i="3" s="1"/>
  <c r="H466" i="3"/>
  <c r="N466" i="3" s="1"/>
  <c r="H467" i="3"/>
  <c r="N467" i="3" s="1"/>
  <c r="H468" i="3"/>
  <c r="N468" i="3" s="1"/>
  <c r="H469" i="3"/>
  <c r="N469" i="3" s="1"/>
  <c r="H470" i="3"/>
  <c r="N470" i="3" s="1"/>
  <c r="H471" i="3"/>
  <c r="N471" i="3" s="1"/>
  <c r="H472" i="3"/>
  <c r="N472" i="3" s="1"/>
  <c r="H473" i="3"/>
  <c r="N473" i="3" s="1"/>
  <c r="H474" i="3"/>
  <c r="N474" i="3" s="1"/>
  <c r="H475" i="3"/>
  <c r="N475" i="3" s="1"/>
  <c r="H476" i="3"/>
  <c r="N476" i="3" s="1"/>
  <c r="H477" i="3"/>
  <c r="N477" i="3" s="1"/>
  <c r="H478" i="3"/>
  <c r="N478" i="3" s="1"/>
  <c r="H479" i="3"/>
  <c r="N479" i="3" s="1"/>
  <c r="H480" i="3"/>
  <c r="N480" i="3" s="1"/>
  <c r="H481" i="3"/>
  <c r="N481" i="3" s="1"/>
  <c r="H482" i="3"/>
  <c r="N482" i="3" s="1"/>
  <c r="H483" i="3"/>
  <c r="N483" i="3" s="1"/>
  <c r="H484" i="3"/>
  <c r="N484" i="3" s="1"/>
  <c r="H485" i="3"/>
  <c r="N485" i="3" s="1"/>
  <c r="H486" i="3"/>
  <c r="N486" i="3" s="1"/>
  <c r="H487" i="3"/>
  <c r="N487" i="3" s="1"/>
  <c r="H488" i="3"/>
  <c r="N488" i="3" s="1"/>
  <c r="H489" i="3"/>
  <c r="N489" i="3" s="1"/>
  <c r="H490" i="3"/>
  <c r="N490" i="3" s="1"/>
  <c r="H491" i="3"/>
  <c r="N491" i="3" s="1"/>
  <c r="H492" i="3"/>
  <c r="N492" i="3" s="1"/>
  <c r="H493" i="3"/>
  <c r="N493" i="3" s="1"/>
  <c r="H494" i="3"/>
  <c r="N494" i="3" s="1"/>
  <c r="H495" i="3"/>
  <c r="N495" i="3" s="1"/>
  <c r="H496" i="3"/>
  <c r="N496" i="3" s="1"/>
  <c r="H497" i="3"/>
  <c r="N497" i="3" s="1"/>
  <c r="H498" i="3"/>
  <c r="N498" i="3" s="1"/>
  <c r="H499" i="3"/>
  <c r="N499" i="3" s="1"/>
  <c r="H500" i="3"/>
  <c r="N500" i="3" s="1"/>
  <c r="H501" i="3"/>
  <c r="N501" i="3" s="1"/>
  <c r="H502" i="3"/>
  <c r="N502" i="3" s="1"/>
  <c r="H503" i="3"/>
  <c r="N503" i="3" s="1"/>
  <c r="H504" i="3"/>
  <c r="N504" i="3" s="1"/>
  <c r="H505" i="3"/>
  <c r="N505" i="3" s="1"/>
  <c r="H506" i="3"/>
  <c r="N506" i="3" s="1"/>
  <c r="H507" i="3"/>
  <c r="N507" i="3" s="1"/>
  <c r="H508" i="3"/>
  <c r="N508" i="3" s="1"/>
  <c r="H509" i="3"/>
  <c r="N509" i="3" s="1"/>
  <c r="H510" i="3"/>
  <c r="N510" i="3" s="1"/>
  <c r="H511" i="3"/>
  <c r="N511" i="3" s="1"/>
  <c r="H512" i="3"/>
  <c r="N512" i="3" s="1"/>
  <c r="H513" i="3"/>
  <c r="N513" i="3" s="1"/>
  <c r="H514" i="3"/>
  <c r="N514" i="3" s="1"/>
  <c r="H515" i="3"/>
  <c r="N515" i="3" s="1"/>
  <c r="H516" i="3"/>
  <c r="N516" i="3" s="1"/>
  <c r="H517" i="3"/>
  <c r="N517" i="3" s="1"/>
  <c r="H518" i="3"/>
  <c r="N518" i="3" s="1"/>
  <c r="H519" i="3"/>
  <c r="N519" i="3" s="1"/>
  <c r="H520" i="3"/>
  <c r="N520" i="3" s="1"/>
  <c r="H521" i="3"/>
  <c r="N521" i="3" s="1"/>
  <c r="H522" i="3"/>
  <c r="N522" i="3" s="1"/>
  <c r="H523" i="3"/>
  <c r="N523" i="3" s="1"/>
  <c r="H524" i="3"/>
  <c r="N524" i="3" s="1"/>
  <c r="H525" i="3"/>
  <c r="N525" i="3" s="1"/>
  <c r="H526" i="3"/>
  <c r="N526" i="3" s="1"/>
  <c r="H527" i="3"/>
  <c r="N527" i="3" s="1"/>
  <c r="H528" i="3"/>
  <c r="N528" i="3" s="1"/>
  <c r="H529" i="3"/>
  <c r="N529" i="3" s="1"/>
  <c r="H530" i="3"/>
  <c r="N530" i="3" s="1"/>
  <c r="H531" i="3"/>
  <c r="N531" i="3" s="1"/>
  <c r="H532" i="3"/>
  <c r="N532" i="3" s="1"/>
  <c r="H533" i="3"/>
  <c r="N533" i="3" s="1"/>
  <c r="H534" i="3"/>
  <c r="N534" i="3" s="1"/>
  <c r="H535" i="3"/>
  <c r="N535" i="3" s="1"/>
  <c r="H536" i="3"/>
  <c r="N536" i="3" s="1"/>
  <c r="H537" i="3"/>
  <c r="N537" i="3" s="1"/>
  <c r="H538" i="3"/>
  <c r="N538" i="3" s="1"/>
  <c r="H539" i="3"/>
  <c r="N539" i="3" s="1"/>
  <c r="H540" i="3"/>
  <c r="N540" i="3" s="1"/>
  <c r="H541" i="3"/>
  <c r="N541" i="3" s="1"/>
  <c r="H542" i="3"/>
  <c r="N542" i="3" s="1"/>
  <c r="H543" i="3"/>
  <c r="N543" i="3" s="1"/>
  <c r="H544" i="3"/>
  <c r="N544" i="3" s="1"/>
  <c r="H545" i="3"/>
  <c r="N545" i="3" s="1"/>
  <c r="H546" i="3"/>
  <c r="N546" i="3" s="1"/>
  <c r="H547" i="3"/>
  <c r="N547" i="3" s="1"/>
  <c r="H548" i="3"/>
  <c r="N548" i="3" s="1"/>
  <c r="H549" i="3"/>
  <c r="N549" i="3" s="1"/>
  <c r="H550" i="3"/>
  <c r="N550" i="3" s="1"/>
  <c r="H551" i="3"/>
  <c r="N551" i="3" s="1"/>
  <c r="H552" i="3"/>
  <c r="N552" i="3" s="1"/>
  <c r="H553" i="3"/>
  <c r="N553" i="3" s="1"/>
  <c r="H554" i="3"/>
  <c r="N554" i="3" s="1"/>
  <c r="H555" i="3"/>
  <c r="N555" i="3" s="1"/>
  <c r="H556" i="3"/>
  <c r="N556" i="3" s="1"/>
  <c r="H557" i="3"/>
  <c r="N557" i="3" s="1"/>
  <c r="H558" i="3"/>
  <c r="N558" i="3" s="1"/>
  <c r="H559" i="3"/>
  <c r="N559" i="3" s="1"/>
  <c r="H560" i="3"/>
  <c r="N560" i="3" s="1"/>
  <c r="H561" i="3"/>
  <c r="N561" i="3" s="1"/>
  <c r="H562" i="3"/>
  <c r="N562" i="3" s="1"/>
  <c r="H563" i="3"/>
  <c r="N563" i="3" s="1"/>
  <c r="H564" i="3"/>
  <c r="N564" i="3" s="1"/>
  <c r="H565" i="3"/>
  <c r="N565" i="3" s="1"/>
  <c r="H566" i="3"/>
  <c r="N566" i="3" s="1"/>
  <c r="H567" i="3"/>
  <c r="N567" i="3" s="1"/>
  <c r="H568" i="3"/>
  <c r="N568" i="3" s="1"/>
  <c r="H569" i="3"/>
  <c r="N569" i="3" s="1"/>
  <c r="H570" i="3"/>
  <c r="N570" i="3" s="1"/>
  <c r="H571" i="3"/>
  <c r="N571" i="3" s="1"/>
  <c r="H572" i="3"/>
  <c r="N572" i="3" s="1"/>
  <c r="H573" i="3"/>
  <c r="N573" i="3" s="1"/>
  <c r="H574" i="3"/>
  <c r="N574" i="3" s="1"/>
  <c r="H575" i="3"/>
  <c r="N575" i="3" s="1"/>
  <c r="H576" i="3"/>
  <c r="N576" i="3" s="1"/>
  <c r="H577" i="3"/>
  <c r="N577" i="3" s="1"/>
  <c r="H578" i="3"/>
  <c r="N578" i="3" s="1"/>
  <c r="H579" i="3"/>
  <c r="N579" i="3" s="1"/>
  <c r="H580" i="3"/>
  <c r="N580" i="3" s="1"/>
  <c r="H581" i="3"/>
  <c r="N581" i="3" s="1"/>
  <c r="H582" i="3"/>
  <c r="N582" i="3" s="1"/>
  <c r="H583" i="3"/>
  <c r="N583" i="3" s="1"/>
  <c r="H584" i="3"/>
  <c r="N584" i="3" s="1"/>
  <c r="H585" i="3"/>
  <c r="N585" i="3" s="1"/>
  <c r="H586" i="3"/>
  <c r="N586" i="3" s="1"/>
  <c r="H587" i="3"/>
  <c r="N587" i="3" s="1"/>
  <c r="H588" i="3"/>
  <c r="N588" i="3" s="1"/>
  <c r="H589" i="3"/>
  <c r="N589" i="3" s="1"/>
  <c r="H590" i="3"/>
  <c r="N590" i="3" s="1"/>
  <c r="H591" i="3"/>
  <c r="N591" i="3" s="1"/>
  <c r="H592" i="3"/>
  <c r="N592" i="3" s="1"/>
  <c r="H593" i="3"/>
  <c r="N593" i="3" s="1"/>
  <c r="H594" i="3"/>
  <c r="N594" i="3" s="1"/>
  <c r="H595" i="3"/>
  <c r="N595" i="3" s="1"/>
  <c r="H596" i="3"/>
  <c r="N596" i="3" s="1"/>
  <c r="H597" i="3"/>
  <c r="N597" i="3" s="1"/>
  <c r="H598" i="3"/>
  <c r="N598" i="3" s="1"/>
  <c r="H599" i="3"/>
  <c r="N599" i="3" s="1"/>
  <c r="H600" i="3"/>
  <c r="N600" i="3" s="1"/>
  <c r="H601" i="3"/>
  <c r="N601" i="3" s="1"/>
  <c r="H602" i="3"/>
  <c r="N602" i="3" s="1"/>
  <c r="H603" i="3"/>
  <c r="N603" i="3" s="1"/>
  <c r="H604" i="3"/>
  <c r="N604" i="3" s="1"/>
  <c r="H605" i="3"/>
  <c r="N605" i="3" s="1"/>
  <c r="H606" i="3"/>
  <c r="N606" i="3" s="1"/>
  <c r="H607" i="3"/>
  <c r="N607" i="3" s="1"/>
  <c r="H608" i="3"/>
  <c r="N608" i="3" s="1"/>
  <c r="H609" i="3"/>
  <c r="N609" i="3" s="1"/>
  <c r="H610" i="3"/>
  <c r="N610" i="3" s="1"/>
  <c r="H611" i="3"/>
  <c r="N611" i="3" s="1"/>
  <c r="H612" i="3"/>
  <c r="N612" i="3" s="1"/>
  <c r="H613" i="3"/>
  <c r="N613" i="3" s="1"/>
  <c r="H614" i="3"/>
  <c r="N614" i="3" s="1"/>
  <c r="H615" i="3"/>
  <c r="N615" i="3" s="1"/>
  <c r="H616" i="3"/>
  <c r="N616" i="3" s="1"/>
  <c r="H617" i="3"/>
  <c r="N617" i="3" s="1"/>
  <c r="H618" i="3"/>
  <c r="N618" i="3" s="1"/>
  <c r="H619" i="3"/>
  <c r="N619" i="3" s="1"/>
  <c r="H620" i="3"/>
  <c r="N620" i="3" s="1"/>
  <c r="H621" i="3"/>
  <c r="N621" i="3" s="1"/>
  <c r="H622" i="3"/>
  <c r="N622" i="3" s="1"/>
  <c r="H623" i="3"/>
  <c r="N623" i="3" s="1"/>
  <c r="H624" i="3"/>
  <c r="N624" i="3" s="1"/>
  <c r="H625" i="3"/>
  <c r="N625" i="3" s="1"/>
  <c r="H626" i="3"/>
  <c r="N626" i="3" s="1"/>
  <c r="H627" i="3"/>
  <c r="N627" i="3" s="1"/>
  <c r="H628" i="3"/>
  <c r="N628" i="3" s="1"/>
  <c r="H629" i="3"/>
  <c r="N629" i="3" s="1"/>
  <c r="H630" i="3"/>
  <c r="N630" i="3" s="1"/>
  <c r="H631" i="3"/>
  <c r="N631" i="3" s="1"/>
  <c r="H632" i="3"/>
  <c r="N632" i="3" s="1"/>
  <c r="H633" i="3"/>
  <c r="N633" i="3" s="1"/>
  <c r="H634" i="3"/>
  <c r="N634" i="3" s="1"/>
  <c r="H635" i="3"/>
  <c r="N635" i="3" s="1"/>
  <c r="H636" i="3"/>
  <c r="N636" i="3" s="1"/>
  <c r="H637" i="3"/>
  <c r="N637" i="3" s="1"/>
  <c r="H638" i="3"/>
  <c r="N638" i="3" s="1"/>
  <c r="H639" i="3"/>
  <c r="N639" i="3" s="1"/>
  <c r="H640" i="3"/>
  <c r="N640" i="3" s="1"/>
  <c r="H641" i="3"/>
  <c r="N641" i="3" s="1"/>
  <c r="H642" i="3"/>
  <c r="N642" i="3" s="1"/>
  <c r="H643" i="3"/>
  <c r="N643" i="3" s="1"/>
  <c r="H644" i="3"/>
  <c r="N644" i="3" s="1"/>
  <c r="H645" i="3"/>
  <c r="N645" i="3" s="1"/>
  <c r="H646" i="3"/>
  <c r="N646" i="3" s="1"/>
  <c r="H647" i="3"/>
  <c r="N647" i="3" s="1"/>
  <c r="H648" i="3"/>
  <c r="N648" i="3" s="1"/>
  <c r="H649" i="3"/>
  <c r="N649" i="3" s="1"/>
  <c r="H650" i="3"/>
  <c r="N650" i="3" s="1"/>
  <c r="H651" i="3"/>
  <c r="N651" i="3" s="1"/>
  <c r="H652" i="3"/>
  <c r="N652" i="3" s="1"/>
  <c r="H653" i="3"/>
  <c r="N653" i="3" s="1"/>
  <c r="H654" i="3"/>
  <c r="N654" i="3" s="1"/>
  <c r="H655" i="3"/>
  <c r="N655" i="3" s="1"/>
  <c r="H656" i="3"/>
  <c r="N656" i="3" s="1"/>
  <c r="H657" i="3"/>
  <c r="N657" i="3" s="1"/>
  <c r="H658" i="3"/>
  <c r="N658" i="3" s="1"/>
  <c r="H659" i="3"/>
  <c r="N659" i="3" s="1"/>
  <c r="H660" i="3"/>
  <c r="N660" i="3" s="1"/>
  <c r="H661" i="3"/>
  <c r="N661" i="3" s="1"/>
  <c r="H662" i="3"/>
  <c r="N662" i="3" s="1"/>
  <c r="H663" i="3"/>
  <c r="N663" i="3" s="1"/>
  <c r="H664" i="3"/>
  <c r="N664" i="3" s="1"/>
  <c r="H665" i="3"/>
  <c r="N665" i="3" s="1"/>
  <c r="H666" i="3"/>
  <c r="N666" i="3" s="1"/>
  <c r="H667" i="3"/>
  <c r="N667" i="3" s="1"/>
  <c r="H668" i="3"/>
  <c r="N668" i="3" s="1"/>
  <c r="H669" i="3"/>
  <c r="N669" i="3" s="1"/>
  <c r="H670" i="3"/>
  <c r="N670" i="3" s="1"/>
  <c r="H671" i="3"/>
  <c r="N671" i="3" s="1"/>
  <c r="H672" i="3"/>
  <c r="N672" i="3" s="1"/>
  <c r="H673" i="3"/>
  <c r="N673" i="3" s="1"/>
  <c r="H674" i="3"/>
  <c r="N674" i="3" s="1"/>
  <c r="H675" i="3"/>
  <c r="N675" i="3" s="1"/>
  <c r="H676" i="3"/>
  <c r="N676" i="3" s="1"/>
  <c r="H677" i="3"/>
  <c r="N677" i="3" s="1"/>
  <c r="H678" i="3"/>
  <c r="N678" i="3" s="1"/>
  <c r="H679" i="3"/>
  <c r="N679" i="3" s="1"/>
  <c r="H680" i="3"/>
  <c r="N680" i="3" s="1"/>
  <c r="H681" i="3"/>
  <c r="N681" i="3" s="1"/>
  <c r="H682" i="3"/>
  <c r="N682" i="3" s="1"/>
  <c r="H683" i="3"/>
  <c r="N683" i="3" s="1"/>
  <c r="H684" i="3"/>
  <c r="N684" i="3" s="1"/>
  <c r="H685" i="3"/>
  <c r="N685" i="3" s="1"/>
  <c r="H686" i="3"/>
  <c r="N686" i="3" s="1"/>
  <c r="H687" i="3"/>
  <c r="N687" i="3" s="1"/>
  <c r="H688" i="3"/>
  <c r="N688" i="3" s="1"/>
  <c r="H689" i="3"/>
  <c r="N689" i="3" s="1"/>
  <c r="H690" i="3"/>
  <c r="N690" i="3" s="1"/>
  <c r="H691" i="3"/>
  <c r="N691" i="3" s="1"/>
  <c r="H692" i="3"/>
  <c r="N692" i="3" s="1"/>
  <c r="H693" i="3"/>
  <c r="N693" i="3" s="1"/>
  <c r="H694" i="3"/>
  <c r="N694" i="3" s="1"/>
  <c r="H695" i="3"/>
  <c r="N695" i="3" s="1"/>
  <c r="H696" i="3"/>
  <c r="N696" i="3" s="1"/>
  <c r="H697" i="3"/>
  <c r="N697" i="3" s="1"/>
  <c r="H698" i="3"/>
  <c r="N698" i="3" s="1"/>
  <c r="H699" i="3"/>
  <c r="N699" i="3" s="1"/>
  <c r="H700" i="3"/>
  <c r="N700" i="3" s="1"/>
  <c r="H701" i="3"/>
  <c r="N701" i="3" s="1"/>
  <c r="H702" i="3"/>
  <c r="N702" i="3" s="1"/>
  <c r="H703" i="3"/>
  <c r="N703" i="3" s="1"/>
  <c r="H704" i="3"/>
  <c r="N704" i="3" s="1"/>
  <c r="H705" i="3"/>
  <c r="N705" i="3" s="1"/>
  <c r="H706" i="3"/>
  <c r="N706" i="3" s="1"/>
  <c r="H707" i="3"/>
  <c r="N707" i="3" s="1"/>
  <c r="H708" i="3"/>
  <c r="N708" i="3" s="1"/>
  <c r="H709" i="3"/>
  <c r="N709" i="3" s="1"/>
  <c r="H710" i="3"/>
  <c r="N710" i="3" s="1"/>
  <c r="H711" i="3"/>
  <c r="N711" i="3" s="1"/>
  <c r="H712" i="3"/>
  <c r="N712" i="3" s="1"/>
  <c r="H713" i="3"/>
  <c r="N713" i="3" s="1"/>
  <c r="H714" i="3"/>
  <c r="N714" i="3" s="1"/>
  <c r="H715" i="3"/>
  <c r="N715" i="3" s="1"/>
  <c r="H716" i="3"/>
  <c r="N716" i="3" s="1"/>
  <c r="H717" i="3"/>
  <c r="N717" i="3" s="1"/>
  <c r="H718" i="3"/>
  <c r="N718" i="3" s="1"/>
  <c r="H719" i="3"/>
  <c r="N719" i="3" s="1"/>
  <c r="H720" i="3"/>
  <c r="N720" i="3" s="1"/>
  <c r="H721" i="3"/>
  <c r="N721" i="3" s="1"/>
  <c r="H722" i="3"/>
  <c r="N722" i="3" s="1"/>
  <c r="H723" i="3"/>
  <c r="N723" i="3" s="1"/>
  <c r="H724" i="3"/>
  <c r="N724" i="3" s="1"/>
  <c r="H725" i="3"/>
  <c r="N725" i="3" s="1"/>
  <c r="H726" i="3"/>
  <c r="N726" i="3" s="1"/>
  <c r="H727" i="3"/>
  <c r="N727" i="3" s="1"/>
  <c r="H728" i="3"/>
  <c r="N728" i="3" s="1"/>
  <c r="H729" i="3"/>
  <c r="N729" i="3" s="1"/>
  <c r="H730" i="3"/>
  <c r="N730" i="3" s="1"/>
  <c r="H731" i="3"/>
  <c r="N731" i="3" s="1"/>
  <c r="H732" i="3"/>
  <c r="N732" i="3" s="1"/>
  <c r="H733" i="3"/>
  <c r="N733" i="3" s="1"/>
  <c r="H734" i="3"/>
  <c r="N734" i="3" s="1"/>
  <c r="H735" i="3"/>
  <c r="N735" i="3" s="1"/>
  <c r="H736" i="3"/>
  <c r="N736" i="3" s="1"/>
  <c r="H737" i="3"/>
  <c r="N737" i="3" s="1"/>
  <c r="H738" i="3"/>
  <c r="N738" i="3" s="1"/>
  <c r="H739" i="3"/>
  <c r="N739" i="3" s="1"/>
  <c r="H740" i="3"/>
  <c r="N740" i="3" s="1"/>
  <c r="H741" i="3"/>
  <c r="N741" i="3" s="1"/>
  <c r="H742" i="3"/>
  <c r="N742" i="3" s="1"/>
  <c r="H743" i="3"/>
  <c r="N743" i="3" s="1"/>
  <c r="H744" i="3"/>
  <c r="N744" i="3" s="1"/>
  <c r="H745" i="3"/>
  <c r="N745" i="3" s="1"/>
  <c r="H746" i="3"/>
  <c r="N746" i="3" s="1"/>
  <c r="H747" i="3"/>
  <c r="N747" i="3" s="1"/>
  <c r="H748" i="3"/>
  <c r="N748" i="3" s="1"/>
  <c r="H749" i="3"/>
  <c r="N749" i="3" s="1"/>
  <c r="H750" i="3"/>
  <c r="N750" i="3" s="1"/>
  <c r="H751" i="3"/>
  <c r="N751" i="3" s="1"/>
  <c r="H752" i="3"/>
  <c r="N752" i="3" s="1"/>
  <c r="H753" i="3"/>
  <c r="N753" i="3" s="1"/>
  <c r="H754" i="3"/>
  <c r="N754" i="3" s="1"/>
  <c r="H755" i="3"/>
  <c r="N755" i="3" s="1"/>
  <c r="H756" i="3"/>
  <c r="N756" i="3" s="1"/>
  <c r="H757" i="3"/>
  <c r="N757" i="3" s="1"/>
  <c r="H758" i="3"/>
  <c r="N758" i="3" s="1"/>
  <c r="H759" i="3"/>
  <c r="N759" i="3" s="1"/>
  <c r="H760" i="3"/>
  <c r="N760" i="3" s="1"/>
  <c r="H761" i="3"/>
  <c r="N761" i="3" s="1"/>
  <c r="H762" i="3"/>
  <c r="N762" i="3" s="1"/>
  <c r="H763" i="3"/>
  <c r="N763" i="3" s="1"/>
  <c r="H764" i="3"/>
  <c r="N764" i="3" s="1"/>
  <c r="H765" i="3"/>
  <c r="N765" i="3" s="1"/>
  <c r="H766" i="3"/>
  <c r="N766" i="3" s="1"/>
  <c r="H767" i="3"/>
  <c r="N767" i="3" s="1"/>
  <c r="H768" i="3"/>
  <c r="N768" i="3" s="1"/>
  <c r="H769" i="3"/>
  <c r="N769" i="3" s="1"/>
  <c r="H770" i="3"/>
  <c r="N770" i="3" s="1"/>
  <c r="H771" i="3"/>
  <c r="N771" i="3" s="1"/>
  <c r="H772" i="3"/>
  <c r="N772" i="3" s="1"/>
  <c r="H773" i="3"/>
  <c r="N773" i="3" s="1"/>
  <c r="H774" i="3"/>
  <c r="N774" i="3" s="1"/>
  <c r="H775" i="3"/>
  <c r="N775" i="3" s="1"/>
  <c r="H776" i="3"/>
  <c r="N776" i="3" s="1"/>
  <c r="H777" i="3"/>
  <c r="N777" i="3" s="1"/>
  <c r="H778" i="3"/>
  <c r="N778" i="3" s="1"/>
  <c r="H779" i="3"/>
  <c r="N779" i="3" s="1"/>
  <c r="H780" i="3"/>
  <c r="N780" i="3" s="1"/>
  <c r="H781" i="3"/>
  <c r="N781" i="3" s="1"/>
  <c r="H782" i="3"/>
  <c r="N782" i="3" s="1"/>
  <c r="H783" i="3"/>
  <c r="N783" i="3" s="1"/>
  <c r="H784" i="3"/>
  <c r="N784" i="3" s="1"/>
  <c r="H785" i="3"/>
  <c r="N785" i="3" s="1"/>
  <c r="H786" i="3"/>
  <c r="N786" i="3" s="1"/>
  <c r="H787" i="3"/>
  <c r="N787" i="3" s="1"/>
  <c r="H788" i="3"/>
  <c r="N788" i="3" s="1"/>
  <c r="H789" i="3"/>
  <c r="N789" i="3" s="1"/>
  <c r="H790" i="3"/>
  <c r="N790" i="3" s="1"/>
  <c r="H791" i="3"/>
  <c r="N791" i="3" s="1"/>
  <c r="H792" i="3"/>
  <c r="N792" i="3" s="1"/>
  <c r="H793" i="3"/>
  <c r="N793" i="3" s="1"/>
  <c r="H794" i="3"/>
  <c r="N794" i="3" s="1"/>
  <c r="H795" i="3"/>
  <c r="N795" i="3" s="1"/>
  <c r="H796" i="3"/>
  <c r="N796" i="3" s="1"/>
  <c r="H797" i="3"/>
  <c r="N797" i="3" s="1"/>
  <c r="H798" i="3"/>
  <c r="N798" i="3" s="1"/>
  <c r="H799" i="3"/>
  <c r="N799" i="3" s="1"/>
  <c r="H800" i="3"/>
  <c r="N800" i="3" s="1"/>
  <c r="H801" i="3"/>
  <c r="N801" i="3" s="1"/>
  <c r="H802" i="3"/>
  <c r="N802" i="3" s="1"/>
  <c r="H803" i="3"/>
  <c r="N803" i="3" s="1"/>
  <c r="H804" i="3"/>
  <c r="N804" i="3" s="1"/>
  <c r="H805" i="3"/>
  <c r="N805" i="3" s="1"/>
  <c r="H806" i="3"/>
  <c r="N806" i="3" s="1"/>
  <c r="H807" i="3"/>
  <c r="N807" i="3" s="1"/>
  <c r="H808" i="3"/>
  <c r="N808" i="3" s="1"/>
  <c r="H809" i="3"/>
  <c r="N809" i="3" s="1"/>
  <c r="H810" i="3"/>
  <c r="N810" i="3" s="1"/>
  <c r="H811" i="3"/>
  <c r="N811" i="3" s="1"/>
  <c r="H812" i="3"/>
  <c r="N812" i="3" s="1"/>
  <c r="H813" i="3"/>
  <c r="N813" i="3" s="1"/>
  <c r="H814" i="3"/>
  <c r="N814" i="3" s="1"/>
  <c r="H815" i="3"/>
  <c r="N815" i="3" s="1"/>
  <c r="H816" i="3"/>
  <c r="N816" i="3" s="1"/>
  <c r="H817" i="3"/>
  <c r="N817" i="3" s="1"/>
  <c r="H818" i="3"/>
  <c r="N818" i="3" s="1"/>
  <c r="H819" i="3"/>
  <c r="N819" i="3" s="1"/>
  <c r="H820" i="3"/>
  <c r="N820" i="3" s="1"/>
  <c r="H821" i="3"/>
  <c r="N821" i="3" s="1"/>
  <c r="H822" i="3"/>
  <c r="N822" i="3" s="1"/>
  <c r="H823" i="3"/>
  <c r="N823" i="3" s="1"/>
  <c r="H824" i="3"/>
  <c r="N824" i="3" s="1"/>
  <c r="H825" i="3"/>
  <c r="N825" i="3" s="1"/>
  <c r="H826" i="3"/>
  <c r="N826" i="3" s="1"/>
  <c r="H827" i="3"/>
  <c r="N827" i="3" s="1"/>
  <c r="H828" i="3"/>
  <c r="N828" i="3" s="1"/>
  <c r="H829" i="3"/>
  <c r="N829" i="3" s="1"/>
  <c r="H830" i="3"/>
  <c r="N830" i="3" s="1"/>
  <c r="H831" i="3"/>
  <c r="N831" i="3" s="1"/>
  <c r="H832" i="3"/>
  <c r="N832" i="3" s="1"/>
  <c r="H833" i="3"/>
  <c r="N833" i="3" s="1"/>
  <c r="H834" i="3"/>
  <c r="N834" i="3" s="1"/>
  <c r="H835" i="3"/>
  <c r="N835" i="3" s="1"/>
  <c r="H836" i="3"/>
  <c r="N836" i="3" s="1"/>
  <c r="H837" i="3"/>
  <c r="N837" i="3" s="1"/>
  <c r="H838" i="3"/>
  <c r="N838" i="3" s="1"/>
  <c r="H839" i="3"/>
  <c r="N839" i="3" s="1"/>
  <c r="H840" i="3"/>
  <c r="N840" i="3" s="1"/>
  <c r="H841" i="3"/>
  <c r="N841" i="3" s="1"/>
  <c r="H842" i="3"/>
  <c r="N842" i="3" s="1"/>
  <c r="H843" i="3"/>
  <c r="N843" i="3" s="1"/>
  <c r="H844" i="3"/>
  <c r="N844" i="3" s="1"/>
  <c r="H845" i="3"/>
  <c r="N845" i="3" s="1"/>
  <c r="H846" i="3"/>
  <c r="N846" i="3" s="1"/>
  <c r="H847" i="3"/>
  <c r="N847" i="3" s="1"/>
  <c r="H848" i="3"/>
  <c r="N848" i="3" s="1"/>
  <c r="H849" i="3"/>
  <c r="N849" i="3" s="1"/>
  <c r="H850" i="3"/>
  <c r="N850" i="3" s="1"/>
  <c r="H851" i="3"/>
  <c r="N851" i="3" s="1"/>
  <c r="H852" i="3"/>
  <c r="N852" i="3" s="1"/>
  <c r="H853" i="3"/>
  <c r="N853" i="3" s="1"/>
  <c r="H854" i="3"/>
  <c r="N854" i="3" s="1"/>
  <c r="H855" i="3"/>
  <c r="N855" i="3" s="1"/>
  <c r="H856" i="3"/>
  <c r="N856" i="3" s="1"/>
  <c r="H857" i="3"/>
  <c r="N857" i="3" s="1"/>
  <c r="H858" i="3"/>
  <c r="N858" i="3" s="1"/>
  <c r="H859" i="3"/>
  <c r="N859" i="3" s="1"/>
  <c r="H860" i="3"/>
  <c r="N860" i="3" s="1"/>
  <c r="H861" i="3"/>
  <c r="N861" i="3" s="1"/>
  <c r="H862" i="3"/>
  <c r="N862" i="3" s="1"/>
  <c r="H863" i="3"/>
  <c r="N863" i="3" s="1"/>
  <c r="H864" i="3"/>
  <c r="N864" i="3" s="1"/>
  <c r="H865" i="3"/>
  <c r="N865" i="3" s="1"/>
  <c r="H866" i="3"/>
  <c r="N866" i="3" s="1"/>
  <c r="H867" i="3"/>
  <c r="N867" i="3" s="1"/>
  <c r="H868" i="3"/>
  <c r="N868" i="3" s="1"/>
  <c r="H869" i="3"/>
  <c r="N869" i="3" s="1"/>
  <c r="H870" i="3"/>
  <c r="N870" i="3" s="1"/>
  <c r="H871" i="3"/>
  <c r="N871" i="3" s="1"/>
  <c r="H872" i="3"/>
  <c r="N872" i="3" s="1"/>
  <c r="H873" i="3"/>
  <c r="N873" i="3" s="1"/>
  <c r="H874" i="3"/>
  <c r="N874" i="3" s="1"/>
  <c r="H875" i="3"/>
  <c r="N875" i="3" s="1"/>
  <c r="H876" i="3"/>
  <c r="N876" i="3" s="1"/>
  <c r="H877" i="3"/>
  <c r="N877" i="3" s="1"/>
  <c r="H878" i="3"/>
  <c r="N878" i="3" s="1"/>
  <c r="H879" i="3"/>
  <c r="N879" i="3" s="1"/>
  <c r="H880" i="3"/>
  <c r="N880" i="3" s="1"/>
  <c r="H881" i="3"/>
  <c r="N881" i="3" s="1"/>
  <c r="H882" i="3"/>
  <c r="N882" i="3" s="1"/>
  <c r="H883" i="3"/>
  <c r="N883" i="3" s="1"/>
  <c r="H884" i="3"/>
  <c r="N884" i="3" s="1"/>
  <c r="H885" i="3"/>
  <c r="N885" i="3" s="1"/>
  <c r="H886" i="3"/>
  <c r="N886" i="3" s="1"/>
  <c r="H887" i="3"/>
  <c r="N887" i="3" s="1"/>
  <c r="H888" i="3"/>
  <c r="N888" i="3" s="1"/>
  <c r="H889" i="3"/>
  <c r="N889" i="3" s="1"/>
  <c r="H890" i="3"/>
  <c r="N890" i="3" s="1"/>
  <c r="H891" i="3"/>
  <c r="N891" i="3" s="1"/>
  <c r="H892" i="3"/>
  <c r="N892" i="3" s="1"/>
  <c r="H893" i="3"/>
  <c r="N893" i="3" s="1"/>
  <c r="H894" i="3"/>
  <c r="N894" i="3" s="1"/>
  <c r="H895" i="3"/>
  <c r="N895" i="3" s="1"/>
  <c r="H896" i="3"/>
  <c r="N896" i="3" s="1"/>
  <c r="H897" i="3"/>
  <c r="N897" i="3" s="1"/>
  <c r="H898" i="3"/>
  <c r="N898" i="3" s="1"/>
  <c r="H899" i="3"/>
  <c r="N899" i="3" s="1"/>
  <c r="H900" i="3"/>
  <c r="N900" i="3" s="1"/>
  <c r="H901" i="3"/>
  <c r="N901" i="3" s="1"/>
  <c r="H902" i="3"/>
  <c r="N902" i="3" s="1"/>
  <c r="H903" i="3"/>
  <c r="N903" i="3" s="1"/>
  <c r="H904" i="3"/>
  <c r="N904" i="3" s="1"/>
  <c r="H905" i="3"/>
  <c r="N905" i="3" s="1"/>
  <c r="H906" i="3"/>
  <c r="N906" i="3" s="1"/>
  <c r="H907" i="3"/>
  <c r="N907" i="3" s="1"/>
  <c r="H908" i="3"/>
  <c r="N908" i="3" s="1"/>
  <c r="H909" i="3"/>
  <c r="N909" i="3" s="1"/>
  <c r="H910" i="3"/>
  <c r="N910" i="3" s="1"/>
  <c r="H911" i="3"/>
  <c r="N911" i="3" s="1"/>
  <c r="H912" i="3"/>
  <c r="N912" i="3" s="1"/>
  <c r="H913" i="3"/>
  <c r="N913" i="3" s="1"/>
  <c r="H914" i="3"/>
  <c r="N914" i="3" s="1"/>
  <c r="H915" i="3"/>
  <c r="N915" i="3" s="1"/>
  <c r="H916" i="3"/>
  <c r="N916" i="3" s="1"/>
  <c r="H917" i="3"/>
  <c r="N917" i="3" s="1"/>
  <c r="H918" i="3"/>
  <c r="N918" i="3" s="1"/>
  <c r="H919" i="3"/>
  <c r="N919" i="3" s="1"/>
  <c r="H920" i="3"/>
  <c r="N920" i="3" s="1"/>
  <c r="H921" i="3"/>
  <c r="N921" i="3" s="1"/>
  <c r="H922" i="3"/>
  <c r="N922" i="3" s="1"/>
  <c r="H923" i="3"/>
  <c r="N923" i="3" s="1"/>
  <c r="H924" i="3"/>
  <c r="N924" i="3" s="1"/>
  <c r="H925" i="3"/>
  <c r="N925" i="3" s="1"/>
  <c r="H926" i="3"/>
  <c r="N926" i="3" s="1"/>
  <c r="H927" i="3"/>
  <c r="N927" i="3" s="1"/>
  <c r="H928" i="3"/>
  <c r="N928" i="3" s="1"/>
  <c r="H929" i="3"/>
  <c r="N929" i="3" s="1"/>
  <c r="H930" i="3"/>
  <c r="N930" i="3" s="1"/>
  <c r="H931" i="3"/>
  <c r="N931" i="3" s="1"/>
  <c r="H932" i="3"/>
  <c r="N932" i="3" s="1"/>
  <c r="H933" i="3"/>
  <c r="N933" i="3" s="1"/>
  <c r="H934" i="3"/>
  <c r="N934" i="3" s="1"/>
  <c r="H935" i="3"/>
  <c r="N935" i="3" s="1"/>
  <c r="H936" i="3"/>
  <c r="N936" i="3" s="1"/>
  <c r="H937" i="3"/>
  <c r="N937" i="3" s="1"/>
  <c r="H938" i="3"/>
  <c r="N938" i="3" s="1"/>
  <c r="H939" i="3"/>
  <c r="N939" i="3" s="1"/>
  <c r="H940" i="3"/>
  <c r="N940" i="3" s="1"/>
  <c r="H941" i="3"/>
  <c r="N941" i="3" s="1"/>
  <c r="H942" i="3"/>
  <c r="N942" i="3" s="1"/>
  <c r="H943" i="3"/>
  <c r="N943" i="3" s="1"/>
  <c r="H944" i="3"/>
  <c r="N944" i="3" s="1"/>
  <c r="H945" i="3"/>
  <c r="N945" i="3" s="1"/>
  <c r="H946" i="3"/>
  <c r="N946" i="3" s="1"/>
  <c r="H947" i="3"/>
  <c r="N947" i="3" s="1"/>
  <c r="H948" i="3"/>
  <c r="N948" i="3" s="1"/>
  <c r="H949" i="3"/>
  <c r="N949" i="3" s="1"/>
  <c r="H950" i="3"/>
  <c r="N950" i="3" s="1"/>
  <c r="H951" i="3"/>
  <c r="N951" i="3" s="1"/>
  <c r="H952" i="3"/>
  <c r="N952" i="3" s="1"/>
  <c r="H953" i="3"/>
  <c r="N953" i="3" s="1"/>
  <c r="H954" i="3"/>
  <c r="N954" i="3" s="1"/>
  <c r="H955" i="3"/>
  <c r="N955" i="3" s="1"/>
  <c r="H956" i="3"/>
  <c r="N956" i="3" s="1"/>
  <c r="H957" i="3"/>
  <c r="N957" i="3" s="1"/>
  <c r="H958" i="3"/>
  <c r="N958" i="3" s="1"/>
  <c r="H959" i="3"/>
  <c r="N959" i="3" s="1"/>
  <c r="H960" i="3"/>
  <c r="N960" i="3" s="1"/>
  <c r="H961" i="3"/>
  <c r="N961" i="3" s="1"/>
  <c r="H962" i="3"/>
  <c r="N962" i="3" s="1"/>
  <c r="H963" i="3"/>
  <c r="N963" i="3" s="1"/>
  <c r="H964" i="3"/>
  <c r="N964" i="3" s="1"/>
  <c r="H965" i="3"/>
  <c r="N965" i="3" s="1"/>
  <c r="H966" i="3"/>
  <c r="N966" i="3" s="1"/>
  <c r="H967" i="3"/>
  <c r="N967" i="3" s="1"/>
  <c r="H968" i="3"/>
  <c r="N968" i="3" s="1"/>
  <c r="H969" i="3"/>
  <c r="N969" i="3" s="1"/>
  <c r="H970" i="3"/>
  <c r="N970" i="3" s="1"/>
  <c r="H971" i="3"/>
  <c r="N971" i="3" s="1"/>
  <c r="H972" i="3"/>
  <c r="N972" i="3" s="1"/>
  <c r="H973" i="3"/>
  <c r="N973" i="3" s="1"/>
  <c r="H974" i="3"/>
  <c r="N974" i="3" s="1"/>
  <c r="H975" i="3"/>
  <c r="N975" i="3" s="1"/>
  <c r="H976" i="3"/>
  <c r="N976" i="3" s="1"/>
  <c r="H977" i="3"/>
  <c r="N977" i="3" s="1"/>
  <c r="H978" i="3"/>
  <c r="N978" i="3" s="1"/>
  <c r="H979" i="3"/>
  <c r="N979" i="3" s="1"/>
  <c r="H980" i="3"/>
  <c r="N980" i="3" s="1"/>
  <c r="H981" i="3"/>
  <c r="N981" i="3" s="1"/>
  <c r="H982" i="3"/>
  <c r="N982" i="3" s="1"/>
  <c r="H983" i="3"/>
  <c r="N983" i="3" s="1"/>
  <c r="H984" i="3"/>
  <c r="N984" i="3" s="1"/>
  <c r="H985" i="3"/>
  <c r="N985" i="3" s="1"/>
  <c r="H986" i="3"/>
  <c r="N986" i="3" s="1"/>
  <c r="H987" i="3"/>
  <c r="N987" i="3" s="1"/>
  <c r="H988" i="3"/>
  <c r="N988" i="3" s="1"/>
  <c r="H989" i="3"/>
  <c r="N989" i="3" s="1"/>
  <c r="H990" i="3"/>
  <c r="N990" i="3" s="1"/>
  <c r="H991" i="3"/>
  <c r="N991" i="3" s="1"/>
  <c r="H992" i="3"/>
  <c r="N992" i="3" s="1"/>
  <c r="H993" i="3"/>
  <c r="N993" i="3" s="1"/>
  <c r="H994" i="3"/>
  <c r="N994" i="3" s="1"/>
  <c r="H995" i="3"/>
  <c r="N995" i="3" s="1"/>
  <c r="H996" i="3"/>
  <c r="N996" i="3" s="1"/>
  <c r="H997" i="3"/>
  <c r="N997" i="3" s="1"/>
  <c r="H998" i="3"/>
  <c r="N998" i="3" s="1"/>
  <c r="H999" i="3"/>
  <c r="N999" i="3" s="1"/>
  <c r="H1000" i="3"/>
  <c r="N1000" i="3" s="1"/>
  <c r="H1001" i="3"/>
  <c r="N1001" i="3" s="1"/>
  <c r="F2" i="3"/>
  <c r="F3" i="3"/>
  <c r="F4" i="3"/>
  <c r="F5" i="3"/>
  <c r="F6" i="3"/>
  <c r="F7" i="3"/>
  <c r="F8" i="3"/>
  <c r="F9" i="3"/>
  <c r="F10" i="3"/>
  <c r="F11" i="3"/>
  <c r="L11" i="3" s="1"/>
  <c r="F12" i="3"/>
  <c r="F13" i="3"/>
  <c r="F14" i="3"/>
  <c r="F15" i="3"/>
  <c r="F16" i="3"/>
  <c r="F17" i="3"/>
  <c r="F18" i="3"/>
  <c r="F19" i="3"/>
  <c r="F20" i="3"/>
  <c r="F21" i="3"/>
  <c r="F22" i="3"/>
  <c r="F23" i="3"/>
  <c r="F24" i="3"/>
  <c r="F25" i="3"/>
  <c r="F26" i="3"/>
  <c r="F27" i="3"/>
  <c r="L27" i="3" s="1"/>
  <c r="F28" i="3"/>
  <c r="F29" i="3"/>
  <c r="F30" i="3"/>
  <c r="F31" i="3"/>
  <c r="F32" i="3"/>
  <c r="F33" i="3"/>
  <c r="F34" i="3"/>
  <c r="F35" i="3"/>
  <c r="F36" i="3"/>
  <c r="F37" i="3"/>
  <c r="F38" i="3"/>
  <c r="F39" i="3"/>
  <c r="F40" i="3"/>
  <c r="F41" i="3"/>
  <c r="F42" i="3"/>
  <c r="F43" i="3"/>
  <c r="L43" i="3" s="1"/>
  <c r="F44" i="3"/>
  <c r="F45" i="3"/>
  <c r="F46" i="3"/>
  <c r="F47" i="3"/>
  <c r="F48" i="3"/>
  <c r="F49" i="3"/>
  <c r="F50" i="3"/>
  <c r="F51" i="3"/>
  <c r="F52" i="3"/>
  <c r="F53" i="3"/>
  <c r="F54" i="3"/>
  <c r="F55" i="3"/>
  <c r="F56" i="3"/>
  <c r="F57" i="3"/>
  <c r="F58" i="3"/>
  <c r="F59" i="3"/>
  <c r="L59" i="3" s="1"/>
  <c r="F60" i="3"/>
  <c r="F61" i="3"/>
  <c r="F62" i="3"/>
  <c r="F63" i="3"/>
  <c r="F64" i="3"/>
  <c r="F65" i="3"/>
  <c r="F66" i="3"/>
  <c r="F67" i="3"/>
  <c r="F68" i="3"/>
  <c r="F69" i="3"/>
  <c r="F70" i="3"/>
  <c r="F71" i="3"/>
  <c r="F72" i="3"/>
  <c r="F73" i="3"/>
  <c r="F74" i="3"/>
  <c r="F75" i="3"/>
  <c r="L75" i="3" s="1"/>
  <c r="F76" i="3"/>
  <c r="F77" i="3"/>
  <c r="F78" i="3"/>
  <c r="F79" i="3"/>
  <c r="F80" i="3"/>
  <c r="F81" i="3"/>
  <c r="F82" i="3"/>
  <c r="F83" i="3"/>
  <c r="F84" i="3"/>
  <c r="F85" i="3"/>
  <c r="F86" i="3"/>
  <c r="F87" i="3"/>
  <c r="F88" i="3"/>
  <c r="F89" i="3"/>
  <c r="F90" i="3"/>
  <c r="F91" i="3"/>
  <c r="L91" i="3" s="1"/>
  <c r="F92" i="3"/>
  <c r="F93" i="3"/>
  <c r="F94" i="3"/>
  <c r="F95" i="3"/>
  <c r="F96" i="3"/>
  <c r="F97" i="3"/>
  <c r="F98" i="3"/>
  <c r="F99" i="3"/>
  <c r="F100" i="3"/>
  <c r="F101" i="3"/>
  <c r="F102" i="3"/>
  <c r="F103" i="3"/>
  <c r="F104" i="3"/>
  <c r="F105" i="3"/>
  <c r="F106" i="3"/>
  <c r="F107" i="3"/>
  <c r="L107" i="3" s="1"/>
  <c r="F108" i="3"/>
  <c r="F109" i="3"/>
  <c r="F110" i="3"/>
  <c r="F111" i="3"/>
  <c r="F112" i="3"/>
  <c r="F113" i="3"/>
  <c r="F114" i="3"/>
  <c r="F115" i="3"/>
  <c r="F116" i="3"/>
  <c r="F117" i="3"/>
  <c r="F118" i="3"/>
  <c r="F119" i="3"/>
  <c r="F120" i="3"/>
  <c r="F121" i="3"/>
  <c r="F122" i="3"/>
  <c r="F123" i="3"/>
  <c r="L123" i="3" s="1"/>
  <c r="F124" i="3"/>
  <c r="F125" i="3"/>
  <c r="F126" i="3"/>
  <c r="F127" i="3"/>
  <c r="F128" i="3"/>
  <c r="F129" i="3"/>
  <c r="F130" i="3"/>
  <c r="F131" i="3"/>
  <c r="F132" i="3"/>
  <c r="F133" i="3"/>
  <c r="F134" i="3"/>
  <c r="F135" i="3"/>
  <c r="F136" i="3"/>
  <c r="F137" i="3"/>
  <c r="F138" i="3"/>
  <c r="F139" i="3"/>
  <c r="L139" i="3" s="1"/>
  <c r="F140" i="3"/>
  <c r="F141" i="3"/>
  <c r="F142" i="3"/>
  <c r="F143" i="3"/>
  <c r="F144" i="3"/>
  <c r="F145" i="3"/>
  <c r="F146" i="3"/>
  <c r="F147" i="3"/>
  <c r="F148" i="3"/>
  <c r="F149" i="3"/>
  <c r="F150" i="3"/>
  <c r="F151" i="3"/>
  <c r="F152" i="3"/>
  <c r="F153" i="3"/>
  <c r="F154" i="3"/>
  <c r="F155" i="3"/>
  <c r="L155" i="3" s="1"/>
  <c r="F156" i="3"/>
  <c r="F157" i="3"/>
  <c r="F158" i="3"/>
  <c r="F159" i="3"/>
  <c r="F160" i="3"/>
  <c r="F161" i="3"/>
  <c r="F162" i="3"/>
  <c r="F163" i="3"/>
  <c r="F164" i="3"/>
  <c r="F165" i="3"/>
  <c r="F166" i="3"/>
  <c r="F167" i="3"/>
  <c r="F168" i="3"/>
  <c r="F169" i="3"/>
  <c r="F170" i="3"/>
  <c r="F171" i="3"/>
  <c r="L171" i="3" s="1"/>
  <c r="F172" i="3"/>
  <c r="F173" i="3"/>
  <c r="F174" i="3"/>
  <c r="F175" i="3"/>
  <c r="F176" i="3"/>
  <c r="F177" i="3"/>
  <c r="F178" i="3"/>
  <c r="F179" i="3"/>
  <c r="F180" i="3"/>
  <c r="F181" i="3"/>
  <c r="F182" i="3"/>
  <c r="F183" i="3"/>
  <c r="L183" i="3" s="1"/>
  <c r="F184" i="3"/>
  <c r="F185" i="3"/>
  <c r="F186" i="3"/>
  <c r="F187" i="3"/>
  <c r="F188" i="3"/>
  <c r="F189" i="3"/>
  <c r="F190" i="3"/>
  <c r="F191" i="3"/>
  <c r="L191" i="3" s="1"/>
  <c r="F192" i="3"/>
  <c r="F193" i="3"/>
  <c r="F194" i="3"/>
  <c r="F195" i="3"/>
  <c r="F196" i="3"/>
  <c r="F197" i="3"/>
  <c r="L197" i="3" s="1"/>
  <c r="F198" i="3"/>
  <c r="F199" i="3"/>
  <c r="F200" i="3"/>
  <c r="F201" i="3"/>
  <c r="L201" i="3" s="1"/>
  <c r="F202" i="3"/>
  <c r="F203" i="3"/>
  <c r="F204" i="3"/>
  <c r="F205" i="3"/>
  <c r="L205" i="3" s="1"/>
  <c r="F206" i="3"/>
  <c r="F207" i="3"/>
  <c r="F208" i="3"/>
  <c r="F209" i="3"/>
  <c r="L209" i="3" s="1"/>
  <c r="F210" i="3"/>
  <c r="F211" i="3"/>
  <c r="F212" i="3"/>
  <c r="F213" i="3"/>
  <c r="L213" i="3" s="1"/>
  <c r="F214" i="3"/>
  <c r="F215" i="3"/>
  <c r="F216" i="3"/>
  <c r="F217" i="3"/>
  <c r="L217" i="3" s="1"/>
  <c r="F218" i="3"/>
  <c r="F219" i="3"/>
  <c r="F220" i="3"/>
  <c r="F221" i="3"/>
  <c r="L221" i="3" s="1"/>
  <c r="F222" i="3"/>
  <c r="F223" i="3"/>
  <c r="F224" i="3"/>
  <c r="F225" i="3"/>
  <c r="L225" i="3" s="1"/>
  <c r="F226" i="3"/>
  <c r="F227" i="3"/>
  <c r="F228" i="3"/>
  <c r="F229" i="3"/>
  <c r="L229" i="3" s="1"/>
  <c r="F230" i="3"/>
  <c r="F231" i="3"/>
  <c r="F232" i="3"/>
  <c r="F233" i="3"/>
  <c r="L233" i="3" s="1"/>
  <c r="F234" i="3"/>
  <c r="F235" i="3"/>
  <c r="F236" i="3"/>
  <c r="F237" i="3"/>
  <c r="L237" i="3" s="1"/>
  <c r="F238" i="3"/>
  <c r="F239" i="3"/>
  <c r="F240" i="3"/>
  <c r="F241" i="3"/>
  <c r="L241" i="3" s="1"/>
  <c r="F242" i="3"/>
  <c r="F243" i="3"/>
  <c r="F244" i="3"/>
  <c r="F245" i="3"/>
  <c r="L245" i="3" s="1"/>
  <c r="F246" i="3"/>
  <c r="F247" i="3"/>
  <c r="F248" i="3"/>
  <c r="F249" i="3"/>
  <c r="L249" i="3" s="1"/>
  <c r="F250" i="3"/>
  <c r="F251" i="3"/>
  <c r="F252" i="3"/>
  <c r="F253" i="3"/>
  <c r="L253" i="3" s="1"/>
  <c r="F254" i="3"/>
  <c r="F255" i="3"/>
  <c r="F256" i="3"/>
  <c r="F257" i="3"/>
  <c r="L257" i="3" s="1"/>
  <c r="F258" i="3"/>
  <c r="F259" i="3"/>
  <c r="F260" i="3"/>
  <c r="F261" i="3"/>
  <c r="L261" i="3" s="1"/>
  <c r="F262" i="3"/>
  <c r="F263" i="3"/>
  <c r="F264" i="3"/>
  <c r="F265" i="3"/>
  <c r="L265" i="3" s="1"/>
  <c r="F266" i="3"/>
  <c r="F267" i="3"/>
  <c r="F268" i="3"/>
  <c r="F269" i="3"/>
  <c r="L269" i="3" s="1"/>
  <c r="F270" i="3"/>
  <c r="F271" i="3"/>
  <c r="F272" i="3"/>
  <c r="F273" i="3"/>
  <c r="L273" i="3" s="1"/>
  <c r="F274" i="3"/>
  <c r="F275" i="3"/>
  <c r="F276" i="3"/>
  <c r="F277" i="3"/>
  <c r="L277" i="3" s="1"/>
  <c r="F278" i="3"/>
  <c r="F279" i="3"/>
  <c r="F280" i="3"/>
  <c r="F281" i="3"/>
  <c r="L281" i="3" s="1"/>
  <c r="F282" i="3"/>
  <c r="F283" i="3"/>
  <c r="F284" i="3"/>
  <c r="F285" i="3"/>
  <c r="L285" i="3" s="1"/>
  <c r="F286" i="3"/>
  <c r="F287" i="3"/>
  <c r="F288" i="3"/>
  <c r="F289" i="3"/>
  <c r="L289" i="3" s="1"/>
  <c r="F290" i="3"/>
  <c r="F291" i="3"/>
  <c r="F292" i="3"/>
  <c r="F293" i="3"/>
  <c r="L293" i="3" s="1"/>
  <c r="F294" i="3"/>
  <c r="F295" i="3"/>
  <c r="F296" i="3"/>
  <c r="F297" i="3"/>
  <c r="L297" i="3" s="1"/>
  <c r="F298" i="3"/>
  <c r="F299" i="3"/>
  <c r="F300" i="3"/>
  <c r="F301" i="3"/>
  <c r="L301" i="3" s="1"/>
  <c r="F302" i="3"/>
  <c r="F303" i="3"/>
  <c r="F304" i="3"/>
  <c r="F305" i="3"/>
  <c r="L305" i="3" s="1"/>
  <c r="F306" i="3"/>
  <c r="F307" i="3"/>
  <c r="F308" i="3"/>
  <c r="F309" i="3"/>
  <c r="L309" i="3" s="1"/>
  <c r="F310" i="3"/>
  <c r="F311" i="3"/>
  <c r="F312" i="3"/>
  <c r="F313" i="3"/>
  <c r="L313" i="3" s="1"/>
  <c r="F314" i="3"/>
  <c r="F315" i="3"/>
  <c r="F316" i="3"/>
  <c r="F317" i="3"/>
  <c r="L317" i="3" s="1"/>
  <c r="F318" i="3"/>
  <c r="F319" i="3"/>
  <c r="F320" i="3"/>
  <c r="F321" i="3"/>
  <c r="L321" i="3" s="1"/>
  <c r="F322" i="3"/>
  <c r="F323" i="3"/>
  <c r="F324" i="3"/>
  <c r="F325" i="3"/>
  <c r="L325" i="3" s="1"/>
  <c r="F326" i="3"/>
  <c r="F327" i="3"/>
  <c r="F328" i="3"/>
  <c r="F329" i="3"/>
  <c r="L329" i="3" s="1"/>
  <c r="F330" i="3"/>
  <c r="F331" i="3"/>
  <c r="F332" i="3"/>
  <c r="F333" i="3"/>
  <c r="L333" i="3" s="1"/>
  <c r="F334" i="3"/>
  <c r="F335" i="3"/>
  <c r="F336" i="3"/>
  <c r="F337" i="3"/>
  <c r="L337" i="3" s="1"/>
  <c r="F338" i="3"/>
  <c r="F339" i="3"/>
  <c r="F340" i="3"/>
  <c r="F341" i="3"/>
  <c r="L341" i="3" s="1"/>
  <c r="F342" i="3"/>
  <c r="F343" i="3"/>
  <c r="F344" i="3"/>
  <c r="F345" i="3"/>
  <c r="L345" i="3" s="1"/>
  <c r="F346" i="3"/>
  <c r="F347" i="3"/>
  <c r="F348" i="3"/>
  <c r="F349" i="3"/>
  <c r="L349" i="3" s="1"/>
  <c r="F350" i="3"/>
  <c r="F351" i="3"/>
  <c r="F352" i="3"/>
  <c r="F353" i="3"/>
  <c r="L353" i="3" s="1"/>
  <c r="F354" i="3"/>
  <c r="F355" i="3"/>
  <c r="F356" i="3"/>
  <c r="F357" i="3"/>
  <c r="L357" i="3" s="1"/>
  <c r="F358" i="3"/>
  <c r="F359" i="3"/>
  <c r="F360" i="3"/>
  <c r="F361" i="3"/>
  <c r="L361" i="3" s="1"/>
  <c r="F362" i="3"/>
  <c r="F363" i="3"/>
  <c r="F364" i="3"/>
  <c r="F365" i="3"/>
  <c r="L365" i="3" s="1"/>
  <c r="F366" i="3"/>
  <c r="F367" i="3"/>
  <c r="F368" i="3"/>
  <c r="F369" i="3"/>
  <c r="L369" i="3" s="1"/>
  <c r="F370" i="3"/>
  <c r="F371" i="3"/>
  <c r="F372" i="3"/>
  <c r="F373" i="3"/>
  <c r="L373" i="3" s="1"/>
  <c r="F374" i="3"/>
  <c r="F375" i="3"/>
  <c r="F376" i="3"/>
  <c r="F377" i="3"/>
  <c r="L377" i="3" s="1"/>
  <c r="F378" i="3"/>
  <c r="F379" i="3"/>
  <c r="F380" i="3"/>
  <c r="F381" i="3"/>
  <c r="L381" i="3" s="1"/>
  <c r="F382" i="3"/>
  <c r="F383" i="3"/>
  <c r="F384" i="3"/>
  <c r="J384" i="3" s="1"/>
  <c r="F385" i="3"/>
  <c r="L385" i="3" s="1"/>
  <c r="F386" i="3"/>
  <c r="F387" i="3"/>
  <c r="F388" i="3"/>
  <c r="F389" i="3"/>
  <c r="L389" i="3" s="1"/>
  <c r="F390" i="3"/>
  <c r="F391" i="3"/>
  <c r="F392" i="3"/>
  <c r="F393" i="3"/>
  <c r="L393" i="3" s="1"/>
  <c r="F394" i="3"/>
  <c r="F395" i="3"/>
  <c r="F396" i="3"/>
  <c r="F397" i="3"/>
  <c r="L397" i="3" s="1"/>
  <c r="F398" i="3"/>
  <c r="F399" i="3"/>
  <c r="F400" i="3"/>
  <c r="F401" i="3"/>
  <c r="L401" i="3" s="1"/>
  <c r="F402" i="3"/>
  <c r="F403" i="3"/>
  <c r="F404" i="3"/>
  <c r="F405" i="3"/>
  <c r="L405" i="3" s="1"/>
  <c r="F406" i="3"/>
  <c r="F407" i="3"/>
  <c r="F408" i="3"/>
  <c r="F409" i="3"/>
  <c r="L409" i="3" s="1"/>
  <c r="F410" i="3"/>
  <c r="F411" i="3"/>
  <c r="F412" i="3"/>
  <c r="F413" i="3"/>
  <c r="L413" i="3" s="1"/>
  <c r="F414" i="3"/>
  <c r="F415" i="3"/>
  <c r="F416" i="3"/>
  <c r="F417" i="3"/>
  <c r="L417" i="3" s="1"/>
  <c r="F418" i="3"/>
  <c r="F419" i="3"/>
  <c r="F420" i="3"/>
  <c r="F421" i="3"/>
  <c r="L421" i="3" s="1"/>
  <c r="F422" i="3"/>
  <c r="F423" i="3"/>
  <c r="F424" i="3"/>
  <c r="F425" i="3"/>
  <c r="L425" i="3" s="1"/>
  <c r="F426" i="3"/>
  <c r="F427" i="3"/>
  <c r="F428" i="3"/>
  <c r="F429" i="3"/>
  <c r="L429" i="3" s="1"/>
  <c r="F430" i="3"/>
  <c r="F431" i="3"/>
  <c r="F432" i="3"/>
  <c r="F433" i="3"/>
  <c r="L433" i="3" s="1"/>
  <c r="F434" i="3"/>
  <c r="F435" i="3"/>
  <c r="F436" i="3"/>
  <c r="F437" i="3"/>
  <c r="L437" i="3" s="1"/>
  <c r="F438" i="3"/>
  <c r="F439" i="3"/>
  <c r="F440" i="3"/>
  <c r="F441" i="3"/>
  <c r="L441" i="3" s="1"/>
  <c r="F442" i="3"/>
  <c r="F443" i="3"/>
  <c r="F444" i="3"/>
  <c r="F445" i="3"/>
  <c r="L445" i="3" s="1"/>
  <c r="F446" i="3"/>
  <c r="F447" i="3"/>
  <c r="F448" i="3"/>
  <c r="J448" i="3" s="1"/>
  <c r="F449" i="3"/>
  <c r="L449" i="3" s="1"/>
  <c r="F450" i="3"/>
  <c r="F451" i="3"/>
  <c r="F452" i="3"/>
  <c r="F453" i="3"/>
  <c r="L453" i="3" s="1"/>
  <c r="F454" i="3"/>
  <c r="F455" i="3"/>
  <c r="F456" i="3"/>
  <c r="F457" i="3"/>
  <c r="L457" i="3" s="1"/>
  <c r="F458" i="3"/>
  <c r="F459" i="3"/>
  <c r="F460" i="3"/>
  <c r="F461" i="3"/>
  <c r="L461" i="3" s="1"/>
  <c r="F462" i="3"/>
  <c r="F463" i="3"/>
  <c r="F464" i="3"/>
  <c r="F465" i="3"/>
  <c r="L465" i="3" s="1"/>
  <c r="F466" i="3"/>
  <c r="F467" i="3"/>
  <c r="F468" i="3"/>
  <c r="F469" i="3"/>
  <c r="L469" i="3" s="1"/>
  <c r="F470" i="3"/>
  <c r="F471" i="3"/>
  <c r="F472" i="3"/>
  <c r="F473" i="3"/>
  <c r="L473" i="3" s="1"/>
  <c r="F474" i="3"/>
  <c r="F475" i="3"/>
  <c r="F476" i="3"/>
  <c r="F477" i="3"/>
  <c r="L477" i="3" s="1"/>
  <c r="F478" i="3"/>
  <c r="F479" i="3"/>
  <c r="F480" i="3"/>
  <c r="F481" i="3"/>
  <c r="L481" i="3" s="1"/>
  <c r="F482" i="3"/>
  <c r="F483" i="3"/>
  <c r="F484" i="3"/>
  <c r="F485" i="3"/>
  <c r="L485" i="3" s="1"/>
  <c r="F486" i="3"/>
  <c r="F487" i="3"/>
  <c r="F488" i="3"/>
  <c r="F489" i="3"/>
  <c r="L489" i="3" s="1"/>
  <c r="F490" i="3"/>
  <c r="F491" i="3"/>
  <c r="F492" i="3"/>
  <c r="F493" i="3"/>
  <c r="L493" i="3" s="1"/>
  <c r="F494" i="3"/>
  <c r="F495" i="3"/>
  <c r="F496" i="3"/>
  <c r="F497" i="3"/>
  <c r="L497" i="3" s="1"/>
  <c r="F498" i="3"/>
  <c r="F499" i="3"/>
  <c r="F500" i="3"/>
  <c r="F501" i="3"/>
  <c r="L501" i="3" s="1"/>
  <c r="F502" i="3"/>
  <c r="F503" i="3"/>
  <c r="F504" i="3"/>
  <c r="F505" i="3"/>
  <c r="L505" i="3" s="1"/>
  <c r="F506" i="3"/>
  <c r="F507" i="3"/>
  <c r="F508" i="3"/>
  <c r="F509" i="3"/>
  <c r="L509" i="3" s="1"/>
  <c r="F510" i="3"/>
  <c r="F511" i="3"/>
  <c r="F512" i="3"/>
  <c r="J512" i="3" s="1"/>
  <c r="F513" i="3"/>
  <c r="L513" i="3" s="1"/>
  <c r="F514" i="3"/>
  <c r="F515" i="3"/>
  <c r="F516" i="3"/>
  <c r="F517" i="3"/>
  <c r="L517" i="3" s="1"/>
  <c r="F518" i="3"/>
  <c r="F519" i="3"/>
  <c r="F520" i="3"/>
  <c r="F521" i="3"/>
  <c r="L521" i="3" s="1"/>
  <c r="F522" i="3"/>
  <c r="F523" i="3"/>
  <c r="F524" i="3"/>
  <c r="F525" i="3"/>
  <c r="L525" i="3" s="1"/>
  <c r="F526" i="3"/>
  <c r="F527" i="3"/>
  <c r="F528" i="3"/>
  <c r="F529" i="3"/>
  <c r="L529" i="3" s="1"/>
  <c r="F530" i="3"/>
  <c r="F531" i="3"/>
  <c r="F532" i="3"/>
  <c r="F533" i="3"/>
  <c r="L533" i="3" s="1"/>
  <c r="F534" i="3"/>
  <c r="F535" i="3"/>
  <c r="F536" i="3"/>
  <c r="F537" i="3"/>
  <c r="L537" i="3" s="1"/>
  <c r="F538" i="3"/>
  <c r="F539" i="3"/>
  <c r="F540" i="3"/>
  <c r="F541" i="3"/>
  <c r="L541" i="3" s="1"/>
  <c r="F542" i="3"/>
  <c r="F543" i="3"/>
  <c r="F544" i="3"/>
  <c r="F545" i="3"/>
  <c r="L545" i="3" s="1"/>
  <c r="F546" i="3"/>
  <c r="F547" i="3"/>
  <c r="F548" i="3"/>
  <c r="F549" i="3"/>
  <c r="L549" i="3" s="1"/>
  <c r="F550" i="3"/>
  <c r="F551" i="3"/>
  <c r="F552" i="3"/>
  <c r="F553" i="3"/>
  <c r="L553" i="3" s="1"/>
  <c r="F554" i="3"/>
  <c r="F555" i="3"/>
  <c r="F556" i="3"/>
  <c r="F557" i="3"/>
  <c r="L557" i="3" s="1"/>
  <c r="F558" i="3"/>
  <c r="F559" i="3"/>
  <c r="F560" i="3"/>
  <c r="F561" i="3"/>
  <c r="L561" i="3" s="1"/>
  <c r="F562" i="3"/>
  <c r="F563" i="3"/>
  <c r="F564" i="3"/>
  <c r="F565" i="3"/>
  <c r="L565" i="3" s="1"/>
  <c r="F566" i="3"/>
  <c r="F567" i="3"/>
  <c r="F568" i="3"/>
  <c r="F569" i="3"/>
  <c r="L569" i="3" s="1"/>
  <c r="F570" i="3"/>
  <c r="F571" i="3"/>
  <c r="F572" i="3"/>
  <c r="F573" i="3"/>
  <c r="L573" i="3" s="1"/>
  <c r="F574" i="3"/>
  <c r="F575" i="3"/>
  <c r="F576" i="3"/>
  <c r="J576" i="3" s="1"/>
  <c r="F577" i="3"/>
  <c r="L577" i="3" s="1"/>
  <c r="F578" i="3"/>
  <c r="F579" i="3"/>
  <c r="F580" i="3"/>
  <c r="F581" i="3"/>
  <c r="L581" i="3" s="1"/>
  <c r="F582" i="3"/>
  <c r="F583" i="3"/>
  <c r="F584" i="3"/>
  <c r="F585" i="3"/>
  <c r="L585" i="3" s="1"/>
  <c r="F586" i="3"/>
  <c r="F587" i="3"/>
  <c r="F588" i="3"/>
  <c r="F589" i="3"/>
  <c r="L589" i="3" s="1"/>
  <c r="F590" i="3"/>
  <c r="F591" i="3"/>
  <c r="F592" i="3"/>
  <c r="F593" i="3"/>
  <c r="L593" i="3" s="1"/>
  <c r="F594" i="3"/>
  <c r="F595" i="3"/>
  <c r="F596" i="3"/>
  <c r="F597" i="3"/>
  <c r="L597" i="3" s="1"/>
  <c r="F598" i="3"/>
  <c r="F599" i="3"/>
  <c r="F600" i="3"/>
  <c r="F601" i="3"/>
  <c r="L601" i="3" s="1"/>
  <c r="F602" i="3"/>
  <c r="F603" i="3"/>
  <c r="F604" i="3"/>
  <c r="F605" i="3"/>
  <c r="L605" i="3" s="1"/>
  <c r="F606" i="3"/>
  <c r="F607" i="3"/>
  <c r="F608" i="3"/>
  <c r="F609" i="3"/>
  <c r="L609" i="3" s="1"/>
  <c r="F610" i="3"/>
  <c r="F611" i="3"/>
  <c r="J611" i="3" s="1"/>
  <c r="F612" i="3"/>
  <c r="F613" i="3"/>
  <c r="L613" i="3" s="1"/>
  <c r="F614" i="3"/>
  <c r="F615" i="3"/>
  <c r="F616" i="3"/>
  <c r="F617" i="3"/>
  <c r="L617" i="3" s="1"/>
  <c r="F618" i="3"/>
  <c r="F619" i="3"/>
  <c r="F620" i="3"/>
  <c r="F621" i="3"/>
  <c r="L621" i="3" s="1"/>
  <c r="F622" i="3"/>
  <c r="F623" i="3"/>
  <c r="F624" i="3"/>
  <c r="F625" i="3"/>
  <c r="L625" i="3" s="1"/>
  <c r="F626" i="3"/>
  <c r="F627" i="3"/>
  <c r="J627" i="3" s="1"/>
  <c r="F628" i="3"/>
  <c r="F629" i="3"/>
  <c r="L629" i="3" s="1"/>
  <c r="F630" i="3"/>
  <c r="F631" i="3"/>
  <c r="F632" i="3"/>
  <c r="F633" i="3"/>
  <c r="L633" i="3" s="1"/>
  <c r="F634" i="3"/>
  <c r="F635" i="3"/>
  <c r="F636" i="3"/>
  <c r="F637" i="3"/>
  <c r="L637" i="3" s="1"/>
  <c r="F638" i="3"/>
  <c r="F639" i="3"/>
  <c r="F640" i="3"/>
  <c r="F641" i="3"/>
  <c r="L641" i="3" s="1"/>
  <c r="F642" i="3"/>
  <c r="F643" i="3"/>
  <c r="J643" i="3" s="1"/>
  <c r="F644" i="3"/>
  <c r="F645" i="3"/>
  <c r="L645" i="3" s="1"/>
  <c r="F646" i="3"/>
  <c r="F647" i="3"/>
  <c r="F648" i="3"/>
  <c r="F649" i="3"/>
  <c r="L649" i="3" s="1"/>
  <c r="F650" i="3"/>
  <c r="F651" i="3"/>
  <c r="F652" i="3"/>
  <c r="F653" i="3"/>
  <c r="L653" i="3" s="1"/>
  <c r="F654" i="3"/>
  <c r="F655" i="3"/>
  <c r="F656" i="3"/>
  <c r="F657" i="3"/>
  <c r="L657" i="3" s="1"/>
  <c r="F658" i="3"/>
  <c r="F659" i="3"/>
  <c r="J659" i="3" s="1"/>
  <c r="F660" i="3"/>
  <c r="F661" i="3"/>
  <c r="L661" i="3" s="1"/>
  <c r="F662" i="3"/>
  <c r="F663" i="3"/>
  <c r="F664" i="3"/>
  <c r="F665" i="3"/>
  <c r="L665" i="3" s="1"/>
  <c r="F666" i="3"/>
  <c r="F667" i="3"/>
  <c r="F668" i="3"/>
  <c r="F669" i="3"/>
  <c r="L669" i="3" s="1"/>
  <c r="F670" i="3"/>
  <c r="F671" i="3"/>
  <c r="F672" i="3"/>
  <c r="F673" i="3"/>
  <c r="L673" i="3" s="1"/>
  <c r="F674" i="3"/>
  <c r="F675" i="3"/>
  <c r="J675" i="3" s="1"/>
  <c r="F676" i="3"/>
  <c r="F677" i="3"/>
  <c r="L677" i="3" s="1"/>
  <c r="F678" i="3"/>
  <c r="F679" i="3"/>
  <c r="F680" i="3"/>
  <c r="F681" i="3"/>
  <c r="L681" i="3" s="1"/>
  <c r="F682" i="3"/>
  <c r="F683" i="3"/>
  <c r="F684" i="3"/>
  <c r="F685" i="3"/>
  <c r="L685" i="3" s="1"/>
  <c r="F686" i="3"/>
  <c r="F687" i="3"/>
  <c r="F688" i="3"/>
  <c r="F689" i="3"/>
  <c r="L689" i="3" s="1"/>
  <c r="F690" i="3"/>
  <c r="F691" i="3"/>
  <c r="J691" i="3" s="1"/>
  <c r="F692" i="3"/>
  <c r="L692" i="3" s="1"/>
  <c r="F693" i="3"/>
  <c r="L693" i="3" s="1"/>
  <c r="F694" i="3"/>
  <c r="F695" i="3"/>
  <c r="F696" i="3"/>
  <c r="L696" i="3" s="1"/>
  <c r="F697" i="3"/>
  <c r="L697" i="3" s="1"/>
  <c r="F698" i="3"/>
  <c r="F699" i="3"/>
  <c r="F700" i="3"/>
  <c r="L700" i="3" s="1"/>
  <c r="F701" i="3"/>
  <c r="L701" i="3" s="1"/>
  <c r="F702" i="3"/>
  <c r="L702" i="3" s="1"/>
  <c r="F703" i="3"/>
  <c r="F704" i="3"/>
  <c r="L704" i="3" s="1"/>
  <c r="F705" i="3"/>
  <c r="L705" i="3" s="1"/>
  <c r="F706" i="3"/>
  <c r="L706" i="3" s="1"/>
  <c r="F707" i="3"/>
  <c r="J707" i="3" s="1"/>
  <c r="F708" i="3"/>
  <c r="L708" i="3" s="1"/>
  <c r="F709" i="3"/>
  <c r="L709" i="3" s="1"/>
  <c r="F710" i="3"/>
  <c r="L710" i="3" s="1"/>
  <c r="F711" i="3"/>
  <c r="L711" i="3" s="1"/>
  <c r="F712" i="3"/>
  <c r="L712" i="3" s="1"/>
  <c r="F713" i="3"/>
  <c r="L713" i="3" s="1"/>
  <c r="F714" i="3"/>
  <c r="L714" i="3" s="1"/>
  <c r="F715" i="3"/>
  <c r="L715" i="3" s="1"/>
  <c r="F716" i="3"/>
  <c r="L716" i="3" s="1"/>
  <c r="F717" i="3"/>
  <c r="L717" i="3" s="1"/>
  <c r="F718" i="3"/>
  <c r="L718" i="3" s="1"/>
  <c r="F719" i="3"/>
  <c r="L719" i="3" s="1"/>
  <c r="F720" i="3"/>
  <c r="L720" i="3" s="1"/>
  <c r="F721" i="3"/>
  <c r="L721" i="3" s="1"/>
  <c r="F722" i="3"/>
  <c r="L722" i="3" s="1"/>
  <c r="F723" i="3"/>
  <c r="L723" i="3" s="1"/>
  <c r="F724" i="3"/>
  <c r="L724" i="3" s="1"/>
  <c r="F725" i="3"/>
  <c r="L725" i="3" s="1"/>
  <c r="F726" i="3"/>
  <c r="L726" i="3" s="1"/>
  <c r="F727" i="3"/>
  <c r="L727" i="3" s="1"/>
  <c r="F728" i="3"/>
  <c r="L728" i="3" s="1"/>
  <c r="F729" i="3"/>
  <c r="L729" i="3" s="1"/>
  <c r="F730" i="3"/>
  <c r="L730" i="3" s="1"/>
  <c r="F731" i="3"/>
  <c r="L731" i="3" s="1"/>
  <c r="F732" i="3"/>
  <c r="L732" i="3" s="1"/>
  <c r="F733" i="3"/>
  <c r="L733" i="3" s="1"/>
  <c r="F734" i="3"/>
  <c r="L734" i="3" s="1"/>
  <c r="F735" i="3"/>
  <c r="L735" i="3" s="1"/>
  <c r="F736" i="3"/>
  <c r="L736" i="3" s="1"/>
  <c r="F737" i="3"/>
  <c r="L737" i="3" s="1"/>
  <c r="F738" i="3"/>
  <c r="L738" i="3" s="1"/>
  <c r="F739" i="3"/>
  <c r="L739" i="3" s="1"/>
  <c r="F740" i="3"/>
  <c r="L740" i="3" s="1"/>
  <c r="F741" i="3"/>
  <c r="L741" i="3" s="1"/>
  <c r="F742" i="3"/>
  <c r="L742" i="3" s="1"/>
  <c r="F743" i="3"/>
  <c r="L743" i="3" s="1"/>
  <c r="F744" i="3"/>
  <c r="L744" i="3" s="1"/>
  <c r="F745" i="3"/>
  <c r="L745" i="3" s="1"/>
  <c r="F746" i="3"/>
  <c r="L746" i="3" s="1"/>
  <c r="F747" i="3"/>
  <c r="L747" i="3" s="1"/>
  <c r="F748" i="3"/>
  <c r="L748" i="3" s="1"/>
  <c r="F749" i="3"/>
  <c r="L749" i="3" s="1"/>
  <c r="F750" i="3"/>
  <c r="L750" i="3" s="1"/>
  <c r="F751" i="3"/>
  <c r="L751" i="3" s="1"/>
  <c r="F752" i="3"/>
  <c r="L752" i="3" s="1"/>
  <c r="F753" i="3"/>
  <c r="L753" i="3" s="1"/>
  <c r="F754" i="3"/>
  <c r="L754" i="3" s="1"/>
  <c r="F755" i="3"/>
  <c r="J755" i="3" s="1"/>
  <c r="F756" i="3"/>
  <c r="L756" i="3" s="1"/>
  <c r="F757" i="3"/>
  <c r="L757" i="3" s="1"/>
  <c r="F758" i="3"/>
  <c r="L758" i="3" s="1"/>
  <c r="F759" i="3"/>
  <c r="L759" i="3" s="1"/>
  <c r="F760" i="3"/>
  <c r="L760" i="3" s="1"/>
  <c r="F761" i="3"/>
  <c r="L761" i="3" s="1"/>
  <c r="F762" i="3"/>
  <c r="L762" i="3" s="1"/>
  <c r="F763" i="3"/>
  <c r="L763" i="3" s="1"/>
  <c r="F764" i="3"/>
  <c r="L764" i="3" s="1"/>
  <c r="F765" i="3"/>
  <c r="L765" i="3" s="1"/>
  <c r="F766" i="3"/>
  <c r="L766" i="3" s="1"/>
  <c r="F767" i="3"/>
  <c r="L767" i="3" s="1"/>
  <c r="F768" i="3"/>
  <c r="L768" i="3" s="1"/>
  <c r="F769" i="3"/>
  <c r="L769" i="3" s="1"/>
  <c r="F770" i="3"/>
  <c r="L770" i="3" s="1"/>
  <c r="F771" i="3"/>
  <c r="J771" i="3" s="1"/>
  <c r="F772" i="3"/>
  <c r="L772" i="3" s="1"/>
  <c r="F773" i="3"/>
  <c r="L773" i="3" s="1"/>
  <c r="F774" i="3"/>
  <c r="L774" i="3" s="1"/>
  <c r="F775" i="3"/>
  <c r="L775" i="3" s="1"/>
  <c r="F776" i="3"/>
  <c r="L776" i="3" s="1"/>
  <c r="F777" i="3"/>
  <c r="L777" i="3" s="1"/>
  <c r="F778" i="3"/>
  <c r="L778" i="3" s="1"/>
  <c r="F779" i="3"/>
  <c r="L779" i="3" s="1"/>
  <c r="F780" i="3"/>
  <c r="L780" i="3" s="1"/>
  <c r="F781" i="3"/>
  <c r="L781" i="3" s="1"/>
  <c r="F782" i="3"/>
  <c r="L782" i="3" s="1"/>
  <c r="F783" i="3"/>
  <c r="L783" i="3" s="1"/>
  <c r="F784" i="3"/>
  <c r="L784" i="3" s="1"/>
  <c r="F785" i="3"/>
  <c r="L785" i="3" s="1"/>
  <c r="F786" i="3"/>
  <c r="L786" i="3" s="1"/>
  <c r="F787" i="3"/>
  <c r="L787" i="3" s="1"/>
  <c r="F788" i="3"/>
  <c r="L788" i="3" s="1"/>
  <c r="F789" i="3"/>
  <c r="L789" i="3" s="1"/>
  <c r="F790" i="3"/>
  <c r="L790" i="3" s="1"/>
  <c r="F791" i="3"/>
  <c r="L791" i="3" s="1"/>
  <c r="F792" i="3"/>
  <c r="L792" i="3" s="1"/>
  <c r="F793" i="3"/>
  <c r="L793" i="3" s="1"/>
  <c r="F794" i="3"/>
  <c r="L794" i="3" s="1"/>
  <c r="F795" i="3"/>
  <c r="L795" i="3" s="1"/>
  <c r="F796" i="3"/>
  <c r="L796" i="3" s="1"/>
  <c r="F797" i="3"/>
  <c r="L797" i="3" s="1"/>
  <c r="F798" i="3"/>
  <c r="L798" i="3" s="1"/>
  <c r="F799" i="3"/>
  <c r="L799" i="3" s="1"/>
  <c r="F800" i="3"/>
  <c r="L800" i="3" s="1"/>
  <c r="F801" i="3"/>
  <c r="L801" i="3" s="1"/>
  <c r="F802" i="3"/>
  <c r="L802" i="3" s="1"/>
  <c r="F803" i="3"/>
  <c r="L803" i="3" s="1"/>
  <c r="F804" i="3"/>
  <c r="L804" i="3" s="1"/>
  <c r="F805" i="3"/>
  <c r="L805" i="3" s="1"/>
  <c r="F806" i="3"/>
  <c r="L806" i="3" s="1"/>
  <c r="F807" i="3"/>
  <c r="L807" i="3" s="1"/>
  <c r="F808" i="3"/>
  <c r="L808" i="3" s="1"/>
  <c r="F809" i="3"/>
  <c r="L809" i="3" s="1"/>
  <c r="F810" i="3"/>
  <c r="L810" i="3" s="1"/>
  <c r="F811" i="3"/>
  <c r="L811" i="3" s="1"/>
  <c r="F812" i="3"/>
  <c r="L812" i="3" s="1"/>
  <c r="F813" i="3"/>
  <c r="L813" i="3" s="1"/>
  <c r="F814" i="3"/>
  <c r="L814" i="3" s="1"/>
  <c r="F815" i="3"/>
  <c r="L815" i="3" s="1"/>
  <c r="F816" i="3"/>
  <c r="L816" i="3" s="1"/>
  <c r="F817" i="3"/>
  <c r="L817" i="3" s="1"/>
  <c r="F818" i="3"/>
  <c r="L818" i="3" s="1"/>
  <c r="F819" i="3"/>
  <c r="J819" i="3" s="1"/>
  <c r="F820" i="3"/>
  <c r="L820" i="3" s="1"/>
  <c r="F821" i="3"/>
  <c r="L821" i="3" s="1"/>
  <c r="F822" i="3"/>
  <c r="L822" i="3" s="1"/>
  <c r="F823" i="3"/>
  <c r="L823" i="3" s="1"/>
  <c r="F824" i="3"/>
  <c r="L824" i="3" s="1"/>
  <c r="F825" i="3"/>
  <c r="L825" i="3" s="1"/>
  <c r="F826" i="3"/>
  <c r="L826" i="3" s="1"/>
  <c r="F827" i="3"/>
  <c r="L827" i="3" s="1"/>
  <c r="F828" i="3"/>
  <c r="L828" i="3" s="1"/>
  <c r="F829" i="3"/>
  <c r="L829" i="3" s="1"/>
  <c r="F830" i="3"/>
  <c r="L830" i="3" s="1"/>
  <c r="F831" i="3"/>
  <c r="L831" i="3" s="1"/>
  <c r="F832" i="3"/>
  <c r="L832" i="3" s="1"/>
  <c r="F833" i="3"/>
  <c r="L833" i="3" s="1"/>
  <c r="F834" i="3"/>
  <c r="L834" i="3" s="1"/>
  <c r="F835" i="3"/>
  <c r="J835" i="3" s="1"/>
  <c r="F836" i="3"/>
  <c r="L836" i="3" s="1"/>
  <c r="F837" i="3"/>
  <c r="L837" i="3" s="1"/>
  <c r="F838" i="3"/>
  <c r="L838" i="3" s="1"/>
  <c r="F839" i="3"/>
  <c r="L839" i="3" s="1"/>
  <c r="F840" i="3"/>
  <c r="L840" i="3" s="1"/>
  <c r="F841" i="3"/>
  <c r="L841" i="3" s="1"/>
  <c r="F842" i="3"/>
  <c r="L842" i="3" s="1"/>
  <c r="F843" i="3"/>
  <c r="L843" i="3" s="1"/>
  <c r="F844" i="3"/>
  <c r="L844" i="3" s="1"/>
  <c r="F845" i="3"/>
  <c r="L845" i="3" s="1"/>
  <c r="F846" i="3"/>
  <c r="L846" i="3" s="1"/>
  <c r="F847" i="3"/>
  <c r="L847" i="3" s="1"/>
  <c r="F848" i="3"/>
  <c r="L848" i="3" s="1"/>
  <c r="F849" i="3"/>
  <c r="L849" i="3" s="1"/>
  <c r="F850" i="3"/>
  <c r="L850" i="3" s="1"/>
  <c r="F851" i="3"/>
  <c r="L851" i="3" s="1"/>
  <c r="F852" i="3"/>
  <c r="L852" i="3" s="1"/>
  <c r="F853" i="3"/>
  <c r="L853" i="3" s="1"/>
  <c r="F854" i="3"/>
  <c r="L854" i="3" s="1"/>
  <c r="F855" i="3"/>
  <c r="L855" i="3" s="1"/>
  <c r="F856" i="3"/>
  <c r="L856" i="3" s="1"/>
  <c r="F857" i="3"/>
  <c r="L857" i="3" s="1"/>
  <c r="F858" i="3"/>
  <c r="L858" i="3" s="1"/>
  <c r="F859" i="3"/>
  <c r="L859" i="3" s="1"/>
  <c r="F860" i="3"/>
  <c r="L860" i="3" s="1"/>
  <c r="F861" i="3"/>
  <c r="L861" i="3" s="1"/>
  <c r="F862" i="3"/>
  <c r="L862" i="3" s="1"/>
  <c r="F863" i="3"/>
  <c r="L863" i="3" s="1"/>
  <c r="F864" i="3"/>
  <c r="L864" i="3" s="1"/>
  <c r="F865" i="3"/>
  <c r="L865" i="3" s="1"/>
  <c r="F866" i="3"/>
  <c r="L866" i="3" s="1"/>
  <c r="F867" i="3"/>
  <c r="L867" i="3" s="1"/>
  <c r="F868" i="3"/>
  <c r="L868" i="3" s="1"/>
  <c r="F869" i="3"/>
  <c r="L869" i="3" s="1"/>
  <c r="F870" i="3"/>
  <c r="L870" i="3" s="1"/>
  <c r="F871" i="3"/>
  <c r="L871" i="3" s="1"/>
  <c r="F872" i="3"/>
  <c r="L872" i="3" s="1"/>
  <c r="F873" i="3"/>
  <c r="L873" i="3" s="1"/>
  <c r="F874" i="3"/>
  <c r="L874" i="3" s="1"/>
  <c r="F875" i="3"/>
  <c r="L875" i="3" s="1"/>
  <c r="F876" i="3"/>
  <c r="L876" i="3" s="1"/>
  <c r="F877" i="3"/>
  <c r="L877" i="3" s="1"/>
  <c r="F878" i="3"/>
  <c r="L878" i="3" s="1"/>
  <c r="F879" i="3"/>
  <c r="L879" i="3" s="1"/>
  <c r="F880" i="3"/>
  <c r="L880" i="3" s="1"/>
  <c r="F881" i="3"/>
  <c r="L881" i="3" s="1"/>
  <c r="F882" i="3"/>
  <c r="L882" i="3" s="1"/>
  <c r="F883" i="3"/>
  <c r="J883" i="3" s="1"/>
  <c r="F884" i="3"/>
  <c r="L884" i="3" s="1"/>
  <c r="F885" i="3"/>
  <c r="L885" i="3" s="1"/>
  <c r="F886" i="3"/>
  <c r="L886" i="3" s="1"/>
  <c r="F887" i="3"/>
  <c r="L887" i="3" s="1"/>
  <c r="F888" i="3"/>
  <c r="L888" i="3" s="1"/>
  <c r="F889" i="3"/>
  <c r="L889" i="3" s="1"/>
  <c r="F890" i="3"/>
  <c r="L890" i="3" s="1"/>
  <c r="F891" i="3"/>
  <c r="L891" i="3" s="1"/>
  <c r="F892" i="3"/>
  <c r="L892" i="3" s="1"/>
  <c r="F893" i="3"/>
  <c r="L893" i="3" s="1"/>
  <c r="F894" i="3"/>
  <c r="L894" i="3" s="1"/>
  <c r="F895" i="3"/>
  <c r="L895" i="3" s="1"/>
  <c r="F896" i="3"/>
  <c r="L896" i="3" s="1"/>
  <c r="F897" i="3"/>
  <c r="L897" i="3" s="1"/>
  <c r="F898" i="3"/>
  <c r="L898" i="3" s="1"/>
  <c r="F899" i="3"/>
  <c r="J899" i="3" s="1"/>
  <c r="F900" i="3"/>
  <c r="L900" i="3" s="1"/>
  <c r="F901" i="3"/>
  <c r="L901" i="3" s="1"/>
  <c r="F902" i="3"/>
  <c r="L902" i="3" s="1"/>
  <c r="F903" i="3"/>
  <c r="L903" i="3" s="1"/>
  <c r="F904" i="3"/>
  <c r="L904" i="3" s="1"/>
  <c r="F905" i="3"/>
  <c r="L905" i="3" s="1"/>
  <c r="F906" i="3"/>
  <c r="L906" i="3" s="1"/>
  <c r="F907" i="3"/>
  <c r="L907" i="3" s="1"/>
  <c r="F908" i="3"/>
  <c r="L908" i="3" s="1"/>
  <c r="F909" i="3"/>
  <c r="L909" i="3" s="1"/>
  <c r="F910" i="3"/>
  <c r="L910" i="3" s="1"/>
  <c r="F911" i="3"/>
  <c r="L911" i="3" s="1"/>
  <c r="F912" i="3"/>
  <c r="L912" i="3" s="1"/>
  <c r="F913" i="3"/>
  <c r="L913" i="3" s="1"/>
  <c r="F914" i="3"/>
  <c r="L914" i="3" s="1"/>
  <c r="F915" i="3"/>
  <c r="L915" i="3" s="1"/>
  <c r="F916" i="3"/>
  <c r="L916" i="3" s="1"/>
  <c r="F917" i="3"/>
  <c r="L917" i="3" s="1"/>
  <c r="F918" i="3"/>
  <c r="L918" i="3" s="1"/>
  <c r="F919" i="3"/>
  <c r="L919" i="3" s="1"/>
  <c r="F920" i="3"/>
  <c r="L920" i="3" s="1"/>
  <c r="F921" i="3"/>
  <c r="L921" i="3" s="1"/>
  <c r="F922" i="3"/>
  <c r="L922" i="3" s="1"/>
  <c r="F923" i="3"/>
  <c r="L923" i="3" s="1"/>
  <c r="F924" i="3"/>
  <c r="L924" i="3" s="1"/>
  <c r="F925" i="3"/>
  <c r="L925" i="3" s="1"/>
  <c r="F926" i="3"/>
  <c r="L926" i="3" s="1"/>
  <c r="F927" i="3"/>
  <c r="L927" i="3" s="1"/>
  <c r="F928" i="3"/>
  <c r="L928" i="3" s="1"/>
  <c r="F929" i="3"/>
  <c r="L929" i="3" s="1"/>
  <c r="F930" i="3"/>
  <c r="L930" i="3" s="1"/>
  <c r="F931" i="3"/>
  <c r="L931" i="3" s="1"/>
  <c r="F932" i="3"/>
  <c r="L932" i="3" s="1"/>
  <c r="F933" i="3"/>
  <c r="L933" i="3" s="1"/>
  <c r="F934" i="3"/>
  <c r="L934" i="3" s="1"/>
  <c r="F935" i="3"/>
  <c r="L935" i="3" s="1"/>
  <c r="F936" i="3"/>
  <c r="L936" i="3" s="1"/>
  <c r="F937" i="3"/>
  <c r="L937" i="3" s="1"/>
  <c r="F938" i="3"/>
  <c r="L938" i="3" s="1"/>
  <c r="F939" i="3"/>
  <c r="L939" i="3" s="1"/>
  <c r="F940" i="3"/>
  <c r="L940" i="3" s="1"/>
  <c r="F941" i="3"/>
  <c r="L941" i="3" s="1"/>
  <c r="F942" i="3"/>
  <c r="L942" i="3" s="1"/>
  <c r="F943" i="3"/>
  <c r="L943" i="3" s="1"/>
  <c r="F944" i="3"/>
  <c r="L944" i="3" s="1"/>
  <c r="F945" i="3"/>
  <c r="L945" i="3" s="1"/>
  <c r="F946" i="3"/>
  <c r="L946" i="3" s="1"/>
  <c r="F947" i="3"/>
  <c r="J947" i="3" s="1"/>
  <c r="F948" i="3"/>
  <c r="L948" i="3" s="1"/>
  <c r="F949" i="3"/>
  <c r="L949" i="3" s="1"/>
  <c r="F950" i="3"/>
  <c r="L950" i="3" s="1"/>
  <c r="F951" i="3"/>
  <c r="L951" i="3" s="1"/>
  <c r="F952" i="3"/>
  <c r="L952" i="3" s="1"/>
  <c r="F953" i="3"/>
  <c r="L953" i="3" s="1"/>
  <c r="F954" i="3"/>
  <c r="L954" i="3" s="1"/>
  <c r="F955" i="3"/>
  <c r="L955" i="3" s="1"/>
  <c r="F956" i="3"/>
  <c r="L956" i="3" s="1"/>
  <c r="F957" i="3"/>
  <c r="L957" i="3" s="1"/>
  <c r="F958" i="3"/>
  <c r="L958" i="3" s="1"/>
  <c r="F959" i="3"/>
  <c r="L959" i="3" s="1"/>
  <c r="F960" i="3"/>
  <c r="L960" i="3" s="1"/>
  <c r="F961" i="3"/>
  <c r="L961" i="3" s="1"/>
  <c r="F962" i="3"/>
  <c r="L962" i="3" s="1"/>
  <c r="F963" i="3"/>
  <c r="J963" i="3" s="1"/>
  <c r="F964" i="3"/>
  <c r="L964" i="3" s="1"/>
  <c r="F965" i="3"/>
  <c r="L965" i="3" s="1"/>
  <c r="F966" i="3"/>
  <c r="L966" i="3" s="1"/>
  <c r="F967" i="3"/>
  <c r="L967" i="3" s="1"/>
  <c r="F968" i="3"/>
  <c r="L968" i="3" s="1"/>
  <c r="F969" i="3"/>
  <c r="L969" i="3" s="1"/>
  <c r="F970" i="3"/>
  <c r="L970" i="3" s="1"/>
  <c r="F971" i="3"/>
  <c r="L971" i="3" s="1"/>
  <c r="F972" i="3"/>
  <c r="L972" i="3" s="1"/>
  <c r="F973" i="3"/>
  <c r="L973" i="3" s="1"/>
  <c r="F974" i="3"/>
  <c r="L974" i="3" s="1"/>
  <c r="F975" i="3"/>
  <c r="L975" i="3" s="1"/>
  <c r="F976" i="3"/>
  <c r="L976" i="3" s="1"/>
  <c r="F977" i="3"/>
  <c r="L977" i="3" s="1"/>
  <c r="F978" i="3"/>
  <c r="L978" i="3" s="1"/>
  <c r="F979" i="3"/>
  <c r="L979" i="3" s="1"/>
  <c r="F980" i="3"/>
  <c r="L980" i="3" s="1"/>
  <c r="F981" i="3"/>
  <c r="L981" i="3" s="1"/>
  <c r="F982" i="3"/>
  <c r="L982" i="3" s="1"/>
  <c r="F983" i="3"/>
  <c r="L983" i="3" s="1"/>
  <c r="F984" i="3"/>
  <c r="L984" i="3" s="1"/>
  <c r="F985" i="3"/>
  <c r="L985" i="3" s="1"/>
  <c r="F986" i="3"/>
  <c r="L986" i="3" s="1"/>
  <c r="F987" i="3"/>
  <c r="L987" i="3" s="1"/>
  <c r="F988" i="3"/>
  <c r="L988" i="3" s="1"/>
  <c r="F989" i="3"/>
  <c r="L989" i="3" s="1"/>
  <c r="F990" i="3"/>
  <c r="L990" i="3" s="1"/>
  <c r="F991" i="3"/>
  <c r="L991" i="3" s="1"/>
  <c r="F992" i="3"/>
  <c r="L992" i="3" s="1"/>
  <c r="F993" i="3"/>
  <c r="L993" i="3" s="1"/>
  <c r="F994" i="3"/>
  <c r="L994" i="3" s="1"/>
  <c r="F995" i="3"/>
  <c r="L995" i="3" s="1"/>
  <c r="F996" i="3"/>
  <c r="L996" i="3" s="1"/>
  <c r="F997" i="3"/>
  <c r="L997" i="3" s="1"/>
  <c r="F998" i="3"/>
  <c r="L998" i="3" s="1"/>
  <c r="F999" i="3"/>
  <c r="L999" i="3" s="1"/>
  <c r="F1000" i="3"/>
  <c r="L1000" i="3" s="1"/>
  <c r="F1001" i="3"/>
  <c r="L1001" i="3" s="1"/>
  <c r="J27" i="3" l="1"/>
  <c r="L963" i="3"/>
  <c r="L771" i="3"/>
  <c r="J700" i="3"/>
  <c r="L707" i="3"/>
  <c r="J692" i="3"/>
  <c r="J155" i="3"/>
  <c r="L899" i="3"/>
  <c r="L643" i="3"/>
  <c r="J91" i="3"/>
  <c r="L835" i="3"/>
  <c r="L512" i="3"/>
  <c r="J193" i="3"/>
  <c r="L193" i="3"/>
  <c r="L185" i="3"/>
  <c r="J185" i="3"/>
  <c r="J177" i="3"/>
  <c r="L177" i="3"/>
  <c r="L165" i="3"/>
  <c r="J165" i="3"/>
  <c r="L153" i="3"/>
  <c r="J153" i="3"/>
  <c r="L145" i="3"/>
  <c r="J145" i="3"/>
  <c r="L137" i="3"/>
  <c r="J137" i="3"/>
  <c r="L125" i="3"/>
  <c r="J125" i="3"/>
  <c r="L109" i="3"/>
  <c r="J109" i="3"/>
  <c r="L97" i="3"/>
  <c r="J97" i="3"/>
  <c r="L89" i="3"/>
  <c r="J89" i="3"/>
  <c r="L77" i="3"/>
  <c r="J77" i="3"/>
  <c r="J65" i="3"/>
  <c r="L65" i="3"/>
  <c r="L53" i="3"/>
  <c r="J53" i="3"/>
  <c r="L41" i="3"/>
  <c r="J41" i="3"/>
  <c r="L29" i="3"/>
  <c r="J29" i="3"/>
  <c r="L21" i="3"/>
  <c r="J21" i="3"/>
  <c r="L13" i="3"/>
  <c r="J13" i="3"/>
  <c r="J1001" i="3"/>
  <c r="J997" i="3"/>
  <c r="J989" i="3"/>
  <c r="J981" i="3"/>
  <c r="J973" i="3"/>
  <c r="J965" i="3"/>
  <c r="J957" i="3"/>
  <c r="J949" i="3"/>
  <c r="J941" i="3"/>
  <c r="J933" i="3"/>
  <c r="J929" i="3"/>
  <c r="J921" i="3"/>
  <c r="J913" i="3"/>
  <c r="J905" i="3"/>
  <c r="J897" i="3"/>
  <c r="J889" i="3"/>
  <c r="J877" i="3"/>
  <c r="J873" i="3"/>
  <c r="J865" i="3"/>
  <c r="J857" i="3"/>
  <c r="J849" i="3"/>
  <c r="J845" i="3"/>
  <c r="J837" i="3"/>
  <c r="J829" i="3"/>
  <c r="J821" i="3"/>
  <c r="J813" i="3"/>
  <c r="J805" i="3"/>
  <c r="J797" i="3"/>
  <c r="J789" i="3"/>
  <c r="J781" i="3"/>
  <c r="J773" i="3"/>
  <c r="J765" i="3"/>
  <c r="J757" i="3"/>
  <c r="J749" i="3"/>
  <c r="J737" i="3"/>
  <c r="J729" i="3"/>
  <c r="J725" i="3"/>
  <c r="J717" i="3"/>
  <c r="J705" i="3"/>
  <c r="J677" i="3"/>
  <c r="J645" i="3"/>
  <c r="J613" i="3"/>
  <c r="J581" i="3"/>
  <c r="J549" i="3"/>
  <c r="J517" i="3"/>
  <c r="J485" i="3"/>
  <c r="J453" i="3"/>
  <c r="J421" i="3"/>
  <c r="J389" i="3"/>
  <c r="J357" i="3"/>
  <c r="J325" i="3"/>
  <c r="J293" i="3"/>
  <c r="J261" i="3"/>
  <c r="J213" i="3"/>
  <c r="L688" i="3"/>
  <c r="J688" i="3"/>
  <c r="L684" i="3"/>
  <c r="J684" i="3"/>
  <c r="L680" i="3"/>
  <c r="J680" i="3"/>
  <c r="L676" i="3"/>
  <c r="J676" i="3"/>
  <c r="L672" i="3"/>
  <c r="J672" i="3"/>
  <c r="L668" i="3"/>
  <c r="J668" i="3"/>
  <c r="L664" i="3"/>
  <c r="J664" i="3"/>
  <c r="L660" i="3"/>
  <c r="J660" i="3"/>
  <c r="L656" i="3"/>
  <c r="J656" i="3"/>
  <c r="L652" i="3"/>
  <c r="J652" i="3"/>
  <c r="L648" i="3"/>
  <c r="J648" i="3"/>
  <c r="L644" i="3"/>
  <c r="J644" i="3"/>
  <c r="L640" i="3"/>
  <c r="J640" i="3"/>
  <c r="L636" i="3"/>
  <c r="J636" i="3"/>
  <c r="L632" i="3"/>
  <c r="J632" i="3"/>
  <c r="L628" i="3"/>
  <c r="J628" i="3"/>
  <c r="L624" i="3"/>
  <c r="J624" i="3"/>
  <c r="L620" i="3"/>
  <c r="J620" i="3"/>
  <c r="L616" i="3"/>
  <c r="J616" i="3"/>
  <c r="L612" i="3"/>
  <c r="J612" i="3"/>
  <c r="L608" i="3"/>
  <c r="J608" i="3"/>
  <c r="L604" i="3"/>
  <c r="J604" i="3"/>
  <c r="L600" i="3"/>
  <c r="J600" i="3"/>
  <c r="L596" i="3"/>
  <c r="J596" i="3"/>
  <c r="L592" i="3"/>
  <c r="J592" i="3"/>
  <c r="L588" i="3"/>
  <c r="J588" i="3"/>
  <c r="L584" i="3"/>
  <c r="J584" i="3"/>
  <c r="L580" i="3"/>
  <c r="J580" i="3"/>
  <c r="L572" i="3"/>
  <c r="J572" i="3"/>
  <c r="L568" i="3"/>
  <c r="J568" i="3"/>
  <c r="L564" i="3"/>
  <c r="J564" i="3"/>
  <c r="L560" i="3"/>
  <c r="J560" i="3"/>
  <c r="L556" i="3"/>
  <c r="J556" i="3"/>
  <c r="L552" i="3"/>
  <c r="J552" i="3"/>
  <c r="L548" i="3"/>
  <c r="J548" i="3"/>
  <c r="L544" i="3"/>
  <c r="J544" i="3"/>
  <c r="L540" i="3"/>
  <c r="J540" i="3"/>
  <c r="L536" i="3"/>
  <c r="J536" i="3"/>
  <c r="L532" i="3"/>
  <c r="J532" i="3"/>
  <c r="L528" i="3"/>
  <c r="J528" i="3"/>
  <c r="L524" i="3"/>
  <c r="J524" i="3"/>
  <c r="L520" i="3"/>
  <c r="J520" i="3"/>
  <c r="L516" i="3"/>
  <c r="J516" i="3"/>
  <c r="L508" i="3"/>
  <c r="J508" i="3"/>
  <c r="L504" i="3"/>
  <c r="J504" i="3"/>
  <c r="L500" i="3"/>
  <c r="J500" i="3"/>
  <c r="L496" i="3"/>
  <c r="J496" i="3"/>
  <c r="L492" i="3"/>
  <c r="J492" i="3"/>
  <c r="L488" i="3"/>
  <c r="J488" i="3"/>
  <c r="L484" i="3"/>
  <c r="J484" i="3"/>
  <c r="L480" i="3"/>
  <c r="J480" i="3"/>
  <c r="L476" i="3"/>
  <c r="J476" i="3"/>
  <c r="L472" i="3"/>
  <c r="J472" i="3"/>
  <c r="L468" i="3"/>
  <c r="J468" i="3"/>
  <c r="L464" i="3"/>
  <c r="J464" i="3"/>
  <c r="L460" i="3"/>
  <c r="J460" i="3"/>
  <c r="L456" i="3"/>
  <c r="J456" i="3"/>
  <c r="L452" i="3"/>
  <c r="J452" i="3"/>
  <c r="L444" i="3"/>
  <c r="J444" i="3"/>
  <c r="L440" i="3"/>
  <c r="J440" i="3"/>
  <c r="L436" i="3"/>
  <c r="J436" i="3"/>
  <c r="L432" i="3"/>
  <c r="J432" i="3"/>
  <c r="L428" i="3"/>
  <c r="J428" i="3"/>
  <c r="L424" i="3"/>
  <c r="J424" i="3"/>
  <c r="L420" i="3"/>
  <c r="J420" i="3"/>
  <c r="L416" i="3"/>
  <c r="J416" i="3"/>
  <c r="L412" i="3"/>
  <c r="J412" i="3"/>
  <c r="L408" i="3"/>
  <c r="J408" i="3"/>
  <c r="L404" i="3"/>
  <c r="J404" i="3"/>
  <c r="L400" i="3"/>
  <c r="J400" i="3"/>
  <c r="L396" i="3"/>
  <c r="J396" i="3"/>
  <c r="L392" i="3"/>
  <c r="J392" i="3"/>
  <c r="L388" i="3"/>
  <c r="J388" i="3"/>
  <c r="L380" i="3"/>
  <c r="J380" i="3"/>
  <c r="L376" i="3"/>
  <c r="J376" i="3"/>
  <c r="L372" i="3"/>
  <c r="J372" i="3"/>
  <c r="L368" i="3"/>
  <c r="J368" i="3"/>
  <c r="L364" i="3"/>
  <c r="J364" i="3"/>
  <c r="L360" i="3"/>
  <c r="J360" i="3"/>
  <c r="L356" i="3"/>
  <c r="J356" i="3"/>
  <c r="L352" i="3"/>
  <c r="J352" i="3"/>
  <c r="L348" i="3"/>
  <c r="J348" i="3"/>
  <c r="L344" i="3"/>
  <c r="J344" i="3"/>
  <c r="L340" i="3"/>
  <c r="J340" i="3"/>
  <c r="L336" i="3"/>
  <c r="J336" i="3"/>
  <c r="L332" i="3"/>
  <c r="J332" i="3"/>
  <c r="L328" i="3"/>
  <c r="J328" i="3"/>
  <c r="L324" i="3"/>
  <c r="J324" i="3"/>
  <c r="L320" i="3"/>
  <c r="J320" i="3"/>
  <c r="L316" i="3"/>
  <c r="J316" i="3"/>
  <c r="L312" i="3"/>
  <c r="J312" i="3"/>
  <c r="L308" i="3"/>
  <c r="J308" i="3"/>
  <c r="L304" i="3"/>
  <c r="J304" i="3"/>
  <c r="L300" i="3"/>
  <c r="J300" i="3"/>
  <c r="L296" i="3"/>
  <c r="J296" i="3"/>
  <c r="L292" i="3"/>
  <c r="J292" i="3"/>
  <c r="L288" i="3"/>
  <c r="J288" i="3"/>
  <c r="L284" i="3"/>
  <c r="J284" i="3"/>
  <c r="L280" i="3"/>
  <c r="J280" i="3"/>
  <c r="L276" i="3"/>
  <c r="J276" i="3"/>
  <c r="L272" i="3"/>
  <c r="J272" i="3"/>
  <c r="L268" i="3"/>
  <c r="J268" i="3"/>
  <c r="L264" i="3"/>
  <c r="J264" i="3"/>
  <c r="L260" i="3"/>
  <c r="J260" i="3"/>
  <c r="L256" i="3"/>
  <c r="J256" i="3"/>
  <c r="L252" i="3"/>
  <c r="J252" i="3"/>
  <c r="L248" i="3"/>
  <c r="J248" i="3"/>
  <c r="L244" i="3"/>
  <c r="J244" i="3"/>
  <c r="L240" i="3"/>
  <c r="J240" i="3"/>
  <c r="L236" i="3"/>
  <c r="J236" i="3"/>
  <c r="L232" i="3"/>
  <c r="J232" i="3"/>
  <c r="L228" i="3"/>
  <c r="J228" i="3"/>
  <c r="L224" i="3"/>
  <c r="J224" i="3"/>
  <c r="L220" i="3"/>
  <c r="J220" i="3"/>
  <c r="L216" i="3"/>
  <c r="J216" i="3"/>
  <c r="L212" i="3"/>
  <c r="J212" i="3"/>
  <c r="L208" i="3"/>
  <c r="J208" i="3"/>
  <c r="L204" i="3"/>
  <c r="J204" i="3"/>
  <c r="L200" i="3"/>
  <c r="J200" i="3"/>
  <c r="L196" i="3"/>
  <c r="J196" i="3"/>
  <c r="L192" i="3"/>
  <c r="J192" i="3"/>
  <c r="L188" i="3"/>
  <c r="J188" i="3"/>
  <c r="L184" i="3"/>
  <c r="J184" i="3"/>
  <c r="L180" i="3"/>
  <c r="J180" i="3"/>
  <c r="L176" i="3"/>
  <c r="J176" i="3"/>
  <c r="L172" i="3"/>
  <c r="J172" i="3"/>
  <c r="L168" i="3"/>
  <c r="J168" i="3"/>
  <c r="L164" i="3"/>
  <c r="J164" i="3"/>
  <c r="L160" i="3"/>
  <c r="J160" i="3"/>
  <c r="L156" i="3"/>
  <c r="J156" i="3"/>
  <c r="L152" i="3"/>
  <c r="J152" i="3"/>
  <c r="L148" i="3"/>
  <c r="J148" i="3"/>
  <c r="L144" i="3"/>
  <c r="J144" i="3"/>
  <c r="L140" i="3"/>
  <c r="J140" i="3"/>
  <c r="L136" i="3"/>
  <c r="J136" i="3"/>
  <c r="L132" i="3"/>
  <c r="J132" i="3"/>
  <c r="L128" i="3"/>
  <c r="J128" i="3"/>
  <c r="L124" i="3"/>
  <c r="J124" i="3"/>
  <c r="L120" i="3"/>
  <c r="J120" i="3"/>
  <c r="L116" i="3"/>
  <c r="J116" i="3"/>
  <c r="L112" i="3"/>
  <c r="J112" i="3"/>
  <c r="L108" i="3"/>
  <c r="J108" i="3"/>
  <c r="L104" i="3"/>
  <c r="J104" i="3"/>
  <c r="L100" i="3"/>
  <c r="J100" i="3"/>
  <c r="L96" i="3"/>
  <c r="J96" i="3"/>
  <c r="L92" i="3"/>
  <c r="J92" i="3"/>
  <c r="L88" i="3"/>
  <c r="J88" i="3"/>
  <c r="L84" i="3"/>
  <c r="J84" i="3"/>
  <c r="L80" i="3"/>
  <c r="J80" i="3"/>
  <c r="L76" i="3"/>
  <c r="J76" i="3"/>
  <c r="L72" i="3"/>
  <c r="J72" i="3"/>
  <c r="L68" i="3"/>
  <c r="J68" i="3"/>
  <c r="L64" i="3"/>
  <c r="J64" i="3"/>
  <c r="L60" i="3"/>
  <c r="J60" i="3"/>
  <c r="L56" i="3"/>
  <c r="J56" i="3"/>
  <c r="L52" i="3"/>
  <c r="J52" i="3"/>
  <c r="L48" i="3"/>
  <c r="J48" i="3"/>
  <c r="L44" i="3"/>
  <c r="J44" i="3"/>
  <c r="L40" i="3"/>
  <c r="J40" i="3"/>
  <c r="L36" i="3"/>
  <c r="J36" i="3"/>
  <c r="L32" i="3"/>
  <c r="J32" i="3"/>
  <c r="L28" i="3"/>
  <c r="J28" i="3"/>
  <c r="L24" i="3"/>
  <c r="J24" i="3"/>
  <c r="L20" i="3"/>
  <c r="J20" i="3"/>
  <c r="L16" i="3"/>
  <c r="J16" i="3"/>
  <c r="L12" i="3"/>
  <c r="J12" i="3"/>
  <c r="L8" i="3"/>
  <c r="J8" i="3"/>
  <c r="L4" i="3"/>
  <c r="J4" i="3"/>
  <c r="J1000" i="3"/>
  <c r="J996" i="3"/>
  <c r="J992" i="3"/>
  <c r="J988" i="3"/>
  <c r="J984" i="3"/>
  <c r="J980" i="3"/>
  <c r="J976" i="3"/>
  <c r="J972" i="3"/>
  <c r="J968" i="3"/>
  <c r="J964" i="3"/>
  <c r="J960" i="3"/>
  <c r="J956" i="3"/>
  <c r="J952" i="3"/>
  <c r="J948" i="3"/>
  <c r="J944" i="3"/>
  <c r="J940" i="3"/>
  <c r="J936" i="3"/>
  <c r="J932" i="3"/>
  <c r="J928" i="3"/>
  <c r="J924" i="3"/>
  <c r="J920" i="3"/>
  <c r="J916" i="3"/>
  <c r="J912" i="3"/>
  <c r="J908" i="3"/>
  <c r="J904" i="3"/>
  <c r="J900" i="3"/>
  <c r="J896" i="3"/>
  <c r="J892" i="3"/>
  <c r="J888" i="3"/>
  <c r="J884" i="3"/>
  <c r="J880" i="3"/>
  <c r="J876" i="3"/>
  <c r="J872" i="3"/>
  <c r="J868" i="3"/>
  <c r="J864" i="3"/>
  <c r="J860" i="3"/>
  <c r="J856" i="3"/>
  <c r="J852" i="3"/>
  <c r="J848" i="3"/>
  <c r="J844" i="3"/>
  <c r="J840" i="3"/>
  <c r="J836" i="3"/>
  <c r="J832" i="3"/>
  <c r="J828" i="3"/>
  <c r="J824" i="3"/>
  <c r="J820" i="3"/>
  <c r="J816" i="3"/>
  <c r="J812" i="3"/>
  <c r="J808" i="3"/>
  <c r="J804" i="3"/>
  <c r="J800" i="3"/>
  <c r="J796" i="3"/>
  <c r="J792" i="3"/>
  <c r="J788" i="3"/>
  <c r="J784" i="3"/>
  <c r="J780" i="3"/>
  <c r="J776" i="3"/>
  <c r="J772" i="3"/>
  <c r="J768" i="3"/>
  <c r="J764" i="3"/>
  <c r="J760" i="3"/>
  <c r="J756" i="3"/>
  <c r="J752" i="3"/>
  <c r="J748" i="3"/>
  <c r="J744" i="3"/>
  <c r="J740" i="3"/>
  <c r="J736" i="3"/>
  <c r="J732" i="3"/>
  <c r="J728" i="3"/>
  <c r="J724" i="3"/>
  <c r="J720" i="3"/>
  <c r="J716" i="3"/>
  <c r="J712" i="3"/>
  <c r="J708" i="3"/>
  <c r="J704" i="3"/>
  <c r="J697" i="3"/>
  <c r="J689" i="3"/>
  <c r="J673" i="3"/>
  <c r="J657" i="3"/>
  <c r="J641" i="3"/>
  <c r="J625" i="3"/>
  <c r="J609" i="3"/>
  <c r="J593" i="3"/>
  <c r="J577" i="3"/>
  <c r="J561" i="3"/>
  <c r="J545" i="3"/>
  <c r="J529" i="3"/>
  <c r="J513" i="3"/>
  <c r="J497" i="3"/>
  <c r="J481" i="3"/>
  <c r="J465" i="3"/>
  <c r="J449" i="3"/>
  <c r="J433" i="3"/>
  <c r="J417" i="3"/>
  <c r="J401" i="3"/>
  <c r="J385" i="3"/>
  <c r="J369" i="3"/>
  <c r="J353" i="3"/>
  <c r="J337" i="3"/>
  <c r="J321" i="3"/>
  <c r="J305" i="3"/>
  <c r="J289" i="3"/>
  <c r="J273" i="3"/>
  <c r="J257" i="3"/>
  <c r="J241" i="3"/>
  <c r="J225" i="3"/>
  <c r="J209" i="3"/>
  <c r="J191" i="3"/>
  <c r="J139" i="3"/>
  <c r="J75" i="3"/>
  <c r="J11" i="3"/>
  <c r="L947" i="3"/>
  <c r="L883" i="3"/>
  <c r="L819" i="3"/>
  <c r="L755" i="3"/>
  <c r="L691" i="3"/>
  <c r="L627" i="3"/>
  <c r="L448" i="3"/>
  <c r="L181" i="3"/>
  <c r="J181" i="3"/>
  <c r="L169" i="3"/>
  <c r="J169" i="3"/>
  <c r="L161" i="3"/>
  <c r="J161" i="3"/>
  <c r="L149" i="3"/>
  <c r="J149" i="3"/>
  <c r="L141" i="3"/>
  <c r="J141" i="3"/>
  <c r="J129" i="3"/>
  <c r="L129" i="3"/>
  <c r="L117" i="3"/>
  <c r="J117" i="3"/>
  <c r="L101" i="3"/>
  <c r="J101" i="3"/>
  <c r="L85" i="3"/>
  <c r="J85" i="3"/>
  <c r="L69" i="3"/>
  <c r="J69" i="3"/>
  <c r="L57" i="3"/>
  <c r="J57" i="3"/>
  <c r="L45" i="3"/>
  <c r="J45" i="3"/>
  <c r="L33" i="3"/>
  <c r="J33" i="3"/>
  <c r="L17" i="3"/>
  <c r="J17" i="3"/>
  <c r="L9" i="3"/>
  <c r="J9" i="3"/>
  <c r="J993" i="3"/>
  <c r="J985" i="3"/>
  <c r="J977" i="3"/>
  <c r="J969" i="3"/>
  <c r="J961" i="3"/>
  <c r="J953" i="3"/>
  <c r="J945" i="3"/>
  <c r="J937" i="3"/>
  <c r="J925" i="3"/>
  <c r="J917" i="3"/>
  <c r="J909" i="3"/>
  <c r="J901" i="3"/>
  <c r="J893" i="3"/>
  <c r="J885" i="3"/>
  <c r="J881" i="3"/>
  <c r="J869" i="3"/>
  <c r="J861" i="3"/>
  <c r="J853" i="3"/>
  <c r="J841" i="3"/>
  <c r="J833" i="3"/>
  <c r="J825" i="3"/>
  <c r="J817" i="3"/>
  <c r="J809" i="3"/>
  <c r="J801" i="3"/>
  <c r="J793" i="3"/>
  <c r="J785" i="3"/>
  <c r="J777" i="3"/>
  <c r="J769" i="3"/>
  <c r="J761" i="3"/>
  <c r="J753" i="3"/>
  <c r="J745" i="3"/>
  <c r="J741" i="3"/>
  <c r="J733" i="3"/>
  <c r="J721" i="3"/>
  <c r="J713" i="3"/>
  <c r="J709" i="3"/>
  <c r="J661" i="3"/>
  <c r="J629" i="3"/>
  <c r="J597" i="3"/>
  <c r="J565" i="3"/>
  <c r="J533" i="3"/>
  <c r="J501" i="3"/>
  <c r="J469" i="3"/>
  <c r="J437" i="3"/>
  <c r="J405" i="3"/>
  <c r="J373" i="3"/>
  <c r="J341" i="3"/>
  <c r="J309" i="3"/>
  <c r="J277" i="3"/>
  <c r="J245" i="3"/>
  <c r="J197" i="3"/>
  <c r="J703" i="3"/>
  <c r="L703" i="3"/>
  <c r="L699" i="3"/>
  <c r="J699" i="3"/>
  <c r="L695" i="3"/>
  <c r="J695" i="3"/>
  <c r="J687" i="3"/>
  <c r="L687" i="3"/>
  <c r="L683" i="3"/>
  <c r="J683" i="3"/>
  <c r="L679" i="3"/>
  <c r="J679" i="3"/>
  <c r="J671" i="3"/>
  <c r="L671" i="3"/>
  <c r="L667" i="3"/>
  <c r="J667" i="3"/>
  <c r="L663" i="3"/>
  <c r="J663" i="3"/>
  <c r="J655" i="3"/>
  <c r="L655" i="3"/>
  <c r="L651" i="3"/>
  <c r="J651" i="3"/>
  <c r="L647" i="3"/>
  <c r="J647" i="3"/>
  <c r="J639" i="3"/>
  <c r="L639" i="3"/>
  <c r="L635" i="3"/>
  <c r="J635" i="3"/>
  <c r="L631" i="3"/>
  <c r="J631" i="3"/>
  <c r="J623" i="3"/>
  <c r="L623" i="3"/>
  <c r="L619" i="3"/>
  <c r="J619" i="3"/>
  <c r="L615" i="3"/>
  <c r="J615" i="3"/>
  <c r="J607" i="3"/>
  <c r="L607" i="3"/>
  <c r="L603" i="3"/>
  <c r="J603" i="3"/>
  <c r="L599" i="3"/>
  <c r="J599" i="3"/>
  <c r="L595" i="3"/>
  <c r="J595" i="3"/>
  <c r="L591" i="3"/>
  <c r="J591" i="3"/>
  <c r="L587" i="3"/>
  <c r="J587" i="3"/>
  <c r="L583" i="3"/>
  <c r="J583" i="3"/>
  <c r="L579" i="3"/>
  <c r="J579" i="3"/>
  <c r="L575" i="3"/>
  <c r="J575" i="3"/>
  <c r="L571" i="3"/>
  <c r="J571" i="3"/>
  <c r="L567" i="3"/>
  <c r="J567" i="3"/>
  <c r="L563" i="3"/>
  <c r="J563" i="3"/>
  <c r="L559" i="3"/>
  <c r="J559" i="3"/>
  <c r="L555" i="3"/>
  <c r="J555" i="3"/>
  <c r="L551" i="3"/>
  <c r="J551" i="3"/>
  <c r="L547" i="3"/>
  <c r="J547" i="3"/>
  <c r="L543" i="3"/>
  <c r="J543" i="3"/>
  <c r="L539" i="3"/>
  <c r="J539" i="3"/>
  <c r="L535" i="3"/>
  <c r="J535" i="3"/>
  <c r="L531" i="3"/>
  <c r="J531" i="3"/>
  <c r="L527" i="3"/>
  <c r="J527" i="3"/>
  <c r="L523" i="3"/>
  <c r="J523" i="3"/>
  <c r="L519" i="3"/>
  <c r="J519" i="3"/>
  <c r="L515" i="3"/>
  <c r="J515" i="3"/>
  <c r="L511" i="3"/>
  <c r="J511" i="3"/>
  <c r="L507" i="3"/>
  <c r="J507" i="3"/>
  <c r="L503" i="3"/>
  <c r="J503" i="3"/>
  <c r="L499" i="3"/>
  <c r="J499" i="3"/>
  <c r="L495" i="3"/>
  <c r="J495" i="3"/>
  <c r="L491" i="3"/>
  <c r="J491" i="3"/>
  <c r="L487" i="3"/>
  <c r="J487" i="3"/>
  <c r="L483" i="3"/>
  <c r="J483" i="3"/>
  <c r="L479" i="3"/>
  <c r="J479" i="3"/>
  <c r="L475" i="3"/>
  <c r="J475" i="3"/>
  <c r="L471" i="3"/>
  <c r="J471" i="3"/>
  <c r="L467" i="3"/>
  <c r="J467" i="3"/>
  <c r="L463" i="3"/>
  <c r="J463" i="3"/>
  <c r="L459" i="3"/>
  <c r="J459" i="3"/>
  <c r="L455" i="3"/>
  <c r="J455" i="3"/>
  <c r="L451" i="3"/>
  <c r="J451" i="3"/>
  <c r="L447" i="3"/>
  <c r="J447" i="3"/>
  <c r="L443" i="3"/>
  <c r="J443" i="3"/>
  <c r="L439" i="3"/>
  <c r="J439" i="3"/>
  <c r="L435" i="3"/>
  <c r="J435" i="3"/>
  <c r="L431" i="3"/>
  <c r="J431" i="3"/>
  <c r="L427" i="3"/>
  <c r="J427" i="3"/>
  <c r="L423" i="3"/>
  <c r="J423" i="3"/>
  <c r="L419" i="3"/>
  <c r="J419" i="3"/>
  <c r="L415" i="3"/>
  <c r="J415" i="3"/>
  <c r="L411" i="3"/>
  <c r="J411" i="3"/>
  <c r="L407" i="3"/>
  <c r="J407" i="3"/>
  <c r="L403" i="3"/>
  <c r="J403" i="3"/>
  <c r="L399" i="3"/>
  <c r="J399" i="3"/>
  <c r="L395" i="3"/>
  <c r="J395" i="3"/>
  <c r="L391" i="3"/>
  <c r="J391" i="3"/>
  <c r="L387" i="3"/>
  <c r="J387" i="3"/>
  <c r="L383" i="3"/>
  <c r="J383" i="3"/>
  <c r="L379" i="3"/>
  <c r="J379" i="3"/>
  <c r="L375" i="3"/>
  <c r="J375" i="3"/>
  <c r="L371" i="3"/>
  <c r="J371" i="3"/>
  <c r="L367" i="3"/>
  <c r="J367" i="3"/>
  <c r="L363" i="3"/>
  <c r="J363" i="3"/>
  <c r="L359" i="3"/>
  <c r="J359" i="3"/>
  <c r="L355" i="3"/>
  <c r="J355" i="3"/>
  <c r="L351" i="3"/>
  <c r="J351" i="3"/>
  <c r="L347" i="3"/>
  <c r="J347" i="3"/>
  <c r="L343" i="3"/>
  <c r="J343" i="3"/>
  <c r="L339" i="3"/>
  <c r="J339" i="3"/>
  <c r="L335" i="3"/>
  <c r="J335" i="3"/>
  <c r="L331" i="3"/>
  <c r="J331" i="3"/>
  <c r="L327" i="3"/>
  <c r="J327" i="3"/>
  <c r="L323" i="3"/>
  <c r="J323" i="3"/>
  <c r="L319" i="3"/>
  <c r="J319" i="3"/>
  <c r="L315" i="3"/>
  <c r="J315" i="3"/>
  <c r="L311" i="3"/>
  <c r="J311" i="3"/>
  <c r="L307" i="3"/>
  <c r="J307" i="3"/>
  <c r="L303" i="3"/>
  <c r="J303" i="3"/>
  <c r="L299" i="3"/>
  <c r="J299" i="3"/>
  <c r="L295" i="3"/>
  <c r="J295" i="3"/>
  <c r="L291" i="3"/>
  <c r="J291" i="3"/>
  <c r="L287" i="3"/>
  <c r="J287" i="3"/>
  <c r="L283" i="3"/>
  <c r="J283" i="3"/>
  <c r="L279" i="3"/>
  <c r="J279" i="3"/>
  <c r="L275" i="3"/>
  <c r="J275" i="3"/>
  <c r="L271" i="3"/>
  <c r="J271" i="3"/>
  <c r="L267" i="3"/>
  <c r="J267" i="3"/>
  <c r="L263" i="3"/>
  <c r="J263" i="3"/>
  <c r="L259" i="3"/>
  <c r="J259" i="3"/>
  <c r="L255" i="3"/>
  <c r="J255" i="3"/>
  <c r="L251" i="3"/>
  <c r="J251" i="3"/>
  <c r="L247" i="3"/>
  <c r="J247" i="3"/>
  <c r="L243" i="3"/>
  <c r="J243" i="3"/>
  <c r="L239" i="3"/>
  <c r="J239" i="3"/>
  <c r="L235" i="3"/>
  <c r="J235" i="3"/>
  <c r="L231" i="3"/>
  <c r="J231" i="3"/>
  <c r="L227" i="3"/>
  <c r="J227" i="3"/>
  <c r="L223" i="3"/>
  <c r="J223" i="3"/>
  <c r="L219" i="3"/>
  <c r="J219" i="3"/>
  <c r="L215" i="3"/>
  <c r="J215" i="3"/>
  <c r="L211" i="3"/>
  <c r="J211" i="3"/>
  <c r="L207" i="3"/>
  <c r="J207" i="3"/>
  <c r="L203" i="3"/>
  <c r="J203" i="3"/>
  <c r="L199" i="3"/>
  <c r="J199" i="3"/>
  <c r="L195" i="3"/>
  <c r="J195" i="3"/>
  <c r="L187" i="3"/>
  <c r="J187" i="3"/>
  <c r="L179" i="3"/>
  <c r="J179" i="3"/>
  <c r="L175" i="3"/>
  <c r="J175" i="3"/>
  <c r="L167" i="3"/>
  <c r="J167" i="3"/>
  <c r="L163" i="3"/>
  <c r="J163" i="3"/>
  <c r="L159" i="3"/>
  <c r="J159" i="3"/>
  <c r="L151" i="3"/>
  <c r="J151" i="3"/>
  <c r="L147" i="3"/>
  <c r="J147" i="3"/>
  <c r="L143" i="3"/>
  <c r="J143" i="3"/>
  <c r="L135" i="3"/>
  <c r="J135" i="3"/>
  <c r="L131" i="3"/>
  <c r="J131" i="3"/>
  <c r="L127" i="3"/>
  <c r="J127" i="3"/>
  <c r="L119" i="3"/>
  <c r="J119" i="3"/>
  <c r="L115" i="3"/>
  <c r="J115" i="3"/>
  <c r="L111" i="3"/>
  <c r="J111" i="3"/>
  <c r="L103" i="3"/>
  <c r="J103" i="3"/>
  <c r="L99" i="3"/>
  <c r="J99" i="3"/>
  <c r="L95" i="3"/>
  <c r="J95" i="3"/>
  <c r="L87" i="3"/>
  <c r="J87" i="3"/>
  <c r="L83" i="3"/>
  <c r="J83" i="3"/>
  <c r="L79" i="3"/>
  <c r="J79" i="3"/>
  <c r="L71" i="3"/>
  <c r="J71" i="3"/>
  <c r="L67" i="3"/>
  <c r="J67" i="3"/>
  <c r="L63" i="3"/>
  <c r="J63" i="3"/>
  <c r="L55" i="3"/>
  <c r="J55" i="3"/>
  <c r="L51" i="3"/>
  <c r="J51" i="3"/>
  <c r="L47" i="3"/>
  <c r="J47" i="3"/>
  <c r="L39" i="3"/>
  <c r="J39" i="3"/>
  <c r="L35" i="3"/>
  <c r="J35" i="3"/>
  <c r="L31" i="3"/>
  <c r="J31" i="3"/>
  <c r="L23" i="3"/>
  <c r="J23" i="3"/>
  <c r="L19" i="3"/>
  <c r="J19" i="3"/>
  <c r="L15" i="3"/>
  <c r="J15" i="3"/>
  <c r="L7" i="3"/>
  <c r="J7" i="3"/>
  <c r="L3" i="3"/>
  <c r="J3" i="3"/>
  <c r="J999" i="3"/>
  <c r="J995" i="3"/>
  <c r="J991" i="3"/>
  <c r="J987" i="3"/>
  <c r="J983" i="3"/>
  <c r="J979" i="3"/>
  <c r="J975" i="3"/>
  <c r="J971" i="3"/>
  <c r="J967" i="3"/>
  <c r="J959" i="3"/>
  <c r="J955" i="3"/>
  <c r="J951" i="3"/>
  <c r="J943" i="3"/>
  <c r="J939" i="3"/>
  <c r="J935" i="3"/>
  <c r="J931" i="3"/>
  <c r="J927" i="3"/>
  <c r="J923" i="3"/>
  <c r="J919" i="3"/>
  <c r="J915" i="3"/>
  <c r="J911" i="3"/>
  <c r="J907" i="3"/>
  <c r="J903" i="3"/>
  <c r="J895" i="3"/>
  <c r="J891" i="3"/>
  <c r="J887" i="3"/>
  <c r="J879" i="3"/>
  <c r="J875" i="3"/>
  <c r="J871" i="3"/>
  <c r="J867" i="3"/>
  <c r="J863" i="3"/>
  <c r="J859" i="3"/>
  <c r="J855" i="3"/>
  <c r="J851" i="3"/>
  <c r="J847" i="3"/>
  <c r="J843" i="3"/>
  <c r="J839" i="3"/>
  <c r="J831" i="3"/>
  <c r="J827" i="3"/>
  <c r="J823" i="3"/>
  <c r="J815" i="3"/>
  <c r="J811" i="3"/>
  <c r="J807" i="3"/>
  <c r="J803" i="3"/>
  <c r="J799" i="3"/>
  <c r="J795" i="3"/>
  <c r="J791" i="3"/>
  <c r="J787" i="3"/>
  <c r="J783" i="3"/>
  <c r="J779" i="3"/>
  <c r="J775" i="3"/>
  <c r="J767" i="3"/>
  <c r="J763" i="3"/>
  <c r="J759" i="3"/>
  <c r="J751" i="3"/>
  <c r="J747" i="3"/>
  <c r="J743" i="3"/>
  <c r="J739" i="3"/>
  <c r="J735" i="3"/>
  <c r="J731" i="3"/>
  <c r="J727" i="3"/>
  <c r="J723" i="3"/>
  <c r="J719" i="3"/>
  <c r="J715" i="3"/>
  <c r="J711" i="3"/>
  <c r="J702" i="3"/>
  <c r="J696" i="3"/>
  <c r="J685" i="3"/>
  <c r="J669" i="3"/>
  <c r="J653" i="3"/>
  <c r="J637" i="3"/>
  <c r="J621" i="3"/>
  <c r="J605" i="3"/>
  <c r="J589" i="3"/>
  <c r="J573" i="3"/>
  <c r="J557" i="3"/>
  <c r="J541" i="3"/>
  <c r="J525" i="3"/>
  <c r="J509" i="3"/>
  <c r="J493" i="3"/>
  <c r="J477" i="3"/>
  <c r="J461" i="3"/>
  <c r="J445" i="3"/>
  <c r="J429" i="3"/>
  <c r="J413" i="3"/>
  <c r="J397" i="3"/>
  <c r="J381" i="3"/>
  <c r="J365" i="3"/>
  <c r="J349" i="3"/>
  <c r="J333" i="3"/>
  <c r="J317" i="3"/>
  <c r="J301" i="3"/>
  <c r="J285" i="3"/>
  <c r="J269" i="3"/>
  <c r="J253" i="3"/>
  <c r="J237" i="3"/>
  <c r="J221" i="3"/>
  <c r="J205" i="3"/>
  <c r="J183" i="3"/>
  <c r="J123" i="3"/>
  <c r="J59" i="3"/>
  <c r="L675" i="3"/>
  <c r="L611" i="3"/>
  <c r="L384" i="3"/>
  <c r="L189" i="3"/>
  <c r="J189" i="3"/>
  <c r="L173" i="3"/>
  <c r="J173" i="3"/>
  <c r="L157" i="3"/>
  <c r="J157" i="3"/>
  <c r="L133" i="3"/>
  <c r="J133" i="3"/>
  <c r="L121" i="3"/>
  <c r="J121" i="3"/>
  <c r="J113" i="3"/>
  <c r="L113" i="3"/>
  <c r="L105" i="3"/>
  <c r="J105" i="3"/>
  <c r="L93" i="3"/>
  <c r="J93" i="3"/>
  <c r="L81" i="3"/>
  <c r="J81" i="3"/>
  <c r="L73" i="3"/>
  <c r="J73" i="3"/>
  <c r="L61" i="3"/>
  <c r="J61" i="3"/>
  <c r="J49" i="3"/>
  <c r="L49" i="3"/>
  <c r="L37" i="3"/>
  <c r="J37" i="3"/>
  <c r="L25" i="3"/>
  <c r="J25" i="3"/>
  <c r="L5" i="3"/>
  <c r="J5" i="3"/>
  <c r="J229" i="3"/>
  <c r="L698" i="3"/>
  <c r="J698" i="3"/>
  <c r="L694" i="3"/>
  <c r="J694" i="3"/>
  <c r="L690" i="3"/>
  <c r="J690" i="3"/>
  <c r="L686" i="3"/>
  <c r="J686" i="3"/>
  <c r="L682" i="3"/>
  <c r="J682" i="3"/>
  <c r="L678" i="3"/>
  <c r="J678" i="3"/>
  <c r="L674" i="3"/>
  <c r="J674" i="3"/>
  <c r="L670" i="3"/>
  <c r="J670" i="3"/>
  <c r="L666" i="3"/>
  <c r="J666" i="3"/>
  <c r="L662" i="3"/>
  <c r="J662" i="3"/>
  <c r="L658" i="3"/>
  <c r="J658" i="3"/>
  <c r="L654" i="3"/>
  <c r="J654" i="3"/>
  <c r="L650" i="3"/>
  <c r="J650" i="3"/>
  <c r="L646" i="3"/>
  <c r="J646" i="3"/>
  <c r="L642" i="3"/>
  <c r="J642" i="3"/>
  <c r="L638" i="3"/>
  <c r="J638" i="3"/>
  <c r="L634" i="3"/>
  <c r="J634" i="3"/>
  <c r="L630" i="3"/>
  <c r="J630" i="3"/>
  <c r="L626" i="3"/>
  <c r="J626" i="3"/>
  <c r="L622" i="3"/>
  <c r="J622" i="3"/>
  <c r="L618" i="3"/>
  <c r="J618" i="3"/>
  <c r="L614" i="3"/>
  <c r="J614" i="3"/>
  <c r="L610" i="3"/>
  <c r="J610" i="3"/>
  <c r="L606" i="3"/>
  <c r="J606" i="3"/>
  <c r="L602" i="3"/>
  <c r="J602" i="3"/>
  <c r="L598" i="3"/>
  <c r="J598" i="3"/>
  <c r="L594" i="3"/>
  <c r="J594" i="3"/>
  <c r="L590" i="3"/>
  <c r="J590" i="3"/>
  <c r="L586" i="3"/>
  <c r="J586" i="3"/>
  <c r="L582" i="3"/>
  <c r="J582" i="3"/>
  <c r="L578" i="3"/>
  <c r="J578" i="3"/>
  <c r="L574" i="3"/>
  <c r="J574" i="3"/>
  <c r="L570" i="3"/>
  <c r="J570" i="3"/>
  <c r="L566" i="3"/>
  <c r="J566" i="3"/>
  <c r="L562" i="3"/>
  <c r="J562" i="3"/>
  <c r="L558" i="3"/>
  <c r="J558" i="3"/>
  <c r="L554" i="3"/>
  <c r="J554" i="3"/>
  <c r="L550" i="3"/>
  <c r="J550" i="3"/>
  <c r="L546" i="3"/>
  <c r="J546" i="3"/>
  <c r="L542" i="3"/>
  <c r="J542" i="3"/>
  <c r="L538" i="3"/>
  <c r="J538" i="3"/>
  <c r="L534" i="3"/>
  <c r="J534" i="3"/>
  <c r="L530" i="3"/>
  <c r="J530" i="3"/>
  <c r="L526" i="3"/>
  <c r="J526" i="3"/>
  <c r="L522" i="3"/>
  <c r="J522" i="3"/>
  <c r="L518" i="3"/>
  <c r="J518" i="3"/>
  <c r="L514" i="3"/>
  <c r="J514" i="3"/>
  <c r="L510" i="3"/>
  <c r="J510" i="3"/>
  <c r="L506" i="3"/>
  <c r="J506" i="3"/>
  <c r="L502" i="3"/>
  <c r="J502" i="3"/>
  <c r="L498" i="3"/>
  <c r="J498" i="3"/>
  <c r="L494" i="3"/>
  <c r="J494" i="3"/>
  <c r="L490" i="3"/>
  <c r="J490" i="3"/>
  <c r="L486" i="3"/>
  <c r="J486" i="3"/>
  <c r="L482" i="3"/>
  <c r="J482" i="3"/>
  <c r="L478" i="3"/>
  <c r="J478" i="3"/>
  <c r="L474" i="3"/>
  <c r="J474" i="3"/>
  <c r="L470" i="3"/>
  <c r="J470" i="3"/>
  <c r="L466" i="3"/>
  <c r="J466" i="3"/>
  <c r="L462" i="3"/>
  <c r="J462" i="3"/>
  <c r="L458" i="3"/>
  <c r="J458" i="3"/>
  <c r="L454" i="3"/>
  <c r="J454" i="3"/>
  <c r="L450" i="3"/>
  <c r="J450" i="3"/>
  <c r="L446" i="3"/>
  <c r="J446" i="3"/>
  <c r="L442" i="3"/>
  <c r="J442" i="3"/>
  <c r="L438" i="3"/>
  <c r="J438" i="3"/>
  <c r="L434" i="3"/>
  <c r="J434" i="3"/>
  <c r="L430" i="3"/>
  <c r="J430" i="3"/>
  <c r="L426" i="3"/>
  <c r="J426" i="3"/>
  <c r="L422" i="3"/>
  <c r="J422" i="3"/>
  <c r="L418" i="3"/>
  <c r="J418" i="3"/>
  <c r="L414" i="3"/>
  <c r="J414" i="3"/>
  <c r="L410" i="3"/>
  <c r="J410" i="3"/>
  <c r="L406" i="3"/>
  <c r="J406" i="3"/>
  <c r="L402" i="3"/>
  <c r="J402" i="3"/>
  <c r="L398" i="3"/>
  <c r="J398" i="3"/>
  <c r="L394" i="3"/>
  <c r="J394" i="3"/>
  <c r="L390" i="3"/>
  <c r="J390" i="3"/>
  <c r="L386" i="3"/>
  <c r="J386" i="3"/>
  <c r="L382" i="3"/>
  <c r="J382" i="3"/>
  <c r="L378" i="3"/>
  <c r="J378" i="3"/>
  <c r="L374" i="3"/>
  <c r="J374" i="3"/>
  <c r="L370" i="3"/>
  <c r="J370" i="3"/>
  <c r="L366" i="3"/>
  <c r="J366" i="3"/>
  <c r="L362" i="3"/>
  <c r="J362" i="3"/>
  <c r="L358" i="3"/>
  <c r="J358" i="3"/>
  <c r="L354" i="3"/>
  <c r="J354" i="3"/>
  <c r="L350" i="3"/>
  <c r="J350" i="3"/>
  <c r="L346" i="3"/>
  <c r="J346" i="3"/>
  <c r="L342" i="3"/>
  <c r="J342" i="3"/>
  <c r="L338" i="3"/>
  <c r="J338" i="3"/>
  <c r="L334" i="3"/>
  <c r="J334" i="3"/>
  <c r="L330" i="3"/>
  <c r="J330" i="3"/>
  <c r="L326" i="3"/>
  <c r="J326" i="3"/>
  <c r="L322" i="3"/>
  <c r="J322" i="3"/>
  <c r="L318" i="3"/>
  <c r="J318" i="3"/>
  <c r="L314" i="3"/>
  <c r="J314" i="3"/>
  <c r="L310" i="3"/>
  <c r="J310" i="3"/>
  <c r="L306" i="3"/>
  <c r="J306" i="3"/>
  <c r="L302" i="3"/>
  <c r="J302" i="3"/>
  <c r="L298" i="3"/>
  <c r="J298" i="3"/>
  <c r="L294" i="3"/>
  <c r="J294" i="3"/>
  <c r="L290" i="3"/>
  <c r="J290" i="3"/>
  <c r="L286" i="3"/>
  <c r="J286" i="3"/>
  <c r="L282" i="3"/>
  <c r="J282" i="3"/>
  <c r="L278" i="3"/>
  <c r="J278" i="3"/>
  <c r="L274" i="3"/>
  <c r="J274" i="3"/>
  <c r="L270" i="3"/>
  <c r="J270" i="3"/>
  <c r="L266" i="3"/>
  <c r="J266" i="3"/>
  <c r="L262" i="3"/>
  <c r="J262" i="3"/>
  <c r="L258" i="3"/>
  <c r="J258" i="3"/>
  <c r="L254" i="3"/>
  <c r="J254" i="3"/>
  <c r="L250" i="3"/>
  <c r="J250" i="3"/>
  <c r="L246" i="3"/>
  <c r="J246" i="3"/>
  <c r="L242" i="3"/>
  <c r="J242" i="3"/>
  <c r="L238" i="3"/>
  <c r="J238" i="3"/>
  <c r="L234" i="3"/>
  <c r="J234" i="3"/>
  <c r="L230" i="3"/>
  <c r="J230" i="3"/>
  <c r="L226" i="3"/>
  <c r="J226" i="3"/>
  <c r="L222" i="3"/>
  <c r="J222" i="3"/>
  <c r="L218" i="3"/>
  <c r="J218" i="3"/>
  <c r="L214" i="3"/>
  <c r="J214" i="3"/>
  <c r="L210" i="3"/>
  <c r="J210" i="3"/>
  <c r="L206" i="3"/>
  <c r="J206" i="3"/>
  <c r="L202" i="3"/>
  <c r="J202" i="3"/>
  <c r="L198" i="3"/>
  <c r="J198" i="3"/>
  <c r="L194" i="3"/>
  <c r="J194" i="3"/>
  <c r="L190" i="3"/>
  <c r="J190" i="3"/>
  <c r="L186" i="3"/>
  <c r="J186" i="3"/>
  <c r="L182" i="3"/>
  <c r="J182" i="3"/>
  <c r="L178" i="3"/>
  <c r="J178" i="3"/>
  <c r="L174" i="3"/>
  <c r="J174" i="3"/>
  <c r="L170" i="3"/>
  <c r="J170" i="3"/>
  <c r="L166" i="3"/>
  <c r="J166" i="3"/>
  <c r="L162" i="3"/>
  <c r="J162" i="3"/>
  <c r="L158" i="3"/>
  <c r="J158" i="3"/>
  <c r="L154" i="3"/>
  <c r="J154" i="3"/>
  <c r="L150" i="3"/>
  <c r="J150" i="3"/>
  <c r="L146" i="3"/>
  <c r="J146" i="3"/>
  <c r="L142" i="3"/>
  <c r="J142" i="3"/>
  <c r="L138" i="3"/>
  <c r="J138" i="3"/>
  <c r="L134" i="3"/>
  <c r="J134" i="3"/>
  <c r="L130" i="3"/>
  <c r="J130" i="3"/>
  <c r="L126" i="3"/>
  <c r="J126" i="3"/>
  <c r="L122" i="3"/>
  <c r="J122" i="3"/>
  <c r="L118" i="3"/>
  <c r="J118" i="3"/>
  <c r="L114" i="3"/>
  <c r="J114" i="3"/>
  <c r="L110" i="3"/>
  <c r="J110" i="3"/>
  <c r="L106" i="3"/>
  <c r="J106" i="3"/>
  <c r="L102" i="3"/>
  <c r="J102" i="3"/>
  <c r="L98" i="3"/>
  <c r="J98" i="3"/>
  <c r="L94" i="3"/>
  <c r="J94" i="3"/>
  <c r="L90" i="3"/>
  <c r="J90" i="3"/>
  <c r="L86" i="3"/>
  <c r="J86" i="3"/>
  <c r="L82" i="3"/>
  <c r="J82" i="3"/>
  <c r="L78" i="3"/>
  <c r="J78" i="3"/>
  <c r="L74" i="3"/>
  <c r="J74" i="3"/>
  <c r="L70" i="3"/>
  <c r="J70" i="3"/>
  <c r="L66" i="3"/>
  <c r="J66" i="3"/>
  <c r="L62" i="3"/>
  <c r="J62" i="3"/>
  <c r="L58" i="3"/>
  <c r="J58" i="3"/>
  <c r="L54" i="3"/>
  <c r="J54" i="3"/>
  <c r="L50" i="3"/>
  <c r="J50" i="3"/>
  <c r="L46" i="3"/>
  <c r="J46" i="3"/>
  <c r="L42" i="3"/>
  <c r="J42" i="3"/>
  <c r="L38" i="3"/>
  <c r="J38" i="3"/>
  <c r="L34" i="3"/>
  <c r="J34" i="3"/>
  <c r="L30" i="3"/>
  <c r="J30" i="3"/>
  <c r="L26" i="3"/>
  <c r="J26" i="3"/>
  <c r="L22" i="3"/>
  <c r="J22" i="3"/>
  <c r="L18" i="3"/>
  <c r="J18" i="3"/>
  <c r="L14" i="3"/>
  <c r="J14" i="3"/>
  <c r="L10" i="3"/>
  <c r="J10" i="3"/>
  <c r="L6" i="3"/>
  <c r="J6" i="3"/>
  <c r="L2" i="3"/>
  <c r="J2" i="3"/>
  <c r="J998" i="3"/>
  <c r="J994" i="3"/>
  <c r="J990" i="3"/>
  <c r="J986" i="3"/>
  <c r="J982" i="3"/>
  <c r="J978" i="3"/>
  <c r="J974" i="3"/>
  <c r="J970" i="3"/>
  <c r="J966" i="3"/>
  <c r="J962" i="3"/>
  <c r="J958" i="3"/>
  <c r="J954" i="3"/>
  <c r="J950" i="3"/>
  <c r="J946" i="3"/>
  <c r="J942" i="3"/>
  <c r="J938" i="3"/>
  <c r="J934" i="3"/>
  <c r="J930" i="3"/>
  <c r="J926" i="3"/>
  <c r="J922" i="3"/>
  <c r="J918" i="3"/>
  <c r="J914" i="3"/>
  <c r="J910" i="3"/>
  <c r="J906" i="3"/>
  <c r="J902" i="3"/>
  <c r="J898" i="3"/>
  <c r="J894" i="3"/>
  <c r="J890" i="3"/>
  <c r="J886" i="3"/>
  <c r="J882" i="3"/>
  <c r="J878" i="3"/>
  <c r="J874" i="3"/>
  <c r="J870" i="3"/>
  <c r="J866" i="3"/>
  <c r="J862" i="3"/>
  <c r="J858" i="3"/>
  <c r="J854" i="3"/>
  <c r="J850" i="3"/>
  <c r="J846" i="3"/>
  <c r="J842" i="3"/>
  <c r="J838" i="3"/>
  <c r="J834" i="3"/>
  <c r="J830" i="3"/>
  <c r="J826" i="3"/>
  <c r="J822" i="3"/>
  <c r="J818" i="3"/>
  <c r="J814" i="3"/>
  <c r="J810" i="3"/>
  <c r="J806" i="3"/>
  <c r="J802" i="3"/>
  <c r="J798" i="3"/>
  <c r="J794" i="3"/>
  <c r="J790" i="3"/>
  <c r="J786" i="3"/>
  <c r="J782" i="3"/>
  <c r="J778" i="3"/>
  <c r="J774" i="3"/>
  <c r="J770" i="3"/>
  <c r="J766" i="3"/>
  <c r="J762" i="3"/>
  <c r="J758" i="3"/>
  <c r="J754" i="3"/>
  <c r="J750" i="3"/>
  <c r="J746" i="3"/>
  <c r="J742" i="3"/>
  <c r="J738" i="3"/>
  <c r="J734" i="3"/>
  <c r="J730" i="3"/>
  <c r="J726" i="3"/>
  <c r="J722" i="3"/>
  <c r="J718" i="3"/>
  <c r="J714" i="3"/>
  <c r="J710" i="3"/>
  <c r="J706" i="3"/>
  <c r="J701" i="3"/>
  <c r="J693" i="3"/>
  <c r="J681" i="3"/>
  <c r="J665" i="3"/>
  <c r="J649" i="3"/>
  <c r="J633" i="3"/>
  <c r="J617" i="3"/>
  <c r="J601" i="3"/>
  <c r="J585" i="3"/>
  <c r="J569" i="3"/>
  <c r="J553" i="3"/>
  <c r="J537" i="3"/>
  <c r="J521" i="3"/>
  <c r="J505" i="3"/>
  <c r="J489" i="3"/>
  <c r="J473" i="3"/>
  <c r="J457" i="3"/>
  <c r="J441" i="3"/>
  <c r="J425" i="3"/>
  <c r="J409" i="3"/>
  <c r="J393" i="3"/>
  <c r="J377" i="3"/>
  <c r="J361" i="3"/>
  <c r="J345" i="3"/>
  <c r="J329" i="3"/>
  <c r="J313" i="3"/>
  <c r="J297" i="3"/>
  <c r="J281" i="3"/>
  <c r="J265" i="3"/>
  <c r="J249" i="3"/>
  <c r="J233" i="3"/>
  <c r="J217" i="3"/>
  <c r="J201" i="3"/>
  <c r="J171" i="3"/>
  <c r="J107" i="3"/>
  <c r="J43" i="3"/>
  <c r="L659" i="3"/>
  <c r="L57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tc={742B0887-A3B3-41B7-A91E-F24430ED074E}</author>
    <author>tc={E763039E-B63B-41E6-AABF-07A40E3ED021}</author>
    <author>tc={C56B30D2-1256-4CC8-8E20-C790CB4556D9}</author>
    <author>tc={9A18EBBA-0FEC-403C-A938-CB677DB8BB6A}</author>
  </authors>
  <commentList>
    <comment ref="E1" authorId="0" shapeId="0" xr:uid="{742B0887-A3B3-41B7-A91E-F24430ED074E}">
      <text>
        <t>[Threaded comment]
Your version of Excel allows you to read this threaded comment; however, any edits to it will get removed if the file is opened in a newer version of Excel. Learn more: https://go.microsoft.com/fwlink/?linkid=870924
Comment:
    Replaced “-” with “/”</t>
      </text>
    </comment>
    <comment ref="G1" authorId="1" shapeId="0" xr:uid="{E763039E-B63B-41E6-AABF-07A40E3ED021}">
      <text>
        <t>[Threaded comment]
Your version of Excel allows you to read this threaded comment; however, any edits to it will get removed if the file is opened in a newer version of Excel. Learn more: https://go.microsoft.com/fwlink/?linkid=870924
Comment:
    Pasted Column F as values</t>
      </text>
    </comment>
    <comment ref="I1" authorId="2" shapeId="0" xr:uid="{C56B30D2-1256-4CC8-8E20-C790CB4556D9}">
      <text>
        <t>[Threaded comment]
Your version of Excel allows you to read this threaded comment; however, any edits to it will get removed if the file is opened in a newer version of Excel. Learn more: https://go.microsoft.com/fwlink/?linkid=870924
Comment:
    Pasted Column H as Values</t>
      </text>
    </comment>
    <comment ref="Q1" authorId="3" shapeId="0" xr:uid="{9A18EBBA-0FEC-403C-A938-CB677DB8BB6A}">
      <text>
        <t>[Threaded comment]
Your version of Excel allows you to read this threaded comment; however, any edits to it will get removed if the file is opened in a newer version of Excel. Learn more: https://go.microsoft.com/fwlink/?linkid=870924
Comment:
    Pasted Column P as Values, and replaced Month initials with month number</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E91BBA-B12E-4D50-90DA-0C51BFEA0E4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C6CAF36-6FEA-4E41-932B-86917D8D85FB}" name="WorksheetConnection_L2L UnitedHealthcare Data_Base.xlsx!Table1345" type="102" refreshedVersion="8" minRefreshableVersion="5">
    <extLst>
      <ext xmlns:x15="http://schemas.microsoft.com/office/spreadsheetml/2010/11/main" uri="{DE250136-89BD-433C-8126-D09CA5730AF9}">
        <x15:connection id="Table1345" autoDelete="1">
          <x15:rangePr sourceName="_xlcn.WorksheetConnection_L2LUnitedHealthcareData_Base.xlsxTable1345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<sst xmlns="http://schemas.openxmlformats.org/spreadsheetml/2006/main" count="34317" uniqueCount="1403">
  <si>
    <t>Claim_ID</t>
  </si>
  <si>
    <t>Patient_ID</t>
  </si>
  <si>
    <t>Provider_ID</t>
  </si>
  <si>
    <t>Claim_Date</t>
  </si>
  <si>
    <t>Department</t>
  </si>
  <si>
    <t>Diagnosis_Code</t>
  </si>
  <si>
    <t>Procedure_Code</t>
  </si>
  <si>
    <t>Claim_Amount</t>
  </si>
  <si>
    <t>Approved_Amount</t>
  </si>
  <si>
    <t>Claim_Status</t>
  </si>
  <si>
    <t>Submission_Channel</t>
  </si>
  <si>
    <t>Days_To_Submit</t>
  </si>
  <si>
    <t>Duplicate_Flag</t>
  </si>
  <si>
    <t>CLM-1040</t>
  </si>
  <si>
    <t>PAT-58</t>
  </si>
  <si>
    <t>Mar 13 2023</t>
  </si>
  <si>
    <t>Radiology</t>
  </si>
  <si>
    <t>Rejected</t>
  </si>
  <si>
    <t>Agent</t>
  </si>
  <si>
    <t>Yes</t>
  </si>
  <si>
    <t>CLM-1035</t>
  </si>
  <si>
    <t>2023-08-18</t>
  </si>
  <si>
    <t>PHARMACY</t>
  </si>
  <si>
    <t>D12</t>
  </si>
  <si>
    <t>P200</t>
  </si>
  <si>
    <t>Approved</t>
  </si>
  <si>
    <t>Online</t>
  </si>
  <si>
    <t>yes</t>
  </si>
  <si>
    <t>CLM-1022</t>
  </si>
  <si>
    <t>02/10/2023</t>
  </si>
  <si>
    <t>Outpatient</t>
  </si>
  <si>
    <t>C34</t>
  </si>
  <si>
    <t>Mobile</t>
  </si>
  <si>
    <t>CLM-1024</t>
  </si>
  <si>
    <t>25/03/2023</t>
  </si>
  <si>
    <t>radiology</t>
  </si>
  <si>
    <t>REJECT</t>
  </si>
  <si>
    <t>NO</t>
  </si>
  <si>
    <t>CLM-1017</t>
  </si>
  <si>
    <t>PRV-72</t>
  </si>
  <si>
    <t>17/12/2023</t>
  </si>
  <si>
    <t>P300</t>
  </si>
  <si>
    <t>Pending</t>
  </si>
  <si>
    <t>CLM-1041</t>
  </si>
  <si>
    <t>PAT-235</t>
  </si>
  <si>
    <t>PRV-34</t>
  </si>
  <si>
    <t>2023-10-15</t>
  </si>
  <si>
    <t>E11</t>
  </si>
  <si>
    <t>P400</t>
  </si>
  <si>
    <t>manual</t>
  </si>
  <si>
    <t>CLM-1009</t>
  </si>
  <si>
    <t>PAT-322</t>
  </si>
  <si>
    <t>2023-02-02</t>
  </si>
  <si>
    <t>B20</t>
  </si>
  <si>
    <t>P500</t>
  </si>
  <si>
    <t>CLM-1007</t>
  </si>
  <si>
    <t>02/01/2023</t>
  </si>
  <si>
    <t>API</t>
  </si>
  <si>
    <t>CLM-1020</t>
  </si>
  <si>
    <t>PAT-251</t>
  </si>
  <si>
    <t>07/06/2023</t>
  </si>
  <si>
    <t>P100</t>
  </si>
  <si>
    <t>CLM-1027</t>
  </si>
  <si>
    <t>PRV-97</t>
  </si>
  <si>
    <t>Jul 24 2023</t>
  </si>
  <si>
    <t>No</t>
  </si>
  <si>
    <t>CLM-1037</t>
  </si>
  <si>
    <t>PAT-113</t>
  </si>
  <si>
    <t>PRV-10</t>
  </si>
  <si>
    <t>2023-02-04</t>
  </si>
  <si>
    <t>CLM-1026</t>
  </si>
  <si>
    <t>PAT-98</t>
  </si>
  <si>
    <t>2023-08-05</t>
  </si>
  <si>
    <t>CLM-1034</t>
  </si>
  <si>
    <t>PAT-230</t>
  </si>
  <si>
    <t>PRV-55</t>
  </si>
  <si>
    <t>23/05/2023</t>
  </si>
  <si>
    <t>Laboratory</t>
  </si>
  <si>
    <t>CLM-1025</t>
  </si>
  <si>
    <t>PAT-31</t>
  </si>
  <si>
    <t>PRV-49</t>
  </si>
  <si>
    <t>2023-05-16</t>
  </si>
  <si>
    <t>CLM-1003</t>
  </si>
  <si>
    <t>PRV-8</t>
  </si>
  <si>
    <t>Sep 15 2023</t>
  </si>
  <si>
    <t>Pharmacy</t>
  </si>
  <si>
    <t>PAT-305</t>
  </si>
  <si>
    <t>PRV-80</t>
  </si>
  <si>
    <t>Oct 26 2023</t>
  </si>
  <si>
    <t>CLM-1000</t>
  </si>
  <si>
    <t>PRV-73</t>
  </si>
  <si>
    <t>Apr 20 2023</t>
  </si>
  <si>
    <t>Emergency</t>
  </si>
  <si>
    <t>A45</t>
  </si>
  <si>
    <t>PRV-39</t>
  </si>
  <si>
    <t>10/03/2023</t>
  </si>
  <si>
    <t>CLM-1005</t>
  </si>
  <si>
    <t>PRV-36</t>
  </si>
  <si>
    <t>Mar 08 2023</t>
  </si>
  <si>
    <t>PAT-283</t>
  </si>
  <si>
    <t>PRV-56</t>
  </si>
  <si>
    <t>22/01/2023</t>
  </si>
  <si>
    <t>CLM-1011</t>
  </si>
  <si>
    <t>PAT-212</t>
  </si>
  <si>
    <t>2023-12-09</t>
  </si>
  <si>
    <t>CLM-1001</t>
  </si>
  <si>
    <t>PAT-338</t>
  </si>
  <si>
    <t>2023-02-05</t>
  </si>
  <si>
    <t>CLM-1006</t>
  </si>
  <si>
    <t>12/08/2023</t>
  </si>
  <si>
    <t>CLM-1039</t>
  </si>
  <si>
    <t>2023-06-08</t>
  </si>
  <si>
    <t>PRV-37</t>
  </si>
  <si>
    <t>Nov 07 2023</t>
  </si>
  <si>
    <t>CLM-1021</t>
  </si>
  <si>
    <t>PAT-48</t>
  </si>
  <si>
    <t>26/04/2023</t>
  </si>
  <si>
    <t>CLM-1031</t>
  </si>
  <si>
    <t>PAT-205</t>
  </si>
  <si>
    <t>PRV-19</t>
  </si>
  <si>
    <t>24/02/2023</t>
  </si>
  <si>
    <t>approved</t>
  </si>
  <si>
    <t>Aug 07 2023</t>
  </si>
  <si>
    <t>PAT-226</t>
  </si>
  <si>
    <t>2023-05-20</t>
  </si>
  <si>
    <t>PAT-32</t>
  </si>
  <si>
    <t>Jan 11 2023</t>
  </si>
  <si>
    <t>Jun 22 2023</t>
  </si>
  <si>
    <t>2023-01-26</t>
  </si>
  <si>
    <t>PAT-180</t>
  </si>
  <si>
    <t>PRV-84</t>
  </si>
  <si>
    <t>30/11/2023</t>
  </si>
  <si>
    <t>CLM-1010</t>
  </si>
  <si>
    <t>PRV-96</t>
  </si>
  <si>
    <t>Feb 25 2023</t>
  </si>
  <si>
    <t>PRV-88</t>
  </si>
  <si>
    <t>Jun 27 2023</t>
  </si>
  <si>
    <t>CLM-1045</t>
  </si>
  <si>
    <t>2023-10-03</t>
  </si>
  <si>
    <t>PRV-42</t>
  </si>
  <si>
    <t>2023-04-19</t>
  </si>
  <si>
    <t>PAT-389</t>
  </si>
  <si>
    <t>2023-12-31</t>
  </si>
  <si>
    <t>2023-08-21</t>
  </si>
  <si>
    <t>21/02/2023</t>
  </si>
  <si>
    <t>03/09/2023</t>
  </si>
  <si>
    <t>PAT-128</t>
  </si>
  <si>
    <t>07/11/2023</t>
  </si>
  <si>
    <t>CLM-1047</t>
  </si>
  <si>
    <t>PAT-51</t>
  </si>
  <si>
    <t>PRV-81</t>
  </si>
  <si>
    <t>16/05/2023</t>
  </si>
  <si>
    <t>PRV-59</t>
  </si>
  <si>
    <t>May 16 2023</t>
  </si>
  <si>
    <t>CLM-1038</t>
  </si>
  <si>
    <t>2023-08-28</t>
  </si>
  <si>
    <t>PRV-74</t>
  </si>
  <si>
    <t>11/12/2023</t>
  </si>
  <si>
    <t>PRV-86</t>
  </si>
  <si>
    <t>Jul 30 2023</t>
  </si>
  <si>
    <t>2023-04-07</t>
  </si>
  <si>
    <t>PRV-78</t>
  </si>
  <si>
    <t>Jun 09 2023</t>
  </si>
  <si>
    <t>CLM-1032</t>
  </si>
  <si>
    <t>Aug 22 2023</t>
  </si>
  <si>
    <t>2023-08-17</t>
  </si>
  <si>
    <t>CLM-1002</t>
  </si>
  <si>
    <t>17/07/2023</t>
  </si>
  <si>
    <t>CLM-1046</t>
  </si>
  <si>
    <t>2023-08-29</t>
  </si>
  <si>
    <t>CLM-1015</t>
  </si>
  <si>
    <t>Feb 20 2023</t>
  </si>
  <si>
    <t>Feb 10 2023</t>
  </si>
  <si>
    <t>CLM-1029</t>
  </si>
  <si>
    <t>PRV-70</t>
  </si>
  <si>
    <t>Jun 26 2023</t>
  </si>
  <si>
    <t>2023-12-04</t>
  </si>
  <si>
    <t>PRV-33</t>
  </si>
  <si>
    <t>Nov 18 2023</t>
  </si>
  <si>
    <t>CLM-1050</t>
  </si>
  <si>
    <t>2023-05-12</t>
  </si>
  <si>
    <t>2023-12-11</t>
  </si>
  <si>
    <t>29/11/2023</t>
  </si>
  <si>
    <t>PRV-94</t>
  </si>
  <si>
    <t>2023-12-02</t>
  </si>
  <si>
    <t>PAT-184</t>
  </si>
  <si>
    <t>08/04/2023</t>
  </si>
  <si>
    <t>CLM-1013</t>
  </si>
  <si>
    <t>PAT-301</t>
  </si>
  <si>
    <t>2023-11-02</t>
  </si>
  <si>
    <t>PAT-9</t>
  </si>
  <si>
    <t>06/03/2023</t>
  </si>
  <si>
    <t>CLM-1019</t>
  </si>
  <si>
    <t>PRV-4</t>
  </si>
  <si>
    <t>2023-09-16</t>
  </si>
  <si>
    <t>PAT-374</t>
  </si>
  <si>
    <t>2023-12-07</t>
  </si>
  <si>
    <t>2023-07-01</t>
  </si>
  <si>
    <t>CLM-1014</t>
  </si>
  <si>
    <t>28/02/2023</t>
  </si>
  <si>
    <t>PRV-24</t>
  </si>
  <si>
    <t>17/10/2023</t>
  </si>
  <si>
    <t>CLM-1049</t>
  </si>
  <si>
    <t>PRV-11</t>
  </si>
  <si>
    <t>21/03/2023</t>
  </si>
  <si>
    <t>PAT-221</t>
  </si>
  <si>
    <t>27/09/2023</t>
  </si>
  <si>
    <t>PRV-23</t>
  </si>
  <si>
    <t>14/07/2023</t>
  </si>
  <si>
    <t>CLM-1036</t>
  </si>
  <si>
    <t>29/05/2023</t>
  </si>
  <si>
    <t>24/04/2023</t>
  </si>
  <si>
    <t>CLM-1012</t>
  </si>
  <si>
    <t>PRV-20</t>
  </si>
  <si>
    <t>2023-11-18</t>
  </si>
  <si>
    <t>CLM-1028</t>
  </si>
  <si>
    <t>2023-09-17</t>
  </si>
  <si>
    <t>2023-11-30</t>
  </si>
  <si>
    <t>PRV-57</t>
  </si>
  <si>
    <t>2023-07-10</t>
  </si>
  <si>
    <t>PAT-171</t>
  </si>
  <si>
    <t>PRV-75</t>
  </si>
  <si>
    <t>Dec 02 2023</t>
  </si>
  <si>
    <t>10/01/2023</t>
  </si>
  <si>
    <t>PRV-99</t>
  </si>
  <si>
    <t>02/11/2023</t>
  </si>
  <si>
    <t>PAT-274</t>
  </si>
  <si>
    <t>Dec 14 2023</t>
  </si>
  <si>
    <t>PRV-71</t>
  </si>
  <si>
    <t>2023-09-22</t>
  </si>
  <si>
    <t>2023-07-17</t>
  </si>
  <si>
    <t>CLM-1048</t>
  </si>
  <si>
    <t>PRV-58</t>
  </si>
  <si>
    <t>10/02/2023</t>
  </si>
  <si>
    <t>Nov 02 2023</t>
  </si>
  <si>
    <t>Oct 06 2023</t>
  </si>
  <si>
    <t>25/10/2023</t>
  </si>
  <si>
    <t>PAT-151</t>
  </si>
  <si>
    <t>PRV-6</t>
  </si>
  <si>
    <t>Jun 08 2023</t>
  </si>
  <si>
    <t>2023-09-12</t>
  </si>
  <si>
    <t>17/08/2023</t>
  </si>
  <si>
    <t>CLM-1023</t>
  </si>
  <si>
    <t>PRV-87</t>
  </si>
  <si>
    <t>Nov 08 2023</t>
  </si>
  <si>
    <t>PRV-98</t>
  </si>
  <si>
    <t>2023-03-12</t>
  </si>
  <si>
    <t>CLM-1016</t>
  </si>
  <si>
    <t>May 27 2023</t>
  </si>
  <si>
    <t>CLM-1042</t>
  </si>
  <si>
    <t>Dec 31 2023</t>
  </si>
  <si>
    <t>10/10/2023</t>
  </si>
  <si>
    <t>Nov 24 2023</t>
  </si>
  <si>
    <t>2023-11-22</t>
  </si>
  <si>
    <t>PAT-289</t>
  </si>
  <si>
    <t>2023-11-25</t>
  </si>
  <si>
    <t>07/02/2023</t>
  </si>
  <si>
    <t>PAT-288</t>
  </si>
  <si>
    <t>PRV-41</t>
  </si>
  <si>
    <t>2023-03-04</t>
  </si>
  <si>
    <t>13/09/2023</t>
  </si>
  <si>
    <t>CLM-1018</t>
  </si>
  <si>
    <t>PAT-275</t>
  </si>
  <si>
    <t>PRV-79</t>
  </si>
  <si>
    <t>2023-02-19</t>
  </si>
  <si>
    <t>18/03/2023</t>
  </si>
  <si>
    <t>PAT-244</t>
  </si>
  <si>
    <t>Aug 02 2023</t>
  </si>
  <si>
    <t>PAT-246</t>
  </si>
  <si>
    <t>17/03/2023</t>
  </si>
  <si>
    <t>PAT-373</t>
  </si>
  <si>
    <t>PRV-91</t>
  </si>
  <si>
    <t>2023-04-17</t>
  </si>
  <si>
    <t>PAT-248</t>
  </si>
  <si>
    <t>2023-06-02</t>
  </si>
  <si>
    <t>CLM-1043</t>
  </si>
  <si>
    <t>2023-05-29</t>
  </si>
  <si>
    <t>CLM-1008</t>
  </si>
  <si>
    <t>PRV-95</t>
  </si>
  <si>
    <t>Dec 09 2023</t>
  </si>
  <si>
    <t>PAT-254</t>
  </si>
  <si>
    <t>Jun 02 2023</t>
  </si>
  <si>
    <t>2023-01-08</t>
  </si>
  <si>
    <t>04/01/2023</t>
  </si>
  <si>
    <t>2023-03-02</t>
  </si>
  <si>
    <t>CLM-1030</t>
  </si>
  <si>
    <t>07/05/2023</t>
  </si>
  <si>
    <t>2023-04-16</t>
  </si>
  <si>
    <t>22/04/2023</t>
  </si>
  <si>
    <t>2023-07-15</t>
  </si>
  <si>
    <t>PRV-1</t>
  </si>
  <si>
    <t>Dec 11 2023</t>
  </si>
  <si>
    <t>04/05/2023</t>
  </si>
  <si>
    <t>PAT-398</t>
  </si>
  <si>
    <t>Jun 13 2023</t>
  </si>
  <si>
    <t>Nov 26 2023</t>
  </si>
  <si>
    <t>02/08/2023</t>
  </si>
  <si>
    <t>Oct 28 2023</t>
  </si>
  <si>
    <t>2023-05-03</t>
  </si>
  <si>
    <t>PAT-164</t>
  </si>
  <si>
    <t>31/07/2023</t>
  </si>
  <si>
    <t>Nov 25 2023</t>
  </si>
  <si>
    <t>CLM-1033</t>
  </si>
  <si>
    <t>PAT-18</t>
  </si>
  <si>
    <t>Mar 12 2023</t>
  </si>
  <si>
    <t>PRV-53</t>
  </si>
  <si>
    <t>May 21 2023</t>
  </si>
  <si>
    <t>2023-07-23</t>
  </si>
  <si>
    <t>PRV-82</t>
  </si>
  <si>
    <t>2023-03-29</t>
  </si>
  <si>
    <t>PAT-139</t>
  </si>
  <si>
    <t>06/10/2023</t>
  </si>
  <si>
    <t>Dec 19 2023</t>
  </si>
  <si>
    <t>2023-09-09</t>
  </si>
  <si>
    <t>PRV-92</t>
  </si>
  <si>
    <t>19/07/2023</t>
  </si>
  <si>
    <t>PAT-53</t>
  </si>
  <si>
    <t>PAT-195</t>
  </si>
  <si>
    <t>04/06/2023</t>
  </si>
  <si>
    <t>PAT-316</t>
  </si>
  <si>
    <t>2023-06-05</t>
  </si>
  <si>
    <t>CLM-1044</t>
  </si>
  <si>
    <t>May 30 2023</t>
  </si>
  <si>
    <t>PAT-280</t>
  </si>
  <si>
    <t>2023-12-29</t>
  </si>
  <si>
    <t>PAT-194</t>
  </si>
  <si>
    <t>Oct 01 2023</t>
  </si>
  <si>
    <t>19/06/2023</t>
  </si>
  <si>
    <t>Mar 01 2023</t>
  </si>
  <si>
    <t>PAT-364</t>
  </si>
  <si>
    <t>28/11/2023</t>
  </si>
  <si>
    <t>PRV-51</t>
  </si>
  <si>
    <t>Aug 19 2023</t>
  </si>
  <si>
    <t>PAT-167</t>
  </si>
  <si>
    <t>Sep 08 2023</t>
  </si>
  <si>
    <t>PAT-303</t>
  </si>
  <si>
    <t>PRV-83</t>
  </si>
  <si>
    <t>2023-03-27</t>
  </si>
  <si>
    <t>2023-12-30</t>
  </si>
  <si>
    <t>May 18 2023</t>
  </si>
  <si>
    <t>PAT-179</t>
  </si>
  <si>
    <t>Oct 29 2023</t>
  </si>
  <si>
    <t>PAT-276</t>
  </si>
  <si>
    <t>May 17 2023</t>
  </si>
  <si>
    <t>2023-10-23</t>
  </si>
  <si>
    <t>2023-02-20</t>
  </si>
  <si>
    <t>07/12/2023</t>
  </si>
  <si>
    <t>PAT-304</t>
  </si>
  <si>
    <t>2023-01-05</t>
  </si>
  <si>
    <t>PAT-196</t>
  </si>
  <si>
    <t>05/02/2023</t>
  </si>
  <si>
    <t>PAT-52</t>
  </si>
  <si>
    <t>2023-07-16</t>
  </si>
  <si>
    <t>PAT-155</t>
  </si>
  <si>
    <t>PRV-67</t>
  </si>
  <si>
    <t>20/07/2023</t>
  </si>
  <si>
    <t>PRV-47</t>
  </si>
  <si>
    <t>Jan 09 2023</t>
  </si>
  <si>
    <t>PRV-69</t>
  </si>
  <si>
    <t>Dec 03 2023</t>
  </si>
  <si>
    <t>PAT-191</t>
  </si>
  <si>
    <t>2023-01-16</t>
  </si>
  <si>
    <t>21/10/2023</t>
  </si>
  <si>
    <t>PRV-54</t>
  </si>
  <si>
    <t>2023-07-08</t>
  </si>
  <si>
    <t>PAT-210</t>
  </si>
  <si>
    <t>2023-12-22</t>
  </si>
  <si>
    <t>PAT-144</t>
  </si>
  <si>
    <t>2023-07-31</t>
  </si>
  <si>
    <t>PAT-67</t>
  </si>
  <si>
    <t>Dec 25 2023</t>
  </si>
  <si>
    <t>2023-08-20</t>
  </si>
  <si>
    <t>PAT-365</t>
  </si>
  <si>
    <t>PRV-48</t>
  </si>
  <si>
    <t>26/10/2023</t>
  </si>
  <si>
    <t>Jul 15 2023</t>
  </si>
  <si>
    <t>2023-02-14</t>
  </si>
  <si>
    <t>18/07/2023</t>
  </si>
  <si>
    <t>PRV-85</t>
  </si>
  <si>
    <t>17/05/2023</t>
  </si>
  <si>
    <t>10/09/2023</t>
  </si>
  <si>
    <t>Mar 17 2023</t>
  </si>
  <si>
    <t>PAT-70</t>
  </si>
  <si>
    <t>2023-09-07</t>
  </si>
  <si>
    <t>Apr 04 2023</t>
  </si>
  <si>
    <t>Nov 30 2023</t>
  </si>
  <si>
    <t>PAT-375</t>
  </si>
  <si>
    <t>2023-11-01</t>
  </si>
  <si>
    <t>02/06/2023</t>
  </si>
  <si>
    <t>PAT-103</t>
  </si>
  <si>
    <t>29/03/2023</t>
  </si>
  <si>
    <t>PAT-190</t>
  </si>
  <si>
    <t>2023-08-14</t>
  </si>
  <si>
    <t>Sep 01 2023</t>
  </si>
  <si>
    <t>PAT-86</t>
  </si>
  <si>
    <t>PRV-25</t>
  </si>
  <si>
    <t>Nov 16 2023</t>
  </si>
  <si>
    <t>20/10/2023</t>
  </si>
  <si>
    <t>Dec 23 2023</t>
  </si>
  <si>
    <t>PAT-227</t>
  </si>
  <si>
    <t>Jan 29 2023</t>
  </si>
  <si>
    <t>2023-12-27</t>
  </si>
  <si>
    <t>19/12/2023</t>
  </si>
  <si>
    <t>Mar 30 2023</t>
  </si>
  <si>
    <t>Jan 04 2023</t>
  </si>
  <si>
    <t>07/04/2023</t>
  </si>
  <si>
    <t>PAT-378</t>
  </si>
  <si>
    <t>Apr 24 2023</t>
  </si>
  <si>
    <t>PRV-93</t>
  </si>
  <si>
    <t>15/12/2023</t>
  </si>
  <si>
    <t>PAT-241</t>
  </si>
  <si>
    <t>30/08/2023</t>
  </si>
  <si>
    <t>Jun 20 2023</t>
  </si>
  <si>
    <t>08/08/2023</t>
  </si>
  <si>
    <t>PRV-40</t>
  </si>
  <si>
    <t>26/03/2023</t>
  </si>
  <si>
    <t>PRV-7</t>
  </si>
  <si>
    <t>05/12/2023</t>
  </si>
  <si>
    <t>15/11/2023</t>
  </si>
  <si>
    <t>Jan 21 2023</t>
  </si>
  <si>
    <t>2023-11-26</t>
  </si>
  <si>
    <t>PAT-24</t>
  </si>
  <si>
    <t>PRV-18</t>
  </si>
  <si>
    <t>Aug 13 2023</t>
  </si>
  <si>
    <t>PAT-333</t>
  </si>
  <si>
    <t>PRV-15</t>
  </si>
  <si>
    <t>23/12/2023</t>
  </si>
  <si>
    <t>PAT-250</t>
  </si>
  <si>
    <t>May 14 2023</t>
  </si>
  <si>
    <t>Dec 06 2023</t>
  </si>
  <si>
    <t>CLM-1004</t>
  </si>
  <si>
    <t>Jan 26 2023</t>
  </si>
  <si>
    <t>22/02/2023</t>
  </si>
  <si>
    <t>03/12/2023</t>
  </si>
  <si>
    <t>Jan 25 2023</t>
  </si>
  <si>
    <t>Dec 30 2023</t>
  </si>
  <si>
    <t>07/01/2023</t>
  </si>
  <si>
    <t>Nov 12 2023</t>
  </si>
  <si>
    <t>Apr 14 2023</t>
  </si>
  <si>
    <t>06/04/2023</t>
  </si>
  <si>
    <t>PRV-77</t>
  </si>
  <si>
    <t>2023-11-12</t>
  </si>
  <si>
    <t>PRV-52</t>
  </si>
  <si>
    <t>2023-12-16</t>
  </si>
  <si>
    <t>14/06/2023</t>
  </si>
  <si>
    <t>13/01/2023</t>
  </si>
  <si>
    <t>PAT-162</t>
  </si>
  <si>
    <t>PRV-50</t>
  </si>
  <si>
    <t>15/07/2023</t>
  </si>
  <si>
    <t>PAT-73</t>
  </si>
  <si>
    <t>Jul 21 2023</t>
  </si>
  <si>
    <t>PAT-130</t>
  </si>
  <si>
    <t>Jan 28 2023</t>
  </si>
  <si>
    <t>PRV-31</t>
  </si>
  <si>
    <t>26/05/2023</t>
  </si>
  <si>
    <t>PRV-32</t>
  </si>
  <si>
    <t>PAT-311</t>
  </si>
  <si>
    <t>May 15 2023</t>
  </si>
  <si>
    <t>PRV-61</t>
  </si>
  <si>
    <t>Apr 25 2023</t>
  </si>
  <si>
    <t>PAT-264</t>
  </si>
  <si>
    <t>Oct 17 2023</t>
  </si>
  <si>
    <t>PAT-343</t>
  </si>
  <si>
    <t>PRV-76</t>
  </si>
  <si>
    <t>22/09/2023</t>
  </si>
  <si>
    <t>PAT-118</t>
  </si>
  <si>
    <t>19/04/2023</t>
  </si>
  <si>
    <t>12/01/2023</t>
  </si>
  <si>
    <t>21/08/2023</t>
  </si>
  <si>
    <t>PRV-5</t>
  </si>
  <si>
    <t>17/02/2023</t>
  </si>
  <si>
    <t>PRV-45</t>
  </si>
  <si>
    <t>2023-03-10</t>
  </si>
  <si>
    <t>29/07/2023</t>
  </si>
  <si>
    <t>2023-10-12</t>
  </si>
  <si>
    <t>Nov 11 2023</t>
  </si>
  <si>
    <t>PAT-100</t>
  </si>
  <si>
    <t>11/11/2023</t>
  </si>
  <si>
    <t>May 26 2023</t>
  </si>
  <si>
    <t>PRV-14</t>
  </si>
  <si>
    <t>15/09/2023</t>
  </si>
  <si>
    <t>04/09/2023</t>
  </si>
  <si>
    <t>PAT-148</t>
  </si>
  <si>
    <t>2023-10-11</t>
  </si>
  <si>
    <t>PRV-27</t>
  </si>
  <si>
    <t>2023-05-08</t>
  </si>
  <si>
    <t>PRV-63</t>
  </si>
  <si>
    <t>19/09/2023</t>
  </si>
  <si>
    <t>11/06/2023</t>
  </si>
  <si>
    <t>2023-08-06</t>
  </si>
  <si>
    <t>16/03/2023</t>
  </si>
  <si>
    <t>PRV-21</t>
  </si>
  <si>
    <t>Jun 16 2023</t>
  </si>
  <si>
    <t>PAT-95</t>
  </si>
  <si>
    <t>PRV-17</t>
  </si>
  <si>
    <t>PAT-43</t>
  </si>
  <si>
    <t>11/03/2023</t>
  </si>
  <si>
    <t>PAT-117</t>
  </si>
  <si>
    <t>07/07/2023</t>
  </si>
  <si>
    <t>PRV-38</t>
  </si>
  <si>
    <t>2023-11-29</t>
  </si>
  <si>
    <t>PAT-165</t>
  </si>
  <si>
    <t>01/10/2023</t>
  </si>
  <si>
    <t>PRV-60</t>
  </si>
  <si>
    <t>Feb 18 2023</t>
  </si>
  <si>
    <t>27/01/2023</t>
  </si>
  <si>
    <t>PAT-306</t>
  </si>
  <si>
    <t>08/05/2023</t>
  </si>
  <si>
    <t>Nov 03 2023</t>
  </si>
  <si>
    <t>PRV-100</t>
  </si>
  <si>
    <t>Dec 04 2023</t>
  </si>
  <si>
    <t>PAT-35</t>
  </si>
  <si>
    <t>2023-04-14</t>
  </si>
  <si>
    <t>PAT-368</t>
  </si>
  <si>
    <t>PRV-2</t>
  </si>
  <si>
    <t>Feb 21 2023</t>
  </si>
  <si>
    <t>26/12/2023</t>
  </si>
  <si>
    <t>May 04 2023</t>
  </si>
  <si>
    <t>PRV-46</t>
  </si>
  <si>
    <t>Jul 07 2023</t>
  </si>
  <si>
    <t>01/11/2023</t>
  </si>
  <si>
    <t>2023-09-26</t>
  </si>
  <si>
    <t>PAT-47</t>
  </si>
  <si>
    <t>2023-03-17</t>
  </si>
  <si>
    <t>2023-04-08</t>
  </si>
  <si>
    <t>May 05 2023</t>
  </si>
  <si>
    <t>Nov 15 2023</t>
  </si>
  <si>
    <t>2023-07-18</t>
  </si>
  <si>
    <t>2023-04-12</t>
  </si>
  <si>
    <t>2023-11-17</t>
  </si>
  <si>
    <t>PRV-68</t>
  </si>
  <si>
    <t>19/03/2023</t>
  </si>
  <si>
    <t>2023-05-07</t>
  </si>
  <si>
    <t>2023-09-23</t>
  </si>
  <si>
    <t>PAT-13</t>
  </si>
  <si>
    <t>2023-02-16</t>
  </si>
  <si>
    <t>09/10/2023</t>
  </si>
  <si>
    <t>PAT-321</t>
  </si>
  <si>
    <t>PRV-16</t>
  </si>
  <si>
    <t>2023-01-02</t>
  </si>
  <si>
    <t>May 23 2023</t>
  </si>
  <si>
    <t>PAT-170</t>
  </si>
  <si>
    <t>Mar 24 2023</t>
  </si>
  <si>
    <t>04/02/2023</t>
  </si>
  <si>
    <t>Nov 06 2023</t>
  </si>
  <si>
    <t>10/04/2023</t>
  </si>
  <si>
    <t>PAT-328</t>
  </si>
  <si>
    <t>2023-11-27</t>
  </si>
  <si>
    <t>2023-02-03</t>
  </si>
  <si>
    <t>2023-05-02</t>
  </si>
  <si>
    <t>PAT-257</t>
  </si>
  <si>
    <t>Feb 22 2023</t>
  </si>
  <si>
    <t>2023-03-18</t>
  </si>
  <si>
    <t>PAT-126</t>
  </si>
  <si>
    <t>2023-06-23</t>
  </si>
  <si>
    <t>2023-07-02</t>
  </si>
  <si>
    <t>29/08/2023</t>
  </si>
  <si>
    <t>2023-03-23</t>
  </si>
  <si>
    <t>2023-10-31</t>
  </si>
  <si>
    <t>Feb 15 2023</t>
  </si>
  <si>
    <t>PAT-145</t>
  </si>
  <si>
    <t>Feb 06 2023</t>
  </si>
  <si>
    <t>Aug 06 2023</t>
  </si>
  <si>
    <t>Sep 05 2023</t>
  </si>
  <si>
    <t>PAT-313</t>
  </si>
  <si>
    <t>19/11/2023</t>
  </si>
  <si>
    <t>31/05/2023</t>
  </si>
  <si>
    <t>PAT-320</t>
  </si>
  <si>
    <t>12/02/2023</t>
  </si>
  <si>
    <t>25/12/2023</t>
  </si>
  <si>
    <t>18/04/2023</t>
  </si>
  <si>
    <t>PAT-135</t>
  </si>
  <si>
    <t>2023-05-28</t>
  </si>
  <si>
    <t>2023-10-27</t>
  </si>
  <si>
    <t>PRV-13</t>
  </si>
  <si>
    <t>PAT-310</t>
  </si>
  <si>
    <t>2023-12-23</t>
  </si>
  <si>
    <t>2023-01-31</t>
  </si>
  <si>
    <t>PAT-330</t>
  </si>
  <si>
    <t>2023-11-28</t>
  </si>
  <si>
    <t>05/05/2023</t>
  </si>
  <si>
    <t>PRV-29</t>
  </si>
  <si>
    <t>PAT-141</t>
  </si>
  <si>
    <t>Jul 09 2023</t>
  </si>
  <si>
    <t>PAT-42</t>
  </si>
  <si>
    <t>22/05/2023</t>
  </si>
  <si>
    <t>Jan 27 2023</t>
  </si>
  <si>
    <t>26/02/2023</t>
  </si>
  <si>
    <t>Aug 23 2023</t>
  </si>
  <si>
    <t>23/04/2023</t>
  </si>
  <si>
    <t>Aug 11 2023</t>
  </si>
  <si>
    <t>Feb 12 2023</t>
  </si>
  <si>
    <t>PRV-90</t>
  </si>
  <si>
    <t>2023-02-11</t>
  </si>
  <si>
    <t>PAT-188</t>
  </si>
  <si>
    <t>15/10/2023</t>
  </si>
  <si>
    <t>2023-06-26</t>
  </si>
  <si>
    <t>PAT-201</t>
  </si>
  <si>
    <t>25/02/2023</t>
  </si>
  <si>
    <t>06/06/2023</t>
  </si>
  <si>
    <t>PAT-94</t>
  </si>
  <si>
    <t>24/03/2023</t>
  </si>
  <si>
    <t>PAT-277</t>
  </si>
  <si>
    <t>2023-01-13</t>
  </si>
  <si>
    <t>Jun 23 2023</t>
  </si>
  <si>
    <t>2023-09-27</t>
  </si>
  <si>
    <t>2023-08-07</t>
  </si>
  <si>
    <t>13/03/2023</t>
  </si>
  <si>
    <t>2023-04-06</t>
  </si>
  <si>
    <t>2023-12-01</t>
  </si>
  <si>
    <t>Aug 03 2023</t>
  </si>
  <si>
    <t>2023-12-24</t>
  </si>
  <si>
    <t>PAT-112</t>
  </si>
  <si>
    <t>PRV-65</t>
  </si>
  <si>
    <t>PRV-89</t>
  </si>
  <si>
    <t>2023-01-10</t>
  </si>
  <si>
    <t>PAT-50</t>
  </si>
  <si>
    <t>Apr 05 2023</t>
  </si>
  <si>
    <t>PAT-297</t>
  </si>
  <si>
    <t>Mar 29 2023</t>
  </si>
  <si>
    <t>PRV-28</t>
  </si>
  <si>
    <t>28/07/2023</t>
  </si>
  <si>
    <t>Apr 26 2023</t>
  </si>
  <si>
    <t>2023-03-15</t>
  </si>
  <si>
    <t>2023-10-25</t>
  </si>
  <si>
    <t>PRV-64</t>
  </si>
  <si>
    <t>18/11/2023</t>
  </si>
  <si>
    <t>PAT-390</t>
  </si>
  <si>
    <t>May 31 2023</t>
  </si>
  <si>
    <t>2023-10-13</t>
  </si>
  <si>
    <t>2023-01-29</t>
  </si>
  <si>
    <t>PAT-299</t>
  </si>
  <si>
    <t>PRV-22</t>
  </si>
  <si>
    <t>2023-06-16</t>
  </si>
  <si>
    <t>Aug 10 2023</t>
  </si>
  <si>
    <t>Sep 30 2023</t>
  </si>
  <si>
    <t>PRV-9</t>
  </si>
  <si>
    <t>14/04/2023</t>
  </si>
  <si>
    <t>PAT-153</t>
  </si>
  <si>
    <t>2023-12-03</t>
  </si>
  <si>
    <t>01/05/2023</t>
  </si>
  <si>
    <t>2023-03-16</t>
  </si>
  <si>
    <t>PRV-62</t>
  </si>
  <si>
    <t>Dec 18 2023</t>
  </si>
  <si>
    <t>PRV-30</t>
  </si>
  <si>
    <t>02/03/2023</t>
  </si>
  <si>
    <t>May 01 2023</t>
  </si>
  <si>
    <t>PAT-287</t>
  </si>
  <si>
    <t>2023-03-28</t>
  </si>
  <si>
    <t>2023-12-28</t>
  </si>
  <si>
    <t>PAT-93</t>
  </si>
  <si>
    <t>16/10/2023</t>
  </si>
  <si>
    <t>2023-10-30</t>
  </si>
  <si>
    <t>2023-01-25</t>
  </si>
  <si>
    <t>PAT-107</t>
  </si>
  <si>
    <t>Oct 16 2023</t>
  </si>
  <si>
    <t>Nov 19 2023</t>
  </si>
  <si>
    <t>2023-02-25</t>
  </si>
  <si>
    <t>PAT-345</t>
  </si>
  <si>
    <t>03/01/2023</t>
  </si>
  <si>
    <t>09/01/2023</t>
  </si>
  <si>
    <t>PAT-217</t>
  </si>
  <si>
    <t>2023-12-26</t>
  </si>
  <si>
    <t>Sep 11 2023</t>
  </si>
  <si>
    <t>2023-05-31</t>
  </si>
  <si>
    <t>2023-04-25</t>
  </si>
  <si>
    <t>PRV-43</t>
  </si>
  <si>
    <t>29/09/2023</t>
  </si>
  <si>
    <t>11/08/2023</t>
  </si>
  <si>
    <t>Aug 17 2023</t>
  </si>
  <si>
    <t>24/09/2023</t>
  </si>
  <si>
    <t>31/12/2023</t>
  </si>
  <si>
    <t>Aug 14 2023</t>
  </si>
  <si>
    <t>22/03/2023</t>
  </si>
  <si>
    <t>PAT-249</t>
  </si>
  <si>
    <t>2023-08-04</t>
  </si>
  <si>
    <t>01/09/2023</t>
  </si>
  <si>
    <t>PAT-199</t>
  </si>
  <si>
    <t>2023-01-24</t>
  </si>
  <si>
    <t>2023-09-25</t>
  </si>
  <si>
    <t>2023-10-29</t>
  </si>
  <si>
    <t>2023-02-15</t>
  </si>
  <si>
    <t>May 03 2023</t>
  </si>
  <si>
    <t>Oct 11 2023</t>
  </si>
  <si>
    <t>Aug 05 2023</t>
  </si>
  <si>
    <t>Oct 27 2023</t>
  </si>
  <si>
    <t>2023-06-25</t>
  </si>
  <si>
    <t>2023-07-05</t>
  </si>
  <si>
    <t>PAT-253</t>
  </si>
  <si>
    <t>PAT-101</t>
  </si>
  <si>
    <t>02/02/2023</t>
  </si>
  <si>
    <t>PAT-267</t>
  </si>
  <si>
    <t>23/06/2023</t>
  </si>
  <si>
    <t>2023-09-04</t>
  </si>
  <si>
    <t>PAT-75</t>
  </si>
  <si>
    <t>PAT-104</t>
  </si>
  <si>
    <t>PRV-44</t>
  </si>
  <si>
    <t>Dec 22 2023</t>
  </si>
  <si>
    <t>Aug 27 2023</t>
  </si>
  <si>
    <t>PAT-285</t>
  </si>
  <si>
    <t>Nov 20 2023</t>
  </si>
  <si>
    <t>Apr 09 2023</t>
  </si>
  <si>
    <t>Mar 06 2023</t>
  </si>
  <si>
    <t>PAT-293</t>
  </si>
  <si>
    <t>PAT-61</t>
  </si>
  <si>
    <t>07/10/2023</t>
  </si>
  <si>
    <t>27/07/2023</t>
  </si>
  <si>
    <t>24/06/2023</t>
  </si>
  <si>
    <t>14/01/2023</t>
  </si>
  <si>
    <t>PAT-81</t>
  </si>
  <si>
    <t>02/09/2023</t>
  </si>
  <si>
    <t>Apr 02 2023</t>
  </si>
  <si>
    <t>2023-04-22</t>
  </si>
  <si>
    <t>Dec 12 2023</t>
  </si>
  <si>
    <t>PAT-237</t>
  </si>
  <si>
    <t>2023-08-13</t>
  </si>
  <si>
    <t>PAT-140</t>
  </si>
  <si>
    <t>02/04/2023</t>
  </si>
  <si>
    <t>03/05/2023</t>
  </si>
  <si>
    <t>08/06/2023</t>
  </si>
  <si>
    <t>PAT-282</t>
  </si>
  <si>
    <t>07/08/2023</t>
  </si>
  <si>
    <t>Sep 16 2023</t>
  </si>
  <si>
    <t>2023-06-06</t>
  </si>
  <si>
    <t>2023-07-22</t>
  </si>
  <si>
    <t>Jul 08 2023</t>
  </si>
  <si>
    <t>Nov 05 2023</t>
  </si>
  <si>
    <t>2023-09-30</t>
  </si>
  <si>
    <t>28/03/2023</t>
  </si>
  <si>
    <t>19/08/2023</t>
  </si>
  <si>
    <t>Jul 13 2023</t>
  </si>
  <si>
    <t>01/03/2023</t>
  </si>
  <si>
    <t>Jan 05 2023</t>
  </si>
  <si>
    <t>PAT-377</t>
  </si>
  <si>
    <t>Jun 03 2023</t>
  </si>
  <si>
    <t>PAT-357</t>
  </si>
  <si>
    <t>Jun 15 2023</t>
  </si>
  <si>
    <t>PAT-384</t>
  </si>
  <si>
    <t>06/01/2023</t>
  </si>
  <si>
    <t>17/04/2023</t>
  </si>
  <si>
    <t>2023-03-05</t>
  </si>
  <si>
    <t>Feb 08 2023</t>
  </si>
  <si>
    <t>03/02/2023</t>
  </si>
  <si>
    <t>Jun 28 2023</t>
  </si>
  <si>
    <t>2023-09-15</t>
  </si>
  <si>
    <t>PAT-41</t>
  </si>
  <si>
    <t>Mar 10 2023</t>
  </si>
  <si>
    <t>2023-11-20</t>
  </si>
  <si>
    <t>22/07/2023</t>
  </si>
  <si>
    <t>09/03/2023</t>
  </si>
  <si>
    <t>Dec 05 2023</t>
  </si>
  <si>
    <t>Jul 05 2023</t>
  </si>
  <si>
    <t>09/04/2023</t>
  </si>
  <si>
    <t>PAT-356</t>
  </si>
  <si>
    <t>02/07/2023</t>
  </si>
  <si>
    <t>Oct 25 2023</t>
  </si>
  <si>
    <t>2023-05-25</t>
  </si>
  <si>
    <t>2023-02-21</t>
  </si>
  <si>
    <t>PAT-5</t>
  </si>
  <si>
    <t>29/12/2023</t>
  </si>
  <si>
    <t>PAT-11</t>
  </si>
  <si>
    <t>PAT-87</t>
  </si>
  <si>
    <t>Feb 09 2023</t>
  </si>
  <si>
    <t>PAT-218</t>
  </si>
  <si>
    <t>16/11/2023</t>
  </si>
  <si>
    <t>PAT-245</t>
  </si>
  <si>
    <t>2023-10-02</t>
  </si>
  <si>
    <t>PAT-243</t>
  </si>
  <si>
    <t>2023-07-04</t>
  </si>
  <si>
    <t>PAT-376</t>
  </si>
  <si>
    <t>10/07/2023</t>
  </si>
  <si>
    <t>PAT-214</t>
  </si>
  <si>
    <t>Sep 28 2023</t>
  </si>
  <si>
    <t>May 13 2023</t>
  </si>
  <si>
    <t>PAT-29</t>
  </si>
  <si>
    <t>15/01/2023</t>
  </si>
  <si>
    <t>2023-06-11</t>
  </si>
  <si>
    <t>Jan 13 2023</t>
  </si>
  <si>
    <t>PAT-119</t>
  </si>
  <si>
    <t>Sep 22 2023</t>
  </si>
  <si>
    <t>Apr 03 2023</t>
  </si>
  <si>
    <t>10/05/2023</t>
  </si>
  <si>
    <t>2023-08-03</t>
  </si>
  <si>
    <t>15/06/2023</t>
  </si>
  <si>
    <t>2023-08-22</t>
  </si>
  <si>
    <t>2023-12-19</t>
  </si>
  <si>
    <t>May 06 2023</t>
  </si>
  <si>
    <t>25/05/2023</t>
  </si>
  <si>
    <t>21/11/2023</t>
  </si>
  <si>
    <t>04/03/2023</t>
  </si>
  <si>
    <t>21/05/2023</t>
  </si>
  <si>
    <t>May 02 2023</t>
  </si>
  <si>
    <t>PRV-3</t>
  </si>
  <si>
    <t>Aug 01 2023</t>
  </si>
  <si>
    <t>11/07/2023</t>
  </si>
  <si>
    <t>Sep 25 2023</t>
  </si>
  <si>
    <t>PAT-286</t>
  </si>
  <si>
    <t>2023-02-09</t>
  </si>
  <si>
    <t>02/12/2023</t>
  </si>
  <si>
    <t>PAT-332</t>
  </si>
  <si>
    <t>27/11/2023</t>
  </si>
  <si>
    <t>PAT-202</t>
  </si>
  <si>
    <t>11/09/2023</t>
  </si>
  <si>
    <t>2023-08-23</t>
  </si>
  <si>
    <t>2023-08-02</t>
  </si>
  <si>
    <t>PAT-351</t>
  </si>
  <si>
    <t>30/06/2023</t>
  </si>
  <si>
    <t>May 08 2023</t>
  </si>
  <si>
    <t>2023-07-21</t>
  </si>
  <si>
    <t>20/12/2023</t>
  </si>
  <si>
    <t>2023-06-09</t>
  </si>
  <si>
    <t>PAT-12</t>
  </si>
  <si>
    <t>Mar 03 2023</t>
  </si>
  <si>
    <t>Sep 17 2023</t>
  </si>
  <si>
    <t>14/12/2023</t>
  </si>
  <si>
    <t>PAT-271</t>
  </si>
  <si>
    <t>PRV-12</t>
  </si>
  <si>
    <t>27/12/2023</t>
  </si>
  <si>
    <t>PAT-16</t>
  </si>
  <si>
    <t>14/05/2023</t>
  </si>
  <si>
    <t>2023-09-03</t>
  </si>
  <si>
    <t>PAT-14</t>
  </si>
  <si>
    <t>Jan 10 2023</t>
  </si>
  <si>
    <t>29/06/2023</t>
  </si>
  <si>
    <t>2023-06-24</t>
  </si>
  <si>
    <t>01/12/2023</t>
  </si>
  <si>
    <t>2023-10-24</t>
  </si>
  <si>
    <t>2023-07-28</t>
  </si>
  <si>
    <t>21/04/2023</t>
  </si>
  <si>
    <t>2023-01-27</t>
  </si>
  <si>
    <t>16/08/2023</t>
  </si>
  <si>
    <t>2023-05-14</t>
  </si>
  <si>
    <t>2023-03-06</t>
  </si>
  <si>
    <t>30/10/2023</t>
  </si>
  <si>
    <t>Oct 31 2023</t>
  </si>
  <si>
    <t>2023-06-15</t>
  </si>
  <si>
    <t>PAT-85</t>
  </si>
  <si>
    <t>07/09/2023</t>
  </si>
  <si>
    <t>2023-09-08</t>
  </si>
  <si>
    <t>PAT-45</t>
  </si>
  <si>
    <t>13/10/2023</t>
  </si>
  <si>
    <t>03/08/2023</t>
  </si>
  <si>
    <t>PAT-352</t>
  </si>
  <si>
    <t>PAT-370</t>
  </si>
  <si>
    <t>Jun 30 2023</t>
  </si>
  <si>
    <t>19/05/2023</t>
  </si>
  <si>
    <t>Sep 20 2023</t>
  </si>
  <si>
    <t>PAT-395</t>
  </si>
  <si>
    <t>2023-09-10</t>
  </si>
  <si>
    <t>2023-02-28</t>
  </si>
  <si>
    <t>Nov 22 2023</t>
  </si>
  <si>
    <t>09/02/2023</t>
  </si>
  <si>
    <t>2023-10-14</t>
  </si>
  <si>
    <t>2023-01-06</t>
  </si>
  <si>
    <t>Nov 10 2023</t>
  </si>
  <si>
    <t>2023-11-11</t>
  </si>
  <si>
    <t>Jul 14 2023</t>
  </si>
  <si>
    <t>21/01/2023</t>
  </si>
  <si>
    <t>PAT-385</t>
  </si>
  <si>
    <t>28/01/2023</t>
  </si>
  <si>
    <t>2023-12-17</t>
  </si>
  <si>
    <t>May 25 2023</t>
  </si>
  <si>
    <t>Nov 09 2023</t>
  </si>
  <si>
    <t>2023-01-21</t>
  </si>
  <si>
    <t>16/06/2023</t>
  </si>
  <si>
    <t>23/08/2023</t>
  </si>
  <si>
    <t>2023-06-04</t>
  </si>
  <si>
    <t>Jan 17 2023</t>
  </si>
  <si>
    <t>Mar 27 2023</t>
  </si>
  <si>
    <t>Feb 26 2023</t>
  </si>
  <si>
    <t>Nov 21 2023</t>
  </si>
  <si>
    <t>PAT-329</t>
  </si>
  <si>
    <t>Aug 25 2023</t>
  </si>
  <si>
    <t>Jul 31 2023</t>
  </si>
  <si>
    <t>2023-08-16</t>
  </si>
  <si>
    <t>2023-11-21</t>
  </si>
  <si>
    <t>Sep 18 2023</t>
  </si>
  <si>
    <t>31/03/2023</t>
  </si>
  <si>
    <t>PAT-327</t>
  </si>
  <si>
    <t>PAT-268</t>
  </si>
  <si>
    <t>04/04/2023</t>
  </si>
  <si>
    <t>PAT-302</t>
  </si>
  <si>
    <t>PAT-388</t>
  </si>
  <si>
    <t>2023-09-18</t>
  </si>
  <si>
    <t>PAT-56</t>
  </si>
  <si>
    <t>Dec 01 2023</t>
  </si>
  <si>
    <t>PAT-192</t>
  </si>
  <si>
    <t>Oct 13 2023</t>
  </si>
  <si>
    <t>05/04/2023</t>
  </si>
  <si>
    <t>2023-07-25</t>
  </si>
  <si>
    <t>23/10/2023</t>
  </si>
  <si>
    <t>06/08/2023</t>
  </si>
  <si>
    <t>Apr 18 2023</t>
  </si>
  <si>
    <t>PAT-255</t>
  </si>
  <si>
    <t>PAT-269</t>
  </si>
  <si>
    <t>08/01/2023</t>
  </si>
  <si>
    <t>Jul 17 2023</t>
  </si>
  <si>
    <t>Aug 21 2023</t>
  </si>
  <si>
    <t>PAT-340</t>
  </si>
  <si>
    <t>2023-05-15</t>
  </si>
  <si>
    <t>11/10/2023</t>
  </si>
  <si>
    <t>PAT-143</t>
  </si>
  <si>
    <t>PAT-206</t>
  </si>
  <si>
    <t>Mar 14 2023</t>
  </si>
  <si>
    <t>2023-02-06</t>
  </si>
  <si>
    <t>PAT-309</t>
  </si>
  <si>
    <t>22/10/2023</t>
  </si>
  <si>
    <t>Apr 21 2023</t>
  </si>
  <si>
    <t>Dec 24 2023</t>
  </si>
  <si>
    <t>PAT-387</t>
  </si>
  <si>
    <t>Apr 08 2023</t>
  </si>
  <si>
    <t>30/09/2023</t>
  </si>
  <si>
    <t>22/12/2023</t>
  </si>
  <si>
    <t>Jul 18 2023</t>
  </si>
  <si>
    <t>PAT-360</t>
  </si>
  <si>
    <t>2023-11-03</t>
  </si>
  <si>
    <t>2023-04-05</t>
  </si>
  <si>
    <t>PAT-177</t>
  </si>
  <si>
    <t>04/11/2023</t>
  </si>
  <si>
    <t>PAT-350</t>
  </si>
  <si>
    <t>2023-07-03</t>
  </si>
  <si>
    <t>2023-06-14</t>
  </si>
  <si>
    <t>Dec 17 2023</t>
  </si>
  <si>
    <t>Oct 20 2023</t>
  </si>
  <si>
    <t>Jan 06 2023</t>
  </si>
  <si>
    <t>2023-12-15</t>
  </si>
  <si>
    <t>PAT-394</t>
  </si>
  <si>
    <t>Jan 23 2023</t>
  </si>
  <si>
    <t>PAT-33</t>
  </si>
  <si>
    <t>21/06/2023</t>
  </si>
  <si>
    <t>PAT-185</t>
  </si>
  <si>
    <t>2023-03-31</t>
  </si>
  <si>
    <t>PAT-379</t>
  </si>
  <si>
    <t>PAT-78</t>
  </si>
  <si>
    <t>Jun 11 2023</t>
  </si>
  <si>
    <t>Sep 09 2023</t>
  </si>
  <si>
    <t>PAT-294</t>
  </si>
  <si>
    <t>08/09/2023</t>
  </si>
  <si>
    <t>Jan 07 2023</t>
  </si>
  <si>
    <t>PAT-382</t>
  </si>
  <si>
    <t>15/08/2023</t>
  </si>
  <si>
    <t>2023-06-03</t>
  </si>
  <si>
    <t>PAT-232</t>
  </si>
  <si>
    <t>PAT-341</t>
  </si>
  <si>
    <t>2023-03-08</t>
  </si>
  <si>
    <t>06/07/2023</t>
  </si>
  <si>
    <t>PAT-331</t>
  </si>
  <si>
    <t>Apr 10 2023</t>
  </si>
  <si>
    <t>PAT-146</t>
  </si>
  <si>
    <t>PAT-121</t>
  </si>
  <si>
    <t>PAT-82</t>
  </si>
  <si>
    <t>2023-09-19</t>
  </si>
  <si>
    <t>18/09/2023</t>
  </si>
  <si>
    <t>PAT-172</t>
  </si>
  <si>
    <t>2023-03-03</t>
  </si>
  <si>
    <t>2023-06-17</t>
  </si>
  <si>
    <t>PAT-318</t>
  </si>
  <si>
    <t>14/03/2023</t>
  </si>
  <si>
    <t>28/08/2023</t>
  </si>
  <si>
    <t>PAT-215</t>
  </si>
  <si>
    <t>Jun 29 2023</t>
  </si>
  <si>
    <t>PAT-74</t>
  </si>
  <si>
    <t>03/07/2023</t>
  </si>
  <si>
    <t>2023-06-29</t>
  </si>
  <si>
    <t>2023-07-07</t>
  </si>
  <si>
    <t>PAT-34</t>
  </si>
  <si>
    <t>PAT-337</t>
  </si>
  <si>
    <t>PAT-272</t>
  </si>
  <si>
    <t>13/06/2023</t>
  </si>
  <si>
    <t>May 07 2023</t>
  </si>
  <si>
    <t>PAT-396</t>
  </si>
  <si>
    <t>Nov 01 2023</t>
  </si>
  <si>
    <t>2023-03-13</t>
  </si>
  <si>
    <t>PAT-127</t>
  </si>
  <si>
    <t>2023-05-11</t>
  </si>
  <si>
    <t>PAT-161</t>
  </si>
  <si>
    <t>PAT-6</t>
  </si>
  <si>
    <t>PAT-197</t>
  </si>
  <si>
    <t>PAT-55</t>
  </si>
  <si>
    <t>PAT-207</t>
  </si>
  <si>
    <t>Aug 12 2023</t>
  </si>
  <si>
    <t>19/01/2023</t>
  </si>
  <si>
    <t>PRV-26</t>
  </si>
  <si>
    <t>21/07/2023</t>
  </si>
  <si>
    <t>09/05/2023</t>
  </si>
  <si>
    <t>2023-09-20</t>
  </si>
  <si>
    <t>PRV-66</t>
  </si>
  <si>
    <t>Mar 26 2023</t>
  </si>
  <si>
    <t>Sep 04 2023</t>
  </si>
  <si>
    <t>2023-08-09</t>
  </si>
  <si>
    <t>24/12/2023</t>
  </si>
  <si>
    <t>2023-07-19</t>
  </si>
  <si>
    <t>05/09/2023</t>
  </si>
  <si>
    <t>May 29 2023</t>
  </si>
  <si>
    <t>PAT-204</t>
  </si>
  <si>
    <t>Oct 02 2023</t>
  </si>
  <si>
    <t>Oct 15 2023</t>
  </si>
  <si>
    <t>10/12/2023</t>
  </si>
  <si>
    <t>PAT-123</t>
  </si>
  <si>
    <t>2023-11-14</t>
  </si>
  <si>
    <t>PAT-22</t>
  </si>
  <si>
    <t>Oct 10 2023</t>
  </si>
  <si>
    <t>2023-03-20</t>
  </si>
  <si>
    <t>26/09/2023</t>
  </si>
  <si>
    <t>Oct 23 2023</t>
  </si>
  <si>
    <t>PAT-380</t>
  </si>
  <si>
    <t>18/02/2023</t>
  </si>
  <si>
    <t>PAT-281</t>
  </si>
  <si>
    <t>2023-11-10</t>
  </si>
  <si>
    <t>Feb 27 2023</t>
  </si>
  <si>
    <t>2023-05-22</t>
  </si>
  <si>
    <t>25/09/2023</t>
  </si>
  <si>
    <t>28/09/2023</t>
  </si>
  <si>
    <t>2023-09-01</t>
  </si>
  <si>
    <t>11/04/2023</t>
  </si>
  <si>
    <t>PAT-353</t>
  </si>
  <si>
    <t>2023-01-04</t>
  </si>
  <si>
    <t>Jan 01 2024</t>
  </si>
  <si>
    <t>Jul 22 2023</t>
  </si>
  <si>
    <t>PAT-279</t>
  </si>
  <si>
    <t>05/08/2023</t>
  </si>
  <si>
    <t>PAT-166</t>
  </si>
  <si>
    <t>30/05/2023</t>
  </si>
  <si>
    <t>PAT-138</t>
  </si>
  <si>
    <t>Mar 05 2023</t>
  </si>
  <si>
    <t>PAT-265</t>
  </si>
  <si>
    <t>2023-11-24</t>
  </si>
  <si>
    <t>PAT-111</t>
  </si>
  <si>
    <t>23/07/2023</t>
  </si>
  <si>
    <t>2023-10-20</t>
  </si>
  <si>
    <t>Jul 12 2023</t>
  </si>
  <si>
    <t>2023-10-17</t>
  </si>
  <si>
    <t>Jan 12 2023</t>
  </si>
  <si>
    <t>PAT-371</t>
  </si>
  <si>
    <t>PAT-323</t>
  </si>
  <si>
    <t>PAT-77</t>
  </si>
  <si>
    <t>08/02/2023</t>
  </si>
  <si>
    <t>2023-01-28</t>
  </si>
  <si>
    <t>2023-08-15</t>
  </si>
  <si>
    <t>PAT-233</t>
  </si>
  <si>
    <t>10/06/2023</t>
  </si>
  <si>
    <t>Sep 13 2023</t>
  </si>
  <si>
    <t>2023-12-18</t>
  </si>
  <si>
    <t>PAT-174</t>
  </si>
  <si>
    <t>Dec 26 2023</t>
  </si>
  <si>
    <t>PAT-266</t>
  </si>
  <si>
    <t>17/09/2023</t>
  </si>
  <si>
    <t>16/02/2023</t>
  </si>
  <si>
    <t>2023-11-09</t>
  </si>
  <si>
    <t>Jan 16 2023</t>
  </si>
  <si>
    <t>PAT-208</t>
  </si>
  <si>
    <t>2023-11-08</t>
  </si>
  <si>
    <t>2023-01-20</t>
  </si>
  <si>
    <t>PAT-182</t>
  </si>
  <si>
    <t>Mar 04 2023</t>
  </si>
  <si>
    <t>2023-06-19</t>
  </si>
  <si>
    <t>Oct 05 2023</t>
  </si>
  <si>
    <t>20/06/2023</t>
  </si>
  <si>
    <t>PAT-163</t>
  </si>
  <si>
    <t>15/03/2023</t>
  </si>
  <si>
    <t>30/03/2023</t>
  </si>
  <si>
    <t>01/08/2023</t>
  </si>
  <si>
    <t>PAT-156</t>
  </si>
  <si>
    <t>PAT-225</t>
  </si>
  <si>
    <t>14/08/2023</t>
  </si>
  <si>
    <t>PAT-125</t>
  </si>
  <si>
    <t>Feb 11 2023</t>
  </si>
  <si>
    <t>28/10/2023</t>
  </si>
  <si>
    <t>2023-02-27</t>
  </si>
  <si>
    <t>Jul 03 2023</t>
  </si>
  <si>
    <t>2023-04-29</t>
  </si>
  <si>
    <t>PAT-142</t>
  </si>
  <si>
    <t>Jan 22 2023</t>
  </si>
  <si>
    <t>PAT-361</t>
  </si>
  <si>
    <t>Apr 13 2023</t>
  </si>
  <si>
    <t>2023-01-30</t>
  </si>
  <si>
    <t>Nov 28 2023</t>
  </si>
  <si>
    <t>Feb 28 2023</t>
  </si>
  <si>
    <t>15/02/2023</t>
  </si>
  <si>
    <t>Patient ID</t>
  </si>
  <si>
    <t>Provider ID</t>
  </si>
  <si>
    <t>Clinical Dept</t>
  </si>
  <si>
    <t>Diagnosis Code</t>
  </si>
  <si>
    <t>No Pa_ID</t>
  </si>
  <si>
    <t>No Pr_ID</t>
  </si>
  <si>
    <t>No Diag_code</t>
  </si>
  <si>
    <t>No Proc_code</t>
  </si>
  <si>
    <t>Procedure Code</t>
  </si>
  <si>
    <t>Claim Amount</t>
  </si>
  <si>
    <t>Total</t>
  </si>
  <si>
    <t>Approved Amount</t>
  </si>
  <si>
    <t>Reject</t>
  </si>
  <si>
    <t>Claim Status</t>
  </si>
  <si>
    <t>Manual</t>
  </si>
  <si>
    <t>Submission Channel</t>
  </si>
  <si>
    <t>Days To Submit</t>
  </si>
  <si>
    <t>Duplicate Flag</t>
  </si>
  <si>
    <t>No Value</t>
  </si>
  <si>
    <t/>
  </si>
  <si>
    <t>Function Col</t>
  </si>
  <si>
    <t>Mar</t>
  </si>
  <si>
    <t>Jul</t>
  </si>
  <si>
    <t>Sep</t>
  </si>
  <si>
    <t>Oct</t>
  </si>
  <si>
    <t>Apr</t>
  </si>
  <si>
    <t>Nov</t>
  </si>
  <si>
    <t>Aug</t>
  </si>
  <si>
    <t>Jan</t>
  </si>
  <si>
    <t>Jun</t>
  </si>
  <si>
    <t>Feb</t>
  </si>
  <si>
    <t>May</t>
  </si>
  <si>
    <t>Dec</t>
  </si>
  <si>
    <t>Function Col2</t>
  </si>
  <si>
    <t>Function Col3</t>
  </si>
  <si>
    <t>13</t>
  </si>
  <si>
    <t>24</t>
  </si>
  <si>
    <t>15</t>
  </si>
  <si>
    <t>26</t>
  </si>
  <si>
    <t>20</t>
  </si>
  <si>
    <t>08</t>
  </si>
  <si>
    <t>07</t>
  </si>
  <si>
    <t>11</t>
  </si>
  <si>
    <t>22</t>
  </si>
  <si>
    <t>25</t>
  </si>
  <si>
    <t>27</t>
  </si>
  <si>
    <t>16</t>
  </si>
  <si>
    <t>30</t>
  </si>
  <si>
    <t>09</t>
  </si>
  <si>
    <t>10</t>
  </si>
  <si>
    <t>18</t>
  </si>
  <si>
    <t>02</t>
  </si>
  <si>
    <t>14</t>
  </si>
  <si>
    <t>06</t>
  </si>
  <si>
    <t>31</t>
  </si>
  <si>
    <t>28</t>
  </si>
  <si>
    <t>12</t>
  </si>
  <si>
    <t>21</t>
  </si>
  <si>
    <t>19</t>
  </si>
  <si>
    <t>01</t>
  </si>
  <si>
    <t>29</t>
  </si>
  <si>
    <t>17</t>
  </si>
  <si>
    <t>03</t>
  </si>
  <si>
    <t>04</t>
  </si>
  <si>
    <t>23</t>
  </si>
  <si>
    <t>05</t>
  </si>
  <si>
    <t>Function Col4</t>
  </si>
  <si>
    <t>2023</t>
  </si>
  <si>
    <t>2024</t>
  </si>
  <si>
    <t>Month Col</t>
  </si>
  <si>
    <t>Day Col</t>
  </si>
  <si>
    <t>Year Col</t>
  </si>
  <si>
    <t>Function Col32</t>
  </si>
  <si>
    <t>Function Col33</t>
  </si>
  <si>
    <t>13/Mar/2023</t>
  </si>
  <si>
    <t>24/Jul/2023</t>
  </si>
  <si>
    <t>15/Sep/2023</t>
  </si>
  <si>
    <t>26/Oct/2023</t>
  </si>
  <si>
    <t>20/Apr/2023</t>
  </si>
  <si>
    <t>08/Mar/2023</t>
  </si>
  <si>
    <t>07/Nov/2023</t>
  </si>
  <si>
    <t>07/Aug/2023</t>
  </si>
  <si>
    <t>11/Jan/2023</t>
  </si>
  <si>
    <t>22/Jun/2023</t>
  </si>
  <si>
    <t>25/Feb/2023</t>
  </si>
  <si>
    <t>27/Jun/2023</t>
  </si>
  <si>
    <t>16/May/2023</t>
  </si>
  <si>
    <t>30/Jul/2023</t>
  </si>
  <si>
    <t>09/Jun/2023</t>
  </si>
  <si>
    <t>22/Aug/2023</t>
  </si>
  <si>
    <t>20/Feb/2023</t>
  </si>
  <si>
    <t>10/Feb/2023</t>
  </si>
  <si>
    <t>26/Jun/2023</t>
  </si>
  <si>
    <t>18/Nov/2023</t>
  </si>
  <si>
    <t>02/Dec/2023</t>
  </si>
  <si>
    <t>14/Dec/2023</t>
  </si>
  <si>
    <t>02/Nov/2023</t>
  </si>
  <si>
    <t>06/Oct/2023</t>
  </si>
  <si>
    <t>08/Jun/2023</t>
  </si>
  <si>
    <t>08/Nov/2023</t>
  </si>
  <si>
    <t>27/May/2023</t>
  </si>
  <si>
    <t>31/Dec/2023</t>
  </si>
  <si>
    <t>24/Nov/2023</t>
  </si>
  <si>
    <t>02/Aug/2023</t>
  </si>
  <si>
    <t>09/Dec/2023</t>
  </si>
  <si>
    <t>02/Jun/2023</t>
  </si>
  <si>
    <t>11/Dec/2023</t>
  </si>
  <si>
    <t>13/Jun/2023</t>
  </si>
  <si>
    <t>26/Nov/2023</t>
  </si>
  <si>
    <t>28/Oct/2023</t>
  </si>
  <si>
    <t>25/Nov/2023</t>
  </si>
  <si>
    <t>12/Mar/2023</t>
  </si>
  <si>
    <t>21/May/2023</t>
  </si>
  <si>
    <t>19/Dec/2023</t>
  </si>
  <si>
    <t>30/May/2023</t>
  </si>
  <si>
    <t>01/Oct/2023</t>
  </si>
  <si>
    <t>01/Mar/2023</t>
  </si>
  <si>
    <t>19/Aug/2023</t>
  </si>
  <si>
    <t>08/Sep/2023</t>
  </si>
  <si>
    <t>18/May/2023</t>
  </si>
  <si>
    <t>29/Oct/2023</t>
  </si>
  <si>
    <t>17/May/2023</t>
  </si>
  <si>
    <t>09/Jan/2023</t>
  </si>
  <si>
    <t>03/Dec/2023</t>
  </si>
  <si>
    <t>25/Dec/2023</t>
  </si>
  <si>
    <t>15/Jul/2023</t>
  </si>
  <si>
    <t>17/Mar/2023</t>
  </si>
  <si>
    <t>04/Apr/2023</t>
  </si>
  <si>
    <t>30/Nov/2023</t>
  </si>
  <si>
    <t>01/Sep/2023</t>
  </si>
  <si>
    <t>16/Nov/2023</t>
  </si>
  <si>
    <t>23/Dec/2023</t>
  </si>
  <si>
    <t>29/Jan/2023</t>
  </si>
  <si>
    <t>30/Mar/2023</t>
  </si>
  <si>
    <t>04/Jan/2023</t>
  </si>
  <si>
    <t>24/Apr/2023</t>
  </si>
  <si>
    <t>20/Jun/2023</t>
  </si>
  <si>
    <t>21/Jan/2023</t>
  </si>
  <si>
    <t>13/Aug/2023</t>
  </si>
  <si>
    <t>14/May/2023</t>
  </si>
  <si>
    <t>06/Dec/2023</t>
  </si>
  <si>
    <t>26/Jan/2023</t>
  </si>
  <si>
    <t>25/Jan/2023</t>
  </si>
  <si>
    <t>30/Dec/2023</t>
  </si>
  <si>
    <t>12/Nov/2023</t>
  </si>
  <si>
    <t>14/Apr/2023</t>
  </si>
  <si>
    <t>21/Jul/2023</t>
  </si>
  <si>
    <t>28/Jan/2023</t>
  </si>
  <si>
    <t>15/May/2023</t>
  </si>
  <si>
    <t>25/Apr/2023</t>
  </si>
  <si>
    <t>17/Oct/2023</t>
  </si>
  <si>
    <t>11/Nov/2023</t>
  </si>
  <si>
    <t>26/May/2023</t>
  </si>
  <si>
    <t>16/Jun/2023</t>
  </si>
  <si>
    <t>18/Feb/2023</t>
  </si>
  <si>
    <t>03/Nov/2023</t>
  </si>
  <si>
    <t>04/Dec/2023</t>
  </si>
  <si>
    <t>21/Feb/2023</t>
  </si>
  <si>
    <t>04/May/2023</t>
  </si>
  <si>
    <t>07/Jul/2023</t>
  </si>
  <si>
    <t>05/May/2023</t>
  </si>
  <si>
    <t>15/Nov/2023</t>
  </si>
  <si>
    <t>23/May/2023</t>
  </si>
  <si>
    <t>24/Mar/2023</t>
  </si>
  <si>
    <t>06/Nov/2023</t>
  </si>
  <si>
    <t>22/Feb/2023</t>
  </si>
  <si>
    <t>15/Feb/2023</t>
  </si>
  <si>
    <t>06/Feb/2023</t>
  </si>
  <si>
    <t>06/Aug/2023</t>
  </si>
  <si>
    <t>05/Sep/2023</t>
  </si>
  <si>
    <t>09/Jul/2023</t>
  </si>
  <si>
    <t>27/Jan/2023</t>
  </si>
  <si>
    <t>23/Aug/2023</t>
  </si>
  <si>
    <t>11/Aug/2023</t>
  </si>
  <si>
    <t>12/Feb/2023</t>
  </si>
  <si>
    <t>23/Jun/2023</t>
  </si>
  <si>
    <t>03/Aug/2023</t>
  </si>
  <si>
    <t>05/Apr/2023</t>
  </si>
  <si>
    <t>29/Mar/2023</t>
  </si>
  <si>
    <t>26/Apr/2023</t>
  </si>
  <si>
    <t>31/May/2023</t>
  </si>
  <si>
    <t>10/Aug/2023</t>
  </si>
  <si>
    <t>30/Sep/2023</t>
  </si>
  <si>
    <t>18/Dec/2023</t>
  </si>
  <si>
    <t>01/May/2023</t>
  </si>
  <si>
    <t>16/Oct/2023</t>
  </si>
  <si>
    <t>19/Nov/2023</t>
  </si>
  <si>
    <t>11/Sep/2023</t>
  </si>
  <si>
    <t>17/Aug/2023</t>
  </si>
  <si>
    <t>14/Aug/2023</t>
  </si>
  <si>
    <t>03/May/2023</t>
  </si>
  <si>
    <t>11/Oct/2023</t>
  </si>
  <si>
    <t>05/Aug/2023</t>
  </si>
  <si>
    <t>27/Oct/2023</t>
  </si>
  <si>
    <t>22/Dec/2023</t>
  </si>
  <si>
    <t>27/Aug/2023</t>
  </si>
  <si>
    <t>20/Nov/2023</t>
  </si>
  <si>
    <t>09/Apr/2023</t>
  </si>
  <si>
    <t>06/Mar/2023</t>
  </si>
  <si>
    <t>02/Apr/2023</t>
  </si>
  <si>
    <t>12/Dec/2023</t>
  </si>
  <si>
    <t>16/Sep/2023</t>
  </si>
  <si>
    <t>08/Jul/2023</t>
  </si>
  <si>
    <t>05/Nov/2023</t>
  </si>
  <si>
    <t>13/Jul/2023</t>
  </si>
  <si>
    <t>05/Jan/2023</t>
  </si>
  <si>
    <t>03/Jun/2023</t>
  </si>
  <si>
    <t>15/Jun/2023</t>
  </si>
  <si>
    <t>08/Feb/2023</t>
  </si>
  <si>
    <t>28/Jun/2023</t>
  </si>
  <si>
    <t>10/Mar/2023</t>
  </si>
  <si>
    <t>05/Dec/2023</t>
  </si>
  <si>
    <t>05/Jul/2023</t>
  </si>
  <si>
    <t>25/Oct/2023</t>
  </si>
  <si>
    <t>09/Feb/2023</t>
  </si>
  <si>
    <t>28/Sep/2023</t>
  </si>
  <si>
    <t>13/May/2023</t>
  </si>
  <si>
    <t>13/Jan/2023</t>
  </si>
  <si>
    <t>22/Sep/2023</t>
  </si>
  <si>
    <t>03/Apr/2023</t>
  </si>
  <si>
    <t>06/May/2023</t>
  </si>
  <si>
    <t>02/May/2023</t>
  </si>
  <si>
    <t>01/Aug/2023</t>
  </si>
  <si>
    <t>25/Sep/2023</t>
  </si>
  <si>
    <t>08/May/2023</t>
  </si>
  <si>
    <t>03/Mar/2023</t>
  </si>
  <si>
    <t>17/Sep/2023</t>
  </si>
  <si>
    <t>10/Jan/2023</t>
  </si>
  <si>
    <t>31/Oct/2023</t>
  </si>
  <si>
    <t>30/Jun/2023</t>
  </si>
  <si>
    <t>20/Sep/2023</t>
  </si>
  <si>
    <t>22/Nov/2023</t>
  </si>
  <si>
    <t>10/Nov/2023</t>
  </si>
  <si>
    <t>14/Jul/2023</t>
  </si>
  <si>
    <t>25/May/2023</t>
  </si>
  <si>
    <t>09/Nov/2023</t>
  </si>
  <si>
    <t>17/Jan/2023</t>
  </si>
  <si>
    <t>27/Mar/2023</t>
  </si>
  <si>
    <t>26/Feb/2023</t>
  </si>
  <si>
    <t>21/Nov/2023</t>
  </si>
  <si>
    <t>25/Aug/2023</t>
  </si>
  <si>
    <t>31/Jul/2023</t>
  </si>
  <si>
    <t>18/Sep/2023</t>
  </si>
  <si>
    <t>01/Dec/2023</t>
  </si>
  <si>
    <t>13/Oct/2023</t>
  </si>
  <si>
    <t>18/Apr/2023</t>
  </si>
  <si>
    <t>17/Jul/2023</t>
  </si>
  <si>
    <t>21/Aug/2023</t>
  </si>
  <si>
    <t>14/Mar/2023</t>
  </si>
  <si>
    <t>21/Apr/2023</t>
  </si>
  <si>
    <t>24/Dec/2023</t>
  </si>
  <si>
    <t>08/Apr/2023</t>
  </si>
  <si>
    <t>18/Jul/2023</t>
  </si>
  <si>
    <t>17/Dec/2023</t>
  </si>
  <si>
    <t>20/Oct/2023</t>
  </si>
  <si>
    <t>06/Jan/2023</t>
  </si>
  <si>
    <t>23/Jan/2023</t>
  </si>
  <si>
    <t>11/Jun/2023</t>
  </si>
  <si>
    <t>09/Sep/2023</t>
  </si>
  <si>
    <t>07/Jan/2023</t>
  </si>
  <si>
    <t>10/Apr/2023</t>
  </si>
  <si>
    <t>29/Jun/2023</t>
  </si>
  <si>
    <t>07/May/2023</t>
  </si>
  <si>
    <t>01/Nov/2023</t>
  </si>
  <si>
    <t>12/Aug/2023</t>
  </si>
  <si>
    <t>26/Mar/2023</t>
  </si>
  <si>
    <t>04/Sep/2023</t>
  </si>
  <si>
    <t>29/May/2023</t>
  </si>
  <si>
    <t>02/Oct/2023</t>
  </si>
  <si>
    <t>15/Oct/2023</t>
  </si>
  <si>
    <t>10/Oct/2023</t>
  </si>
  <si>
    <t>23/Oct/2023</t>
  </si>
  <si>
    <t>27/Feb/2023</t>
  </si>
  <si>
    <t>01/Jan/2024</t>
  </si>
  <si>
    <t>22/Jul/2023</t>
  </si>
  <si>
    <t>05/Mar/2023</t>
  </si>
  <si>
    <t>12/Jul/2023</t>
  </si>
  <si>
    <t>12/Jan/2023</t>
  </si>
  <si>
    <t>13/Sep/2023</t>
  </si>
  <si>
    <t>26/Dec/2023</t>
  </si>
  <si>
    <t>16/Jan/2023</t>
  </si>
  <si>
    <t>04/Mar/2023</t>
  </si>
  <si>
    <t>05/Oct/2023</t>
  </si>
  <si>
    <t>11/Feb/2023</t>
  </si>
  <si>
    <t>03/Jul/2023</t>
  </si>
  <si>
    <t>22/Jan/2023</t>
  </si>
  <si>
    <t>13/Apr/2023</t>
  </si>
  <si>
    <t>28/Nov/2023</t>
  </si>
  <si>
    <t>28/Feb/2023</t>
  </si>
  <si>
    <t>Duplicate flag</t>
  </si>
  <si>
    <t>Claim Date</t>
  </si>
  <si>
    <t>Function Col5</t>
  </si>
  <si>
    <t>Values Col 1</t>
  </si>
  <si>
    <t>Claim_Date2</t>
  </si>
  <si>
    <t>Cleaned Claim Date</t>
  </si>
  <si>
    <t>Column1</t>
  </si>
  <si>
    <t>Column2</t>
  </si>
  <si>
    <t>Column3</t>
  </si>
  <si>
    <t>Column4</t>
  </si>
  <si>
    <t>Column22</t>
  </si>
  <si>
    <t>Total Claims</t>
  </si>
  <si>
    <t>Total Providers</t>
  </si>
  <si>
    <t>Total Patients</t>
  </si>
  <si>
    <t>Total Department</t>
  </si>
  <si>
    <t>Total Disgnosis</t>
  </si>
  <si>
    <t>Total Procedures</t>
  </si>
  <si>
    <t>Sum of Claim Amount</t>
  </si>
  <si>
    <t>Total Claim Amount</t>
  </si>
  <si>
    <t>Total Approved Amount</t>
  </si>
  <si>
    <t>KPI Cards</t>
  </si>
  <si>
    <t>Average Claim Amount</t>
  </si>
  <si>
    <t>Average Approved Amount</t>
  </si>
  <si>
    <t>Count of Duplicate flag</t>
  </si>
  <si>
    <t>Total Duplicate</t>
  </si>
  <si>
    <t>Row Labels</t>
  </si>
  <si>
    <t>Grand Total</t>
  </si>
  <si>
    <t>Duplicate Flag (Yes)</t>
  </si>
  <si>
    <t>Duplicate Claims Rate</t>
  </si>
  <si>
    <t>Suspicious Claim Amount</t>
  </si>
  <si>
    <t>Average of Days To Submit</t>
  </si>
  <si>
    <t>Top 10 Providers with Higher days to submit claims</t>
  </si>
  <si>
    <t>Count of Claim Status</t>
  </si>
  <si>
    <t>Column Labels</t>
  </si>
  <si>
    <t>MoM Growth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</si>
</sst>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dd/mm/yyyy;@"/>
    <numFmt numFmtId="165" formatCode="&quot;₦&quot;#,##0.00"/>
    <numFmt numFmtId="166" formatCode="0%;\-0%;0%"/>
    <numFmt numFmtId="167" formatCode="0.0"/>
    <numFmt numFmtId="168" formatCode="#.00,,"/>
    <numFmt numFmtId="169" formatCode="&quot;₦&quot;#.00,"/>
  </numFmts>
  <fonts count="8" x14ac:knownFonts="1">
    <font>
      <sz val="11"/>
      <color theme="1"/>
      <name val="Calibri"/>
      <scheme val="minor"/>
    </font>
    <font>
      <sz val="11"/>
      <color theme="1"/>
      <name val="Calibri"/>
      <family val="2"/>
      <scheme val="minor"/>
    </font>
    <font>
      <b/>
      <sz val="11"/>
      <color theme="1"/>
      <name val="Calibri"/>
    </font>
    <font>
      <sz val="11"/>
      <color theme="1"/>
      <name val="Calibri"/>
      <scheme val="minor"/>
    </font>
    <font>
      <sz val="8"/>
      <name val="Calibri"/>
      <scheme val="minor"/>
    </font>
    <font>
      <sz val="11"/>
      <color rgb="FF000000"/>
      <name val="Calibri"/>
    </font>
    <font>
      <b/>
      <sz val="11"/>
      <color theme="1"/>
      <name val="Calibri"/>
      <family val="2"/>
    </font>
    <font>
      <b/>
      <sz val="11"/>
      <color theme="1"/>
      <name val="Calibri"/>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6" tint="0.39997558519241921"/>
        <bgColor theme="4" tint="0.79998168889431442"/>
      </patternFill>
    </fill>
  </fills>
  <borders count="20">
    <border>
      <left/>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ck">
        <color theme="4" tint="-0.499984740745262"/>
      </bottom>
      <diagonal/>
    </border>
    <border>
      <left style="thick">
        <color theme="4" tint="-0.499984740745262"/>
      </left>
      <right/>
      <top/>
      <bottom style="thick">
        <color theme="4" tint="-0.499984740745262"/>
      </bottom>
      <diagonal/>
    </border>
    <border>
      <left style="thick">
        <color theme="4" tint="-0.499984740745262"/>
      </left>
      <right/>
      <top/>
      <bottom/>
      <diagonal/>
    </border>
    <border>
      <left/>
      <right/>
      <top style="thick">
        <color theme="4" tint="-0.499984740745262"/>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ck">
        <color theme="4" tint="-0.499984740745262"/>
      </left>
      <right style="thin">
        <color indexed="64"/>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63">
    <xf numFmtId="0" fontId="0" fillId="0" borderId="0" xfId="0"/>
    <xf numFmtId="0" fontId="3" fillId="0" borderId="0" xfId="0" applyFont="1"/>
    <xf numFmtId="0" fontId="2" fillId="0" borderId="1" xfId="0" applyFont="1" applyBorder="1" applyAlignment="1">
      <alignment horizontal="center" vertical="top"/>
    </xf>
    <xf numFmtId="0" fontId="5" fillId="0" borderId="0" xfId="0" applyFont="1"/>
    <xf numFmtId="14" fontId="3" fillId="0" borderId="0" xfId="0" applyNumberFormat="1" applyFont="1"/>
    <xf numFmtId="164" fontId="3" fillId="0" borderId="0" xfId="0" applyNumberFormat="1" applyFont="1"/>
    <xf numFmtId="0" fontId="6" fillId="0" borderId="1" xfId="0" applyFont="1" applyBorder="1" applyAlignment="1">
      <alignment horizontal="center" vertical="top"/>
    </xf>
    <xf numFmtId="14" fontId="0" fillId="0" borderId="0" xfId="0" applyNumberFormat="1"/>
    <xf numFmtId="0" fontId="2" fillId="0" borderId="0" xfId="0" applyFont="1" applyAlignment="1">
      <alignment horizontal="center" vertical="top"/>
    </xf>
    <xf numFmtId="0" fontId="1" fillId="0" borderId="0" xfId="0" applyFont="1"/>
    <xf numFmtId="0" fontId="0" fillId="0" borderId="6" xfId="0" applyBorder="1"/>
    <xf numFmtId="0" fontId="0" fillId="0" borderId="11" xfId="0" applyBorder="1"/>
    <xf numFmtId="0" fontId="0" fillId="0" borderId="13" xfId="0" applyBorder="1"/>
    <xf numFmtId="0" fontId="0" fillId="0" borderId="12" xfId="0" applyBorder="1"/>
    <xf numFmtId="0" fontId="7" fillId="0" borderId="11" xfId="0" applyFont="1" applyBorder="1" applyAlignment="1">
      <alignment horizontal="center"/>
    </xf>
    <xf numFmtId="0" fontId="0" fillId="0" borderId="14" xfId="0" applyBorder="1"/>
    <xf numFmtId="0" fontId="0" fillId="0" borderId="2" xfId="0" applyBorder="1"/>
    <xf numFmtId="0" fontId="0" fillId="0" borderId="3" xfId="0" pivotButton="1" applyBorder="1"/>
    <xf numFmtId="0" fontId="0" fillId="0" borderId="6" xfId="0" applyBorder="1" applyAlignment="1">
      <alignment horizontal="left"/>
    </xf>
    <xf numFmtId="0" fontId="0" fillId="0" borderId="8" xfId="0" applyBorder="1" applyAlignment="1">
      <alignment horizontal="left"/>
    </xf>
    <xf numFmtId="0" fontId="0" fillId="0" borderId="18" xfId="0" applyBorder="1"/>
    <xf numFmtId="0" fontId="0" fillId="0" borderId="19" xfId="0" applyBorder="1"/>
    <xf numFmtId="165" fontId="0" fillId="0" borderId="18" xfId="0" applyNumberFormat="1" applyBorder="1"/>
    <xf numFmtId="0" fontId="0" fillId="2" borderId="2" xfId="0" applyFill="1" applyBorder="1"/>
    <xf numFmtId="3" fontId="0" fillId="2" borderId="2" xfId="0" applyNumberFormat="1" applyFill="1" applyBorder="1"/>
    <xf numFmtId="0" fontId="7" fillId="3" borderId="2" xfId="0" applyFont="1" applyFill="1" applyBorder="1"/>
    <xf numFmtId="0" fontId="0" fillId="2" borderId="0" xfId="0" applyFill="1"/>
    <xf numFmtId="166" fontId="0" fillId="2" borderId="2" xfId="0" applyNumberFormat="1" applyFill="1" applyBorder="1"/>
    <xf numFmtId="0" fontId="0" fillId="2" borderId="3" xfId="0" applyFill="1" applyBorder="1"/>
    <xf numFmtId="0" fontId="0" fillId="2" borderId="6" xfId="0" applyFill="1" applyBorder="1" applyAlignment="1">
      <alignment horizontal="left"/>
    </xf>
    <xf numFmtId="0" fontId="0" fillId="2" borderId="8" xfId="0" applyFill="1" applyBorder="1" applyAlignment="1">
      <alignment horizontal="left"/>
    </xf>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167" fontId="0" fillId="2" borderId="15" xfId="0" applyNumberFormat="1" applyFill="1" applyBorder="1"/>
    <xf numFmtId="167" fontId="0" fillId="2" borderId="17" xfId="0" applyNumberFormat="1" applyFill="1" applyBorder="1"/>
    <xf numFmtId="10" fontId="0" fillId="2" borderId="15" xfId="0" applyNumberFormat="1" applyFill="1" applyBorder="1"/>
    <xf numFmtId="10" fontId="0" fillId="2" borderId="17" xfId="0" applyNumberFormat="1" applyFill="1" applyBorder="1"/>
    <xf numFmtId="10" fontId="0" fillId="2" borderId="16" xfId="0" applyNumberFormat="1" applyFill="1" applyBorder="1"/>
    <xf numFmtId="165" fontId="0" fillId="2" borderId="15" xfId="0" applyNumberFormat="1" applyFill="1" applyBorder="1"/>
    <xf numFmtId="165" fontId="0" fillId="2" borderId="17" xfId="0" applyNumberFormat="1" applyFill="1" applyBorder="1"/>
    <xf numFmtId="165" fontId="0" fillId="2" borderId="16" xfId="0" applyNumberFormat="1" applyFill="1" applyBorder="1"/>
    <xf numFmtId="168" fontId="0" fillId="2" borderId="2" xfId="0" applyNumberFormat="1" applyFill="1" applyBorder="1"/>
    <xf numFmtId="169" fontId="0" fillId="2" borderId="0" xfId="0" applyNumberFormat="1" applyFill="1"/>
    <xf numFmtId="3" fontId="0" fillId="0" borderId="0" xfId="1" applyNumberFormat="1" applyFont="1"/>
    <xf numFmtId="0" fontId="0" fillId="0" borderId="5" xfId="0" applyBorder="1"/>
    <xf numFmtId="0" fontId="0" fillId="0" borderId="7" xfId="0" applyBorder="1"/>
    <xf numFmtId="0" fontId="0" fillId="0" borderId="6" xfId="0" pivotButton="1" applyBorder="1"/>
    <xf numFmtId="0" fontId="0" fillId="0" borderId="4" xfId="0" pivotButton="1" applyBorder="1"/>
    <xf numFmtId="0" fontId="0" fillId="0" borderId="4" xfId="0" applyBorder="1"/>
    <xf numFmtId="0" fontId="0" fillId="0" borderId="10" xfId="0" applyBorder="1"/>
    <xf numFmtId="0" fontId="0" fillId="0" borderId="15" xfId="0" applyBorder="1"/>
    <xf numFmtId="0" fontId="0" fillId="0" borderId="17" xfId="0" applyBorder="1"/>
    <xf numFmtId="0" fontId="0" fillId="0" borderId="16" xfId="0" applyBorder="1"/>
    <xf numFmtId="0" fontId="0" fillId="2" borderId="16" xfId="0" applyFill="1" applyBorder="1"/>
    <xf numFmtId="0" fontId="0" fillId="0" borderId="9" xfId="0" applyBorder="1"/>
    <xf numFmtId="0" fontId="0" fillId="0" borderId="3" xfId="0" applyBorder="1"/>
    <xf numFmtId="0" fontId="0" fillId="0" borderId="8" xfId="0" applyBorder="1"/>
    <xf numFmtId="0" fontId="0" fillId="2" borderId="8" xfId="0" applyFill="1" applyBorder="1"/>
    <xf numFmtId="0" fontId="0" fillId="2" borderId="9" xfId="0" applyFill="1" applyBorder="1"/>
    <xf numFmtId="0" fontId="0" fillId="2" borderId="10" xfId="0" applyFill="1" applyBorder="1"/>
    <xf numFmtId="0" fontId="7" fillId="0" borderId="9" xfId="0" applyFont="1" applyBorder="1" applyAlignment="1">
      <alignment horizontal="center"/>
    </xf>
  </cellXfs>
  <cellStyles count="2">
    <cellStyle name="Comma" xfId="1" builtinId="3"/>
    <cellStyle name="Normal" xfId="0" builtinId="0"/>
  </cellStyles>
  <dxfs count="223">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numFmt numFmtId="165" formatCode="&quot;₦&quot;#,##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border>
        <right/>
      </border>
    </dxf>
    <dxf>
      <border>
        <right/>
      </border>
    </dxf>
    <dxf>
      <border>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border>
    </dxf>
    <dxf>
      <border>
        <right/>
      </border>
    </dxf>
    <dxf>
      <border>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0.00"/>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border>
    </dxf>
    <dxf>
      <border>
        <right/>
      </border>
    </dxf>
    <dxf>
      <border>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00,,"/>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numFmt numFmtId="167" formatCode="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3" formatCode="#,##0"/>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ck">
          <color theme="4" tint="-0.499984740745262"/>
        </left>
      </border>
    </dxf>
    <dxf>
      <border>
        <left style="thick">
          <color theme="4" tint="-0.499984740745262"/>
        </left>
      </border>
    </dxf>
    <dxf>
      <border>
        <left style="thick">
          <color theme="4" tint="-0.499984740745262"/>
        </lef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rgb="FF000000"/>
        <name val="Calibri"/>
        <scheme val="none"/>
      </font>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rgb="FF000000"/>
        <name val="Calibri"/>
        <scheme val="none"/>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numFmt numFmtId="19" formatCode="dd/mm/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numFmt numFmtId="164" formatCode="dd/mm/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rgb="FF000000"/>
        <name val="Calibri"/>
        <scheme val="none"/>
      </font>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0" formatCode="General"/>
    </dxf>
    <dxf>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color theme="0"/>
      </font>
      <fill>
        <patternFill>
          <bgColor rgb="FF002060"/>
        </patternFill>
      </fill>
    </dxf>
    <dxf>
      <font>
        <color rgb="FF7030A0"/>
      </font>
      <fill>
        <patternFill>
          <bgColor theme="4" tint="0.59996337778862885"/>
        </patternFill>
      </fill>
    </dxf>
  </dxfs>
  <tableStyles count="2" defaultTableStyle="TableStyleMedium2" defaultPivotStyle="PivotStyleLight16">
    <tableStyle name="Slicer Style 1" pivot="0" table="0" count="0" xr9:uid="{5641D324-9281-4086-AF5A-8D5222C5AEBF}"/>
    <tableStyle name="Slicer Style 2" pivot="0" table="0" count="6" xr9:uid="{E2AA30FF-5C2B-4B31-A633-676EBE5B8A1D}">
      <tableStyleElement type="wholeTable" dxfId="222"/>
      <tableStyleElement type="headerRow" dxfId="221"/>
    </tableStyle>
  </tableStyles>
  <extLst>
    <ext xmlns:x14="http://schemas.microsoft.com/office/spreadsheetml/2009/9/main" uri="{46F421CA-312F-682f-3DD2-61675219B42D}">
      <x14:dxfs count="4">
        <dxf>
          <font>
            <color theme="0"/>
          </font>
          <fill>
            <patternFill>
              <bgColor rgb="FF002060"/>
            </patternFill>
          </fill>
        </dxf>
        <dxf>
          <font>
            <color theme="0"/>
          </font>
          <fill>
            <patternFill>
              <bgColor rgb="FF002060"/>
            </patternFill>
          </fill>
        </dxf>
        <dxf>
          <font>
            <color theme="0"/>
          </font>
          <fill>
            <patternFill>
              <bgColor theme="4" tint="0.39994506668294322"/>
            </patternFill>
          </fill>
        </dxf>
        <dxf>
          <font>
            <color theme="0"/>
          </font>
          <fill>
            <patternFill>
              <bgColor theme="4"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ivotCacheDefinition" Target="pivotCache/pivotCacheDefinition21.xml"/><Relationship Id="rId39" Type="http://schemas.openxmlformats.org/officeDocument/2006/relationships/calcChain" Target="calcChain.xml"/><Relationship Id="rId21" Type="http://schemas.openxmlformats.org/officeDocument/2006/relationships/pivotCacheDefinition" Target="pivotCache/pivotCacheDefinition16.xml"/><Relationship Id="rId34" Type="http://schemas.openxmlformats.org/officeDocument/2006/relationships/styles" Target="style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ivotCacheDefinition" Target="pivotCache/pivotCacheDefinition20.xml"/><Relationship Id="rId33" Type="http://schemas.openxmlformats.org/officeDocument/2006/relationships/connections" Target="connections.xml"/><Relationship Id="rId38"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openxmlformats.org/officeDocument/2006/relationships/theme" Target="theme/theme1.xml"/><Relationship Id="rId37"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07/relationships/slicerCache" Target="slicerCaches/slicerCache2.xml"/><Relationship Id="rId36" Type="http://schemas.openxmlformats.org/officeDocument/2006/relationships/sheetMetadata" Target="metadata.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customschemas.google.com/relationships/workbookmetadata" Target="meta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1.xml"/><Relationship Id="rId35" Type="http://schemas.openxmlformats.org/officeDocument/2006/relationships/sharedStrings" Target="sharedStrings.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[L2L UnitedHealthcare Analysis.xlsx]Pivot Table!PivotTable14</c:name>
    <c:fmtId val="11"/>
  </c:pivotSource>
  <c:chart>
    <c:title>
      <c:tx>
        <c:rich>
          <a:bodyPr rot="0" spcFirstLastPara="1" vertOverflow="ellipsis" vert="horz" wrap="square" anchor="ctr" anchorCtr="1"/>
          <a:lstStyle/>
          <a:p>
            <a:pPr algn="ctr" rtl="0">
              <a:defRPr lang="en-US" sz="1300" b="1" i="0" u="none" strike="noStrike" kern="1200" spc="0" baseline="0">
                <a:solidFill>
                  <a:srgbClr val="002060"/>
                </a:solidFill>
                <a:latin typeface="+mn-lt"/>
                <a:ea typeface="+mn-ea"/>
                <a:cs typeface="+mn-cs"/>
              </a:defRPr>
            </a:pPr>
            <a:r>
              <a:rPr lang="en-US" sz="1300" b="1" i="0" u="none" strike="noStrike" kern="1200" spc="0" baseline="0">
                <a:solidFill>
                  <a:srgbClr val="002060"/>
                </a:solidFill>
                <a:latin typeface="+mn-lt"/>
                <a:ea typeface="+mn-ea"/>
                <a:cs typeface="+mn-cs"/>
              </a:rPr>
              <a:t>Top 10 Average Claims Submission Lag Days by Providers</a:t>
            </a:r>
          </a:p>
        </c:rich>
      </c:tx>
      <c:layout>
        <c:manualLayout>
          <c:xMode val="edge"/>
          <c:yMode val="edge"/>
          <c:x val="0.13595759151207606"/>
          <c:y val="3.5883330308149883E-4"/>
        </c:manualLayout>
      </c:layout>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00206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988001340068126E-2"/>
          <c:y val="0.26832000804859418"/>
          <c:w val="0.95097300279494046"/>
          <c:h val="0.53987505181477469"/>
        </c:manualLayout>
      </c:layout>
      <c:barChart>
        <c:barDir val="col"/>
        <c:grouping val="clustered"/>
        <c:varyColors val="0"/>
        <c:ser>
          <c:idx val="0"/>
          <c:order val="0"/>
          <c:tx>
            <c:strRef>
              <c:f>'Pivot Table'!$C$13</c:f>
              <c:strCache>
                <c:ptCount val="1"/>
                <c:pt idx="0">
                  <c:v>Total</c:v>
                </c:pt>
              </c:strCache>
            </c:strRef>
          </c:tx>
          <c:spPr>
            <a:solidFill>
              <a:srgbClr val="00206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Table'!$B$14:$B$24</c:f>
              <c:strCache>
                <c:ptCount val="10"/>
                <c:pt idx="0">
                  <c:v>PRV-95</c:v>
                </c:pt>
                <c:pt idx="1">
                  <c:v>PRV-12</c:v>
                </c:pt>
                <c:pt idx="2">
                  <c:v>PRV-21</c:v>
                </c:pt>
                <c:pt idx="3">
                  <c:v>PRV-30</c:v>
                </c:pt>
                <c:pt idx="4">
                  <c:v>PRV-36</c:v>
                </c:pt>
                <c:pt idx="5">
                  <c:v>PRV-80</c:v>
                </c:pt>
                <c:pt idx="6">
                  <c:v>PRV-42</c:v>
                </c:pt>
                <c:pt idx="7">
                  <c:v>PRV-39</c:v>
                </c:pt>
                <c:pt idx="8">
                  <c:v>PRV-7</c:v>
                </c:pt>
                <c:pt idx="9">
                  <c:v>PRV-67</c:v>
                </c:pt>
              </c:strCache>
            </c:strRef>
          </c:cat>
          <c:val>
            <c:numRef>
              <c:f>'Pivot Table'!$C$14:$C$24</c:f>
              <c:numCache>
                <c:formatCode>0.0</c:formatCode>
                <c:ptCount val="10"/>
                <c:pt idx="0">
                  <c:v>31</c:v>
                </c:pt>
                <c:pt idx="1">
                  <c:v>28.2</c:v>
                </c:pt>
                <c:pt idx="2">
                  <c:v>27.4</c:v>
                </c:pt>
                <c:pt idx="3">
                  <c:v>26.333333333333332</c:v>
                </c:pt>
                <c:pt idx="4">
                  <c:v>26</c:v>
                </c:pt>
                <c:pt idx="5">
                  <c:v>25.8</c:v>
                </c:pt>
                <c:pt idx="6">
                  <c:v>25.8</c:v>
                </c:pt>
                <c:pt idx="7">
                  <c:v>25.333333333333332</c:v>
                </c:pt>
                <c:pt idx="8">
                  <c:v>25.285714285714285</c:v>
                </c:pt>
                <c:pt idx="9">
                  <c:v>25.2</c:v>
                </c:pt>
              </c:numCache>
            </c:numRef>
          </c:val>
          <c:extLst>
            <c:ext xmlns:c16="http://schemas.microsoft.com/office/drawing/2014/chart" uri="{C3380CC4-5D6E-409C-BE32-E72D297353CC}">
              <c16:uniqueId val="{00000000-E0EC-4548-A0A4-9CC1E3999DC0}"/>
            </c:ext>
          </c:extLst>
        </c:ser>
        <c:dLbls>
          <c:showLegendKey val="0"/>
          <c:showVal val="0"/>
          <c:showCatName val="0"/>
          <c:showSerName val="0"/>
          <c:showPercent val="0"/>
          <c:showBubbleSize val="0"/>
        </c:dLbls>
        <c:gapWidth val="205"/>
        <c:overlap val="-27"/>
        <c:axId val="265238495"/>
        <c:axId val="265243775"/>
      </c:barChart>
      <c:catAx>
        <c:axId val="26523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b" anchorCtr="1"/>
          <a:lstStyle/>
          <a:p>
            <a:pPr>
              <a:defRPr sz="800" b="0" i="0" u="none" strike="noStrike" kern="1200" baseline="0">
                <a:solidFill>
                  <a:schemeClr val="tx2"/>
                </a:solidFill>
                <a:latin typeface="+mn-lt"/>
                <a:ea typeface="+mn-ea"/>
                <a:cs typeface="+mn-cs"/>
              </a:defRPr>
            </a:pPr>
            <a:endParaRPr lang="en-NG"/>
          </a:p>
        </c:txPr>
        <c:crossAx val="265243775"/>
        <c:crosses val="autoZero"/>
        <c:auto val="1"/>
        <c:lblAlgn val="ctr"/>
        <c:lblOffset val="100"/>
        <c:noMultiLvlLbl val="0"/>
      </c:catAx>
      <c:valAx>
        <c:axId val="265243775"/>
        <c:scaling>
          <c:orientation val="minMax"/>
        </c:scaling>
        <c:delete val="1"/>
        <c:axPos val="l"/>
        <c:numFmt formatCode="0.0" sourceLinked="1"/>
        <c:majorTickMark val="none"/>
        <c:minorTickMark val="none"/>
        <c:tickLblPos val="nextTo"/>
        <c:crossAx val="265238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[L2L UnitedHealthcare Analysis.xlsx]Pivot Table!PivotTable15</c:name>
    <c:fmtId val="6"/>
  </c:pivotSource>
  <c:chart>
    <c:title>
      <c:tx>
        <c:rich>
          <a:bodyPr rot="0" spcFirstLastPara="1" vertOverflow="ellipsis" vert="horz" wrap="square" anchor="ctr" anchorCtr="1"/>
          <a:lstStyle/>
          <a:p>
            <a:pPr algn="ctr" rtl="0">
              <a:defRPr lang="en-US" sz="1300" b="1" i="0" u="none" strike="noStrike" kern="1200" spc="0" baseline="0">
                <a:solidFill>
                  <a:srgbClr val="002060"/>
                </a:solidFill>
                <a:latin typeface="+mn-lt"/>
                <a:ea typeface="+mn-ea"/>
                <a:cs typeface="+mn-cs"/>
              </a:defRPr>
            </a:pPr>
            <a:r>
              <a:rPr lang="en-US" sz="1300" b="1" i="0" u="none" strike="noStrike" kern="1200" spc="0" baseline="0">
                <a:solidFill>
                  <a:srgbClr val="002060"/>
                </a:solidFill>
                <a:latin typeface="+mn-lt"/>
                <a:ea typeface="+mn-ea"/>
                <a:cs typeface="+mn-cs"/>
              </a:rPr>
              <a:t>Claims MoM Growth Rate</a:t>
            </a:r>
          </a:p>
        </c:rich>
      </c:tx>
      <c:overlay val="0"/>
      <c:spPr>
        <a:noFill/>
        <a:ln>
          <a:noFill/>
        </a:ln>
        <a:effectLst/>
      </c:spPr>
    </c:title>
    <c:autoTitleDeleted val="0"/>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none"/>
        </c:marker>
        <c:dLbl>
          <c:idx val="0"/>
          <c:numFmt formatCode="0.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layout>
            <c:manualLayout>
              <c:x val="-6.5394975551166662E-2"/>
              <c:y val="5.780461739966343E-2"/>
            </c:manualLayout>
          </c:layout>
          <c:numFmt formatCode="0.0%" sourceLinked="0"/>
          <c:spPr>
            <a:noFill/>
            <a:ln>
              <a:noFill/>
            </a:ln>
            <a:effectLst/>
          </c:spPr>
          <c:txPr>
            <a:bodyPr rot="-5400000" spcFirstLastPara="1" vertOverflow="ellipsis"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marker>
          <c:symbol val="none"/>
        </c:marker>
        <c:dLbl>
          <c:idx val="0"/>
          <c:layout>
            <c:manualLayout>
              <c:x val="-2.3909853407509032E-2"/>
              <c:y val="0.10197777420900178"/>
            </c:manualLayout>
          </c:layout>
          <c:numFmt formatCode="0.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layout>
            <c:manualLayout>
              <c:x val="-6.2203812309346844E-2"/>
              <c:y val="0.13086666208690587"/>
            </c:manualLayout>
          </c:layout>
          <c:numFmt formatCode="0.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pivotFmt>
    </c:pivotFmts>
    <c:plotArea>
      <c:layout/>
      <c:lineChart>
        <c:grouping val="standard"/>
        <c:varyColors val="0"/>
        <c:ser>
          <c:idx val="0"/>
          <c:order val="0"/>
          <c:tx>
            <c:strRef>
              <c:f>'Pivot Table'!$N$32</c:f>
              <c:strCache>
                <c:ptCount val="1"/>
                <c:pt idx="0">
                  <c:v>Total</c:v>
                </c:pt>
              </c:strCache>
            </c:strRef>
          </c:tx>
          <c:spPr>
            <a:ln w="28575" cap="rnd">
              <a:solidFill>
                <a:srgbClr val="002060"/>
              </a:solidFill>
              <a:round/>
            </a:ln>
            <a:effectLst/>
          </c:spPr>
          <c:marker>
            <c:symbol val="none"/>
          </c:marker>
          <c:dPt>
            <c:idx val="2"/>
            <c:bubble3D val="0"/>
            <c:extLst>
              <c:ext xmlns:c16="http://schemas.microsoft.com/office/drawing/2014/chart" uri="{C3380CC4-5D6E-409C-BE32-E72D297353CC}">
                <c16:uniqueId val="{00000003-1EA2-4172-9953-1D360D7684D3}"/>
              </c:ext>
            </c:extLst>
          </c:dPt>
          <c:dPt>
            <c:idx val="3"/>
            <c:bubble3D val="0"/>
            <c:extLst>
              <c:ext xmlns:c16="http://schemas.microsoft.com/office/drawing/2014/chart" uri="{C3380CC4-5D6E-409C-BE32-E72D297353CC}">
                <c16:uniqueId val="{00000002-1EA2-4172-9953-1D360D7684D3}"/>
              </c:ext>
            </c:extLst>
          </c:dPt>
          <c:dPt>
            <c:idx val="9"/>
            <c:bubble3D val="0"/>
            <c:extLst>
              <c:ext xmlns:c16="http://schemas.microsoft.com/office/drawing/2014/chart" uri="{C3380CC4-5D6E-409C-BE32-E72D297353CC}">
                <c16:uniqueId val="{00000001-1EA2-4172-9953-1D360D7684D3}"/>
              </c:ext>
            </c:extLst>
          </c:dPt>
          <c:dLbls>
            <c:dLbl>
              <c:idx val="2"/>
              <c:layout>
                <c:manualLayout>
                  <c:x val="-6.2203812309346844E-2"/>
                  <c:y val="0.130866662086905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A2-4172-9953-1D360D7684D3}"/>
                </c:ext>
              </c:extLst>
            </c:dLbl>
            <c:dLbl>
              <c:idx val="3"/>
              <c:layout>
                <c:manualLayout>
                  <c:x val="-2.3909853407509032E-2"/>
                  <c:y val="0.101977774209001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A2-4172-9953-1D360D7684D3}"/>
                </c:ext>
              </c:extLst>
            </c:dLbl>
            <c:dLbl>
              <c:idx val="9"/>
              <c:layout>
                <c:manualLayout>
                  <c:x val="-6.5394975551166662E-2"/>
                  <c:y val="5.780461739966343E-2"/>
                </c:manualLayout>
              </c:layout>
              <c:numFmt formatCode="0.0%" sourceLinked="0"/>
              <c:spPr>
                <a:noFill/>
                <a:ln>
                  <a:noFill/>
                </a:ln>
                <a:effectLst/>
              </c:spPr>
              <c:txPr>
                <a:bodyPr rot="-5400000" spcFirstLastPara="1" vertOverflow="ellipsis"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1EA2-4172-9953-1D360D7684D3}"/>
                </c:ext>
              </c:extLst>
            </c:dLbl>
            <c:numFmt formatCode="0.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Table'!$M$33:$M$45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Table'!$N$33:$N$45</c:f>
              <c:numCache>
                <c:formatCode>0.00%</c:formatCode>
                <c:ptCount val="12"/>
                <c:pt idx="1">
                  <c:v>0.15725972541841027</c:v>
                </c:pt>
                <c:pt idx="2">
                  <c:v>-0.10013012142348139</c:v>
                </c:pt>
                <c:pt idx="3">
                  <c:v>-0.12183312368214663</c:v>
                </c:pt>
                <c:pt idx="4">
                  <c:v>0.12292023617253893</c:v>
                </c:pt>
                <c:pt idx="5">
                  <c:v>-1.290474292417183E-2</c:v>
                </c:pt>
                <c:pt idx="6">
                  <c:v>-5.3065714941683349E-2</c:v>
                </c:pt>
                <c:pt idx="7">
                  <c:v>-6.3461268825678614E-3</c:v>
                </c:pt>
                <c:pt idx="8">
                  <c:v>0.21352471689489247</c:v>
                </c:pt>
                <c:pt idx="9">
                  <c:v>-0.20560397456194296</c:v>
                </c:pt>
                <c:pt idx="10">
                  <c:v>0.27922940674950603</c:v>
                </c:pt>
                <c:pt idx="11">
                  <c:v>5.1653554759747006E-2</c:v>
                </c:pt>
              </c:numCache>
            </c:numRef>
          </c:val>
          <c:smooth val="0"/>
          <c:extLst>
            <c:ext xmlns:c16="http://schemas.microsoft.com/office/drawing/2014/chart" uri="{C3380CC4-5D6E-409C-BE32-E72D297353CC}">
              <c16:uniqueId val="{00000000-1EA2-4172-9953-1D360D7684D3}"/>
            </c:ext>
          </c:extLst>
        </c:ser>
        <c:dLbls>
          <c:showLegendKey val="0"/>
          <c:showVal val="0"/>
          <c:showCatName val="0"/>
          <c:showSerName val="0"/>
          <c:showPercent val="0"/>
          <c:showBubbleSize val="0"/>
        </c:dLbls>
        <c:smooth val="0"/>
        <c:axId val="265285055"/>
        <c:axId val="265285535"/>
      </c:lineChart>
      <c:catAx>
        <c:axId val="26528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NG"/>
          </a:p>
        </c:txPr>
        <c:crossAx val="265285535"/>
        <c:crosses val="autoZero"/>
        <c:auto val="1"/>
        <c:lblAlgn val="ctr"/>
        <c:lblOffset val="100"/>
        <c:noMultiLvlLbl val="0"/>
      </c:catAx>
      <c:valAx>
        <c:axId val="265285535"/>
        <c:scaling>
          <c:orientation val="minMax"/>
        </c:scaling>
        <c:delete val="1"/>
        <c:axPos val="l"/>
        <c:numFmt formatCode="0.00%" sourceLinked="1"/>
        <c:majorTickMark val="none"/>
        <c:minorTickMark val="none"/>
        <c:tickLblPos val="nextTo"/>
        <c:crossAx val="26528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[L2L UnitedHealthcare Analysis.xlsx]Pivot Table!PivotTable21</c:name>
    <c:fmtId val="12"/>
  </c:pivotSource>
  <c:chart>
    <c:title>
      <c:tx>
        <c:rich>
          <a:bodyPr rot="0" spcFirstLastPara="1" vertOverflow="ellipsis" vert="horz" wrap="square" anchor="ctr" anchorCtr="0"/>
          <a:lstStyle/>
          <a:p>
            <a:pPr algn="ctr" rtl="0">
              <a:defRPr lang="en-US" sz="1300" b="1" i="0" u="none" strike="noStrike" kern="1200" spc="0" baseline="0">
                <a:solidFill>
                  <a:srgbClr val="002060"/>
                </a:solidFill>
                <a:latin typeface="+mn-lt"/>
                <a:ea typeface="+mn-ea"/>
                <a:cs typeface="+mn-cs"/>
              </a:defRPr>
            </a:pPr>
            <a:r>
              <a:rPr lang="en-US" sz="1300" b="1" i="0" u="none" strike="noStrike" kern="1200" spc="0" baseline="0">
                <a:solidFill>
                  <a:srgbClr val="002060"/>
                </a:solidFill>
                <a:latin typeface="+mn-lt"/>
                <a:ea typeface="+mn-ea"/>
                <a:cs typeface="+mn-cs"/>
              </a:rPr>
              <a:t>Top 10 Claim Submission by Fraud Flag</a:t>
            </a:r>
          </a:p>
        </c:rich>
      </c:tx>
      <c:layout>
        <c:manualLayout>
          <c:xMode val="edge"/>
          <c:yMode val="edge"/>
          <c:x val="0.22296052615097614"/>
          <c:y val="2.0535604620305611E-2"/>
        </c:manualLayout>
      </c:layout>
      <c:overlay val="0"/>
      <c:spPr>
        <a:noFill/>
        <a:ln>
          <a:noFill/>
        </a:ln>
        <a:effectLst/>
      </c:spPr>
      <c:txPr>
        <a:bodyPr rot="0" spcFirstLastPara="1" vertOverflow="ellipsis" vert="horz" wrap="square" anchor="ctr" anchorCtr="0"/>
        <a:lstStyle/>
        <a:p>
          <a:pPr algn="ctr" rtl="0">
            <a:defRPr lang="en-US" sz="1300" b="1" i="0" u="none" strike="noStrike" kern="1200" spc="0" baseline="0">
              <a:solidFill>
                <a:srgbClr val="002060"/>
              </a:solidFill>
              <a:latin typeface="+mn-lt"/>
              <a:ea typeface="+mn-ea"/>
              <a:cs typeface="+mn-cs"/>
            </a:defRPr>
          </a:pPr>
          <a:endParaRPr lang="en-NG"/>
        </a:p>
      </c:txPr>
    </c:title>
    <c:autoTitleDeleted val="0"/>
    <c:pivotFmts>
      <c:pivotFmt>
        <c:idx val="0"/>
        <c:spPr>
          <a:solidFill>
            <a:srgbClr val="7030A0"/>
          </a:solidFill>
          <a:ln>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pivotFmt>
      <c:pivotFmt>
        <c:idx val="3"/>
        <c:spPr>
          <a:solidFill>
            <a:srgbClr val="7030A0"/>
          </a:solidFill>
          <a:ln>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3353770396726111"/>
          <c:w val="0.84369006999125107"/>
          <c:h val="0.81645365422441041"/>
        </c:manualLayout>
      </c:layout>
      <c:barChart>
        <c:barDir val="col"/>
        <c:grouping val="clustered"/>
        <c:varyColors val="0"/>
        <c:ser>
          <c:idx val="0"/>
          <c:order val="0"/>
          <c:tx>
            <c:strRef>
              <c:f>'Pivot Table'!$H$28:$H$29</c:f>
              <c:strCache>
                <c:ptCount val="1"/>
                <c:pt idx="0">
                  <c:v>No</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Table'!$G$30:$G$40</c:f>
              <c:strCache>
                <c:ptCount val="10"/>
                <c:pt idx="0">
                  <c:v>PRV-49</c:v>
                </c:pt>
                <c:pt idx="1">
                  <c:v>PRV-19</c:v>
                </c:pt>
                <c:pt idx="2">
                  <c:v>PRV-34</c:v>
                </c:pt>
                <c:pt idx="3">
                  <c:v>PRV-56</c:v>
                </c:pt>
                <c:pt idx="4">
                  <c:v>PRV-58</c:v>
                </c:pt>
                <c:pt idx="5">
                  <c:v>PRV-65</c:v>
                </c:pt>
                <c:pt idx="6">
                  <c:v>PRV-71</c:v>
                </c:pt>
                <c:pt idx="7">
                  <c:v>PRV-86</c:v>
                </c:pt>
                <c:pt idx="8">
                  <c:v>PRV-88</c:v>
                </c:pt>
                <c:pt idx="9">
                  <c:v>PRV-59</c:v>
                </c:pt>
              </c:strCache>
            </c:strRef>
          </c:cat>
          <c:val>
            <c:numRef>
              <c:f>'Pivot Table'!$H$30:$H$40</c:f>
              <c:numCache>
                <c:formatCode>General</c:formatCode>
                <c:ptCount val="10"/>
                <c:pt idx="0">
                  <c:v>2</c:v>
                </c:pt>
                <c:pt idx="1">
                  <c:v>5</c:v>
                </c:pt>
                <c:pt idx="2">
                  <c:v>3</c:v>
                </c:pt>
                <c:pt idx="3">
                  <c:v>4</c:v>
                </c:pt>
                <c:pt idx="4">
                  <c:v>5</c:v>
                </c:pt>
                <c:pt idx="5">
                  <c:v>5</c:v>
                </c:pt>
                <c:pt idx="6">
                  <c:v>4</c:v>
                </c:pt>
                <c:pt idx="7">
                  <c:v>5</c:v>
                </c:pt>
                <c:pt idx="8">
                  <c:v>6</c:v>
                </c:pt>
                <c:pt idx="9">
                  <c:v>3</c:v>
                </c:pt>
              </c:numCache>
            </c:numRef>
          </c:val>
          <c:extLst>
            <c:ext xmlns:c16="http://schemas.microsoft.com/office/drawing/2014/chart" uri="{C3380CC4-5D6E-409C-BE32-E72D297353CC}">
              <c16:uniqueId val="{00000000-A170-468B-8FCC-38AC8E274444}"/>
            </c:ext>
          </c:extLst>
        </c:ser>
        <c:ser>
          <c:idx val="1"/>
          <c:order val="1"/>
          <c:tx>
            <c:strRef>
              <c:f>'Pivot Table'!$I$28:$I$29</c:f>
              <c:strCache>
                <c:ptCount val="1"/>
                <c:pt idx="0">
                  <c:v>Pending</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Table'!$G$30:$G$40</c:f>
              <c:strCache>
                <c:ptCount val="10"/>
                <c:pt idx="0">
                  <c:v>PRV-49</c:v>
                </c:pt>
                <c:pt idx="1">
                  <c:v>PRV-19</c:v>
                </c:pt>
                <c:pt idx="2">
                  <c:v>PRV-34</c:v>
                </c:pt>
                <c:pt idx="3">
                  <c:v>PRV-56</c:v>
                </c:pt>
                <c:pt idx="4">
                  <c:v>PRV-58</c:v>
                </c:pt>
                <c:pt idx="5">
                  <c:v>PRV-65</c:v>
                </c:pt>
                <c:pt idx="6">
                  <c:v>PRV-71</c:v>
                </c:pt>
                <c:pt idx="7">
                  <c:v>PRV-86</c:v>
                </c:pt>
                <c:pt idx="8">
                  <c:v>PRV-88</c:v>
                </c:pt>
                <c:pt idx="9">
                  <c:v>PRV-59</c:v>
                </c:pt>
              </c:strCache>
            </c:strRef>
          </c:cat>
          <c:val>
            <c:numRef>
              <c:f>'Pivot Table'!$I$30:$I$40</c:f>
              <c:numCache>
                <c:formatCode>General</c:formatCode>
                <c:ptCount val="10"/>
                <c:pt idx="0">
                  <c:v>3</c:v>
                </c:pt>
                <c:pt idx="1">
                  <c:v>2</c:v>
                </c:pt>
                <c:pt idx="2">
                  <c:v>3</c:v>
                </c:pt>
                <c:pt idx="3">
                  <c:v>2</c:v>
                </c:pt>
                <c:pt idx="4">
                  <c:v>2</c:v>
                </c:pt>
                <c:pt idx="6">
                  <c:v>1</c:v>
                </c:pt>
                <c:pt idx="7">
                  <c:v>1</c:v>
                </c:pt>
                <c:pt idx="8">
                  <c:v>1</c:v>
                </c:pt>
                <c:pt idx="9">
                  <c:v>2</c:v>
                </c:pt>
              </c:numCache>
            </c:numRef>
          </c:val>
          <c:extLst>
            <c:ext xmlns:c16="http://schemas.microsoft.com/office/drawing/2014/chart" uri="{C3380CC4-5D6E-409C-BE32-E72D297353CC}">
              <c16:uniqueId val="{00000001-5020-458B-90FE-B6C006871FE9}"/>
            </c:ext>
          </c:extLst>
        </c:ser>
        <c:ser>
          <c:idx val="2"/>
          <c:order val="2"/>
          <c:tx>
            <c:strRef>
              <c:f>'Pivot Table'!$J$28:$J$29</c:f>
              <c:strCache>
                <c:ptCount val="1"/>
                <c:pt idx="0">
                  <c:v>Yes</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Table'!$G$30:$G$40</c:f>
              <c:strCache>
                <c:ptCount val="10"/>
                <c:pt idx="0">
                  <c:v>PRV-49</c:v>
                </c:pt>
                <c:pt idx="1">
                  <c:v>PRV-19</c:v>
                </c:pt>
                <c:pt idx="2">
                  <c:v>PRV-34</c:v>
                </c:pt>
                <c:pt idx="3">
                  <c:v>PRV-56</c:v>
                </c:pt>
                <c:pt idx="4">
                  <c:v>PRV-58</c:v>
                </c:pt>
                <c:pt idx="5">
                  <c:v>PRV-65</c:v>
                </c:pt>
                <c:pt idx="6">
                  <c:v>PRV-71</c:v>
                </c:pt>
                <c:pt idx="7">
                  <c:v>PRV-86</c:v>
                </c:pt>
                <c:pt idx="8">
                  <c:v>PRV-88</c:v>
                </c:pt>
                <c:pt idx="9">
                  <c:v>PRV-59</c:v>
                </c:pt>
              </c:strCache>
            </c:strRef>
          </c:cat>
          <c:val>
            <c:numRef>
              <c:f>'Pivot Table'!$J$30:$J$40</c:f>
              <c:numCache>
                <c:formatCode>General</c:formatCode>
                <c:ptCount val="10"/>
                <c:pt idx="0">
                  <c:v>4</c:v>
                </c:pt>
                <c:pt idx="1">
                  <c:v>1</c:v>
                </c:pt>
                <c:pt idx="2">
                  <c:v>2</c:v>
                </c:pt>
                <c:pt idx="3">
                  <c:v>3</c:v>
                </c:pt>
                <c:pt idx="4">
                  <c:v>2</c:v>
                </c:pt>
                <c:pt idx="5">
                  <c:v>4</c:v>
                </c:pt>
                <c:pt idx="6">
                  <c:v>4</c:v>
                </c:pt>
                <c:pt idx="7">
                  <c:v>3</c:v>
                </c:pt>
                <c:pt idx="8">
                  <c:v>4</c:v>
                </c:pt>
                <c:pt idx="9">
                  <c:v>3</c:v>
                </c:pt>
              </c:numCache>
            </c:numRef>
          </c:val>
          <c:extLst>
            <c:ext xmlns:c16="http://schemas.microsoft.com/office/drawing/2014/chart" uri="{C3380CC4-5D6E-409C-BE32-E72D297353CC}">
              <c16:uniqueId val="{00000002-5020-458B-90FE-B6C006871FE9}"/>
            </c:ext>
          </c:extLst>
        </c:ser>
        <c:dLbls>
          <c:showLegendKey val="0"/>
          <c:showVal val="0"/>
          <c:showCatName val="0"/>
          <c:showSerName val="0"/>
          <c:showPercent val="0"/>
          <c:showBubbleSize val="0"/>
        </c:dLbls>
        <c:gapWidth val="219"/>
        <c:axId val="419168351"/>
        <c:axId val="419169791"/>
      </c:barChart>
      <c:catAx>
        <c:axId val="419168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0" i="0" u="none" strike="noStrike" kern="1200" baseline="0">
                <a:solidFill>
                  <a:schemeClr val="tx2"/>
                </a:solidFill>
                <a:latin typeface="+mn-lt"/>
                <a:ea typeface="+mn-ea"/>
                <a:cs typeface="+mn-cs"/>
              </a:defRPr>
            </a:pPr>
            <a:endParaRPr lang="en-NG"/>
          </a:p>
        </c:txPr>
        <c:crossAx val="419169791"/>
        <c:crosses val="autoZero"/>
        <c:auto val="1"/>
        <c:lblAlgn val="ctr"/>
        <c:lblOffset val="100"/>
        <c:noMultiLvlLbl val="0"/>
      </c:catAx>
      <c:valAx>
        <c:axId val="419169791"/>
        <c:scaling>
          <c:orientation val="minMax"/>
          <c:max val="7"/>
        </c:scaling>
        <c:delete val="1"/>
        <c:axPos val="l"/>
        <c:numFmt formatCode="General" sourceLinked="1"/>
        <c:majorTickMark val="none"/>
        <c:minorTickMark val="none"/>
        <c:tickLblPos val="nextTo"/>
        <c:crossAx val="419168351"/>
        <c:crosses val="autoZero"/>
        <c:crossBetween val="between"/>
      </c:valAx>
      <c:spPr>
        <a:noFill/>
        <a:ln>
          <a:noFill/>
        </a:ln>
        <a:effectLst/>
      </c:spPr>
    </c:plotArea>
    <c:legend>
      <c:legendPos val="tr"/>
      <c:layout>
        <c:manualLayout>
          <c:xMode val="edge"/>
          <c:yMode val="edge"/>
          <c:x val="0.89670003265062082"/>
          <c:y val="0.3241146634328449"/>
          <c:w val="9.8749339263331862E-2"/>
          <c:h val="0.23825721338899106"/>
        </c:manualLayout>
      </c:layout>
      <c:overlay val="0"/>
      <c:spPr>
        <a:noFill/>
        <a:ln>
          <a:noFill/>
        </a:ln>
        <a:effectLst/>
      </c:spPr>
      <c:txPr>
        <a:bodyPr rot="0" spcFirstLastPara="1" vertOverflow="ellipsis" vert="horz" wrap="square" anchor="ctr" anchorCtr="1"/>
        <a:lstStyle/>
        <a:p>
          <a:pPr algn="ctr" rtl="0">
            <a:defRPr lang="en-US" sz="700" b="1" i="0" u="none" strike="noStrike" kern="1200" spc="0" baseline="0">
              <a:solidFill>
                <a:srgbClr val="002060"/>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[L2L UnitedHealthcare Analysis.xlsx]Pivot Table!PivotTable16</c:name>
    <c:fmtId val="14"/>
  </c:pivotSource>
  <c:chart>
    <c:title>
      <c:tx>
        <c:rich>
          <a:bodyPr rot="0" spcFirstLastPara="1" vertOverflow="ellipsis" vert="horz" wrap="square" anchor="ctr" anchorCtr="1"/>
          <a:lstStyle/>
          <a:p>
            <a:pPr algn="ctr" rtl="0">
              <a:defRPr lang="en-US" sz="1300" b="1" i="0" u="none" strike="noStrike" kern="1200" spc="0" baseline="0">
                <a:solidFill>
                  <a:srgbClr val="002060"/>
                </a:solidFill>
                <a:latin typeface="+mn-lt"/>
                <a:ea typeface="+mn-ea"/>
                <a:cs typeface="+mn-cs"/>
              </a:defRPr>
            </a:pPr>
            <a:r>
              <a:rPr lang="en-US" sz="1300" b="1" i="0" u="none" strike="noStrike" kern="1200" spc="0" baseline="0">
                <a:solidFill>
                  <a:srgbClr val="002060"/>
                </a:solidFill>
                <a:latin typeface="+mn-lt"/>
                <a:ea typeface="+mn-ea"/>
                <a:cs typeface="+mn-cs"/>
              </a:rPr>
              <a:t>Top 10 Provider Claim Submission by Claim Status</a:t>
            </a:r>
          </a:p>
        </c:rich>
      </c:tx>
      <c:layout>
        <c:manualLayout>
          <c:xMode val="edge"/>
          <c:yMode val="edge"/>
          <c:x val="0.10388520749665328"/>
          <c:y val="6.7524366471734872E-3"/>
        </c:manualLayout>
      </c:layout>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rgbClr val="002060"/>
              </a:solidFill>
              <a:latin typeface="+mn-lt"/>
              <a:ea typeface="+mn-ea"/>
              <a:cs typeface="+mn-cs"/>
            </a:defRPr>
          </a:pPr>
          <a:endParaRPr lang="en-NG"/>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343567251461991E-2"/>
          <c:y val="0.29002046783625729"/>
          <c:w val="0.85703503630059574"/>
          <c:h val="0.48501559454191034"/>
        </c:manualLayout>
      </c:layout>
      <c:barChart>
        <c:barDir val="col"/>
        <c:grouping val="stacked"/>
        <c:varyColors val="0"/>
        <c:ser>
          <c:idx val="0"/>
          <c:order val="0"/>
          <c:tx>
            <c:strRef>
              <c:f>'Pivot Table'!$F$13:$F$14</c:f>
              <c:strCache>
                <c:ptCount val="1"/>
                <c:pt idx="0">
                  <c:v>Approved</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Table'!$E$15:$E$25</c:f>
              <c:strCache>
                <c:ptCount val="10"/>
                <c:pt idx="0">
                  <c:v>PRV-88</c:v>
                </c:pt>
                <c:pt idx="1">
                  <c:v>PRV-71</c:v>
                </c:pt>
                <c:pt idx="2">
                  <c:v>PRV-65</c:v>
                </c:pt>
                <c:pt idx="3">
                  <c:v>PRV-49</c:v>
                </c:pt>
                <c:pt idx="4">
                  <c:v>PRV-86</c:v>
                </c:pt>
                <c:pt idx="5">
                  <c:v>PRV-56</c:v>
                </c:pt>
                <c:pt idx="6">
                  <c:v>PRV-58</c:v>
                </c:pt>
                <c:pt idx="7">
                  <c:v>PRV-19</c:v>
                </c:pt>
                <c:pt idx="8">
                  <c:v>PRV-34</c:v>
                </c:pt>
                <c:pt idx="9">
                  <c:v>PRV-59</c:v>
                </c:pt>
              </c:strCache>
            </c:strRef>
          </c:cat>
          <c:val>
            <c:numRef>
              <c:f>'Pivot Table'!$F$15:$F$25</c:f>
              <c:numCache>
                <c:formatCode>General</c:formatCode>
                <c:ptCount val="10"/>
                <c:pt idx="0">
                  <c:v>5</c:v>
                </c:pt>
                <c:pt idx="1">
                  <c:v>2</c:v>
                </c:pt>
                <c:pt idx="2">
                  <c:v>6</c:v>
                </c:pt>
                <c:pt idx="3">
                  <c:v>5</c:v>
                </c:pt>
                <c:pt idx="4">
                  <c:v>3</c:v>
                </c:pt>
                <c:pt idx="5">
                  <c:v>3</c:v>
                </c:pt>
                <c:pt idx="6">
                  <c:v>2</c:v>
                </c:pt>
                <c:pt idx="7">
                  <c:v>2</c:v>
                </c:pt>
                <c:pt idx="8">
                  <c:v>4</c:v>
                </c:pt>
                <c:pt idx="9">
                  <c:v>2</c:v>
                </c:pt>
              </c:numCache>
            </c:numRef>
          </c:val>
          <c:extLst>
            <c:ext xmlns:c16="http://schemas.microsoft.com/office/drawing/2014/chart" uri="{C3380CC4-5D6E-409C-BE32-E72D297353CC}">
              <c16:uniqueId val="{00000000-1852-4191-B463-B1614BE6288C}"/>
            </c:ext>
          </c:extLst>
        </c:ser>
        <c:ser>
          <c:idx val="1"/>
          <c:order val="1"/>
          <c:tx>
            <c:strRef>
              <c:f>'Pivot Table'!$G$13:$G$14</c:f>
              <c:strCache>
                <c:ptCount val="1"/>
                <c:pt idx="0">
                  <c:v>Pending</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Table'!$E$15:$E$25</c:f>
              <c:strCache>
                <c:ptCount val="10"/>
                <c:pt idx="0">
                  <c:v>PRV-88</c:v>
                </c:pt>
                <c:pt idx="1">
                  <c:v>PRV-71</c:v>
                </c:pt>
                <c:pt idx="2">
                  <c:v>PRV-65</c:v>
                </c:pt>
                <c:pt idx="3">
                  <c:v>PRV-49</c:v>
                </c:pt>
                <c:pt idx="4">
                  <c:v>PRV-86</c:v>
                </c:pt>
                <c:pt idx="5">
                  <c:v>PRV-56</c:v>
                </c:pt>
                <c:pt idx="6">
                  <c:v>PRV-58</c:v>
                </c:pt>
                <c:pt idx="7">
                  <c:v>PRV-19</c:v>
                </c:pt>
                <c:pt idx="8">
                  <c:v>PRV-34</c:v>
                </c:pt>
                <c:pt idx="9">
                  <c:v>PRV-59</c:v>
                </c:pt>
              </c:strCache>
            </c:strRef>
          </c:cat>
          <c:val>
            <c:numRef>
              <c:f>'Pivot Table'!$G$15:$G$25</c:f>
              <c:numCache>
                <c:formatCode>General</c:formatCode>
                <c:ptCount val="10"/>
                <c:pt idx="0">
                  <c:v>3</c:v>
                </c:pt>
                <c:pt idx="1">
                  <c:v>3</c:v>
                </c:pt>
                <c:pt idx="2">
                  <c:v>1</c:v>
                </c:pt>
                <c:pt idx="3">
                  <c:v>1</c:v>
                </c:pt>
                <c:pt idx="4">
                  <c:v>2</c:v>
                </c:pt>
                <c:pt idx="5">
                  <c:v>3</c:v>
                </c:pt>
                <c:pt idx="7">
                  <c:v>2</c:v>
                </c:pt>
                <c:pt idx="8">
                  <c:v>2</c:v>
                </c:pt>
              </c:numCache>
            </c:numRef>
          </c:val>
          <c:extLst>
            <c:ext xmlns:c16="http://schemas.microsoft.com/office/drawing/2014/chart" uri="{C3380CC4-5D6E-409C-BE32-E72D297353CC}">
              <c16:uniqueId val="{00000001-016F-4C23-9CED-B696B33614EB}"/>
            </c:ext>
          </c:extLst>
        </c:ser>
        <c:ser>
          <c:idx val="2"/>
          <c:order val="2"/>
          <c:tx>
            <c:strRef>
              <c:f>'Pivot Table'!$H$13:$H$14</c:f>
              <c:strCache>
                <c:ptCount val="1"/>
                <c:pt idx="0">
                  <c:v>Rejected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Table'!$E$15:$E$25</c:f>
              <c:strCache>
                <c:ptCount val="10"/>
                <c:pt idx="0">
                  <c:v>PRV-88</c:v>
                </c:pt>
                <c:pt idx="1">
                  <c:v>PRV-71</c:v>
                </c:pt>
                <c:pt idx="2">
                  <c:v>PRV-65</c:v>
                </c:pt>
                <c:pt idx="3">
                  <c:v>PRV-49</c:v>
                </c:pt>
                <c:pt idx="4">
                  <c:v>PRV-86</c:v>
                </c:pt>
                <c:pt idx="5">
                  <c:v>PRV-56</c:v>
                </c:pt>
                <c:pt idx="6">
                  <c:v>PRV-58</c:v>
                </c:pt>
                <c:pt idx="7">
                  <c:v>PRV-19</c:v>
                </c:pt>
                <c:pt idx="8">
                  <c:v>PRV-34</c:v>
                </c:pt>
                <c:pt idx="9">
                  <c:v>PRV-59</c:v>
                </c:pt>
              </c:strCache>
            </c:strRef>
          </c:cat>
          <c:val>
            <c:numRef>
              <c:f>'Pivot Table'!$H$15:$H$25</c:f>
              <c:numCache>
                <c:formatCode>General</c:formatCode>
                <c:ptCount val="10"/>
                <c:pt idx="0">
                  <c:v>3</c:v>
                </c:pt>
                <c:pt idx="1">
                  <c:v>4</c:v>
                </c:pt>
                <c:pt idx="2">
                  <c:v>2</c:v>
                </c:pt>
                <c:pt idx="3">
                  <c:v>3</c:v>
                </c:pt>
                <c:pt idx="4">
                  <c:v>4</c:v>
                </c:pt>
                <c:pt idx="5">
                  <c:v>3</c:v>
                </c:pt>
                <c:pt idx="6">
                  <c:v>7</c:v>
                </c:pt>
                <c:pt idx="7">
                  <c:v>4</c:v>
                </c:pt>
                <c:pt idx="8">
                  <c:v>2</c:v>
                </c:pt>
                <c:pt idx="9">
                  <c:v>6</c:v>
                </c:pt>
              </c:numCache>
            </c:numRef>
          </c:val>
          <c:extLst>
            <c:ext xmlns:c16="http://schemas.microsoft.com/office/drawing/2014/chart" uri="{C3380CC4-5D6E-409C-BE32-E72D297353CC}">
              <c16:uniqueId val="{00000002-016F-4C23-9CED-B696B33614EB}"/>
            </c:ext>
          </c:extLst>
        </c:ser>
        <c:dLbls>
          <c:showLegendKey val="0"/>
          <c:showVal val="0"/>
          <c:showCatName val="0"/>
          <c:showSerName val="0"/>
          <c:showPercent val="0"/>
          <c:showBubbleSize val="0"/>
        </c:dLbls>
        <c:gapWidth val="150"/>
        <c:overlap val="100"/>
        <c:axId val="265250015"/>
        <c:axId val="265224095"/>
      </c:barChart>
      <c:catAx>
        <c:axId val="26525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chemeClr val="tx2"/>
                </a:solidFill>
                <a:latin typeface="+mn-lt"/>
                <a:ea typeface="+mn-ea"/>
                <a:cs typeface="+mn-cs"/>
              </a:defRPr>
            </a:pPr>
            <a:endParaRPr lang="en-NG"/>
          </a:p>
        </c:txPr>
        <c:crossAx val="265224095"/>
        <c:crosses val="autoZero"/>
        <c:auto val="1"/>
        <c:lblAlgn val="ctr"/>
        <c:lblOffset val="100"/>
        <c:noMultiLvlLbl val="0"/>
      </c:catAx>
      <c:valAx>
        <c:axId val="265224095"/>
        <c:scaling>
          <c:orientation val="minMax"/>
          <c:max val="10"/>
        </c:scaling>
        <c:delete val="1"/>
        <c:axPos val="l"/>
        <c:numFmt formatCode="General" sourceLinked="1"/>
        <c:majorTickMark val="none"/>
        <c:minorTickMark val="none"/>
        <c:tickLblPos val="nextTo"/>
        <c:crossAx val="265250015"/>
        <c:crosses val="autoZero"/>
        <c:crossBetween val="between"/>
      </c:valAx>
      <c:spPr>
        <a:noFill/>
        <a:ln>
          <a:noFill/>
        </a:ln>
        <a:effectLst/>
      </c:spPr>
    </c:plotArea>
    <c:legend>
      <c:legendPos val="t"/>
      <c:layout>
        <c:manualLayout>
          <c:xMode val="edge"/>
          <c:yMode val="edge"/>
          <c:x val="0.43401840696117805"/>
          <c:y val="0.18480604288499025"/>
          <c:w val="0.48958100864451271"/>
          <c:h val="8.5912316898014943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2"/>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[L2L UnitedHealthcare Analysis.xlsx]Pivot Table!PivotTable17</c:name>
    <c:fmtId val="3"/>
  </c:pivotSource>
  <c:chart>
    <c:title>
      <c:tx>
        <c:rich>
          <a:bodyPr rot="0" spcFirstLastPara="1" vertOverflow="ellipsis" vert="horz" wrap="square" anchor="ctr" anchorCtr="1"/>
          <a:lstStyle/>
          <a:p>
            <a:pPr algn="ctr" rtl="0">
              <a:defRPr lang="en-US" sz="1300" b="1" i="0" u="none" strike="noStrike" kern="1200" spc="0" baseline="0">
                <a:solidFill>
                  <a:srgbClr val="002060"/>
                </a:solidFill>
                <a:latin typeface="+mn-lt"/>
                <a:ea typeface="+mn-ea"/>
                <a:cs typeface="+mn-cs"/>
              </a:defRPr>
            </a:pPr>
            <a:r>
              <a:rPr lang="en-US" sz="1300" b="1" i="0" u="none" strike="noStrike" kern="1200" spc="0" baseline="0">
                <a:solidFill>
                  <a:srgbClr val="002060"/>
                </a:solidFill>
                <a:latin typeface="+mn-lt"/>
                <a:ea typeface="+mn-ea"/>
                <a:cs typeface="+mn-cs"/>
              </a:rPr>
              <a:t>Top 10 Providers by Claim Amount Submission</a:t>
            </a:r>
          </a:p>
        </c:rich>
      </c:tx>
      <c:layout>
        <c:manualLayout>
          <c:xMode val="edge"/>
          <c:yMode val="edge"/>
          <c:x val="0.16737510104331552"/>
          <c:y val="0"/>
        </c:manualLayout>
      </c:layout>
      <c:overlay val="0"/>
      <c:spPr>
        <a:noFill/>
        <a:ln>
          <a:noFill/>
        </a:ln>
        <a:effectLst/>
      </c:spPr>
      <c:txPr>
        <a:bodyPr rot="0" spcFirstLastPara="1" vertOverflow="ellipsis" vert="horz" wrap="square" anchor="ctr" anchorCtr="1"/>
        <a:lstStyle/>
        <a:p>
          <a:pPr algn="ctr" rtl="0">
            <a:defRPr lang="en-US" sz="1300" b="1" i="0" u="none" strike="noStrike" kern="1200" spc="0" baseline="0">
              <a:solidFill>
                <a:srgbClr val="002060"/>
              </a:solidFill>
              <a:latin typeface="+mn-lt"/>
              <a:ea typeface="+mn-ea"/>
              <a:cs typeface="+mn-cs"/>
            </a:defRPr>
          </a:pPr>
          <a:endParaRPr lang="en-NG"/>
        </a:p>
      </c:txPr>
    </c:title>
    <c:autoTitleDeleted val="0"/>
    <c:pivotFmts>
      <c:pivotFmt>
        <c:idx val="0"/>
        <c:spPr>
          <a:solidFill>
            <a:srgbClr val="002060"/>
          </a:solidFill>
          <a:ln>
            <a:noFill/>
          </a:ln>
          <a:effectLst/>
        </c:spPr>
        <c:dLbl>
          <c:idx val="0"/>
          <c:spPr>
            <a:noFill/>
            <a:ln>
              <a:noFill/>
            </a:ln>
            <a:effectLst/>
          </c:spPr>
          <c:txPr>
            <a:bodyPr rot="-5400000" spcFirstLastPara="1" vertOverflow="ellipsis" vert="horz" wrap="square" lIns="38100" tIns="19050" rIns="38100" bIns="19050" anchor="ctr" anchorCtr="1">
              <a:spAutoFit/>
            </a:bodyPr>
            <a:lstStyle/>
            <a:p>
              <a:pPr>
                <a:defRPr sz="700" b="0" i="0" u="none" strike="noStrike" kern="1200" baseline="0">
                  <a:solidFill>
                    <a:schemeClr val="tx2"/>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02060"/>
          </a:solidFill>
          <a:ln>
            <a:noFill/>
          </a:ln>
          <a:effectLst/>
        </c:spPr>
        <c:dLbl>
          <c:idx val="0"/>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chemeClr val="tx2"/>
                  </a:solidFill>
                  <a:latin typeface="+mn-lt"/>
                  <a:ea typeface="+mn-ea"/>
                  <a:cs typeface="+mn-cs"/>
                </a:defRPr>
              </a:pPr>
              <a:endParaRPr lang="en-NG"/>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699797608646148E-2"/>
          <c:y val="0.19633468751661901"/>
          <c:w val="0.92260040478270766"/>
          <c:h val="0.61955526986938336"/>
        </c:manualLayout>
      </c:layout>
      <c:barChart>
        <c:barDir val="col"/>
        <c:grouping val="clustered"/>
        <c:varyColors val="0"/>
        <c:ser>
          <c:idx val="0"/>
          <c:order val="0"/>
          <c:tx>
            <c:strRef>
              <c:f>'Pivot Table'!$D$30</c:f>
              <c:strCache>
                <c:ptCount val="1"/>
                <c:pt idx="0">
                  <c:v>Total</c:v>
                </c:pt>
              </c:strCache>
            </c:strRef>
          </c:tx>
          <c:spPr>
            <a:solidFill>
              <a:srgbClr val="00206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chemeClr val="tx2"/>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Table'!$C$31:$C$41</c:f>
              <c:strCache>
                <c:ptCount val="10"/>
                <c:pt idx="0">
                  <c:v>PRV-19</c:v>
                </c:pt>
                <c:pt idx="1">
                  <c:v>PRV-34</c:v>
                </c:pt>
                <c:pt idx="2">
                  <c:v>PRV-49</c:v>
                </c:pt>
                <c:pt idx="3">
                  <c:v>PRV-56</c:v>
                </c:pt>
                <c:pt idx="4">
                  <c:v>PRV-58</c:v>
                </c:pt>
                <c:pt idx="5">
                  <c:v>PRV-65</c:v>
                </c:pt>
                <c:pt idx="6">
                  <c:v>PRV-71</c:v>
                </c:pt>
                <c:pt idx="7">
                  <c:v>PRV-83</c:v>
                </c:pt>
                <c:pt idx="8">
                  <c:v>PRV-86</c:v>
                </c:pt>
                <c:pt idx="9">
                  <c:v>PRV-88</c:v>
                </c:pt>
              </c:strCache>
            </c:strRef>
          </c:cat>
          <c:val>
            <c:numRef>
              <c:f>'Pivot Table'!$D$31:$D$41</c:f>
              <c:numCache>
                <c:formatCode>"₦"#,##0.00</c:formatCode>
                <c:ptCount val="10"/>
                <c:pt idx="0">
                  <c:v>21615.55</c:v>
                </c:pt>
                <c:pt idx="1">
                  <c:v>22923.01</c:v>
                </c:pt>
                <c:pt idx="2">
                  <c:v>22299.71</c:v>
                </c:pt>
                <c:pt idx="3">
                  <c:v>20505.05</c:v>
                </c:pt>
                <c:pt idx="4">
                  <c:v>20056.330000000002</c:v>
                </c:pt>
                <c:pt idx="5">
                  <c:v>22031.52</c:v>
                </c:pt>
                <c:pt idx="6">
                  <c:v>21777.64</c:v>
                </c:pt>
                <c:pt idx="7">
                  <c:v>20949.75</c:v>
                </c:pt>
                <c:pt idx="8">
                  <c:v>30150.03</c:v>
                </c:pt>
                <c:pt idx="9">
                  <c:v>25821.34</c:v>
                </c:pt>
              </c:numCache>
            </c:numRef>
          </c:val>
          <c:extLst>
            <c:ext xmlns:c16="http://schemas.microsoft.com/office/drawing/2014/chart" uri="{C3380CC4-5D6E-409C-BE32-E72D297353CC}">
              <c16:uniqueId val="{00000000-0F32-4AE3-999B-5F210803DCE9}"/>
            </c:ext>
          </c:extLst>
        </c:ser>
        <c:dLbls>
          <c:showLegendKey val="0"/>
          <c:showVal val="0"/>
          <c:showCatName val="0"/>
          <c:showSerName val="0"/>
          <c:showPercent val="0"/>
          <c:showBubbleSize val="0"/>
        </c:dLbls>
        <c:gapWidth val="205"/>
        <c:overlap val="-27"/>
        <c:axId val="1148566879"/>
        <c:axId val="1148573119"/>
      </c:barChart>
      <c:catAx>
        <c:axId val="1148566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0" i="0" u="none" strike="noStrike" kern="1200" baseline="0">
                <a:solidFill>
                  <a:schemeClr val="tx2"/>
                </a:solidFill>
                <a:latin typeface="+mn-lt"/>
                <a:ea typeface="+mn-ea"/>
                <a:cs typeface="+mn-cs"/>
              </a:defRPr>
            </a:pPr>
            <a:endParaRPr lang="en-NG"/>
          </a:p>
        </c:txPr>
        <c:crossAx val="1148573119"/>
        <c:crosses val="autoZero"/>
        <c:auto val="1"/>
        <c:lblAlgn val="ctr"/>
        <c:lblOffset val="100"/>
        <c:noMultiLvlLbl val="0"/>
      </c:catAx>
      <c:valAx>
        <c:axId val="1148573119"/>
        <c:scaling>
          <c:orientation val="minMax"/>
          <c:max val="40000"/>
        </c:scaling>
        <c:delete val="1"/>
        <c:axPos val="l"/>
        <c:numFmt formatCode="&quot;₦&quot;#,##0.00" sourceLinked="1"/>
        <c:majorTickMark val="none"/>
        <c:minorTickMark val="none"/>
        <c:tickLblPos val="nextTo"/>
        <c:crossAx val="1148566879"/>
        <c:crosses val="autoZero"/>
        <c:crossBetween val="between"/>
        <c:minorUnit val="1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chart" Target="../charts/chart3.xml"/><Relationship Id="rId7" Type="http://schemas.openxmlformats.org/officeDocument/2006/relationships/chart" Target="../charts/chart5.xml"/><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6.svg"/><Relationship Id="rId5" Type="http://schemas.openxmlformats.org/officeDocument/2006/relationships/image" Target="../media/image1.png"/><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248478</xdr:colOff>
      <xdr:row>42</xdr:row>
      <xdr:rowOff>74979</xdr:rowOff>
    </xdr:to>
    <xdr:sp macro="" textlink="">
      <xdr:nvSpPr>
        <xdr:cNvPr id="2" name="Rectangle 1">
          <a:extLst>
            <a:ext uri="{FF2B5EF4-FFF2-40B4-BE49-F238E27FC236}">
              <a16:creationId xmlns:a16="http://schemas.microsoft.com/office/drawing/2014/main" id="{64F4BA34-2112-268A-104B-A9666CD67756}"/>
            </a:ext>
          </a:extLst>
        </xdr:cNvPr>
        <xdr:cNvSpPr/>
      </xdr:nvSpPr>
      <xdr:spPr>
        <a:xfrm>
          <a:off x="0" y="0"/>
          <a:ext cx="13617618" cy="7817882"/>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352010</xdr:colOff>
      <xdr:row>0</xdr:row>
      <xdr:rowOff>0</xdr:rowOff>
    </xdr:from>
    <xdr:to>
      <xdr:col>17</xdr:col>
      <xdr:colOff>352010</xdr:colOff>
      <xdr:row>2</xdr:row>
      <xdr:rowOff>63700</xdr:rowOff>
    </xdr:to>
    <xdr:sp macro="" textlink="">
      <xdr:nvSpPr>
        <xdr:cNvPr id="8" name="Rectangle: Rounded Corners 7">
          <a:extLst>
            <a:ext uri="{FF2B5EF4-FFF2-40B4-BE49-F238E27FC236}">
              <a16:creationId xmlns:a16="http://schemas.microsoft.com/office/drawing/2014/main" id="{C01DB22B-40AD-2E4A-DC63-61A8F23D36CE}"/>
            </a:ext>
          </a:extLst>
        </xdr:cNvPr>
        <xdr:cNvSpPr/>
      </xdr:nvSpPr>
      <xdr:spPr>
        <a:xfrm>
          <a:off x="2174184" y="0"/>
          <a:ext cx="8503478" cy="43641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rgbClr val="002060"/>
              </a:solidFill>
            </a:rPr>
            <a:t>UnitedHealthcare Fraud Analytics Dashboard</a:t>
          </a:r>
          <a:endParaRPr lang="en-NG" sz="2800" b="1">
            <a:solidFill>
              <a:srgbClr val="002060"/>
            </a:solidFill>
          </a:endParaRPr>
        </a:p>
      </xdr:txBody>
    </xdr:sp>
    <xdr:clientData/>
  </xdr:twoCellAnchor>
  <xdr:twoCellAnchor>
    <xdr:from>
      <xdr:col>7</xdr:col>
      <xdr:colOff>48315</xdr:colOff>
      <xdr:row>19</xdr:row>
      <xdr:rowOff>82826</xdr:rowOff>
    </xdr:from>
    <xdr:to>
      <xdr:col>12</xdr:col>
      <xdr:colOff>352010</xdr:colOff>
      <xdr:row>30</xdr:row>
      <xdr:rowOff>181510</xdr:rowOff>
    </xdr:to>
    <xdr:graphicFrame macro="">
      <xdr:nvGraphicFramePr>
        <xdr:cNvPr id="24" name="Chart 23">
          <a:extLst>
            <a:ext uri="{FF2B5EF4-FFF2-40B4-BE49-F238E27FC236}">
              <a16:creationId xmlns:a16="http://schemas.microsoft.com/office/drawing/2014/main" id="{B14F5215-6CE1-489A-8475-6EEE62EA9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62119</xdr:colOff>
      <xdr:row>6</xdr:row>
      <xdr:rowOff>96631</xdr:rowOff>
    </xdr:from>
    <xdr:to>
      <xdr:col>9</xdr:col>
      <xdr:colOff>441738</xdr:colOff>
      <xdr:row>18</xdr:row>
      <xdr:rowOff>179456</xdr:rowOff>
    </xdr:to>
    <xdr:graphicFrame macro="">
      <xdr:nvGraphicFramePr>
        <xdr:cNvPr id="25" name="Chart 24">
          <a:extLst>
            <a:ext uri="{FF2B5EF4-FFF2-40B4-BE49-F238E27FC236}">
              <a16:creationId xmlns:a16="http://schemas.microsoft.com/office/drawing/2014/main" id="{0FFC4765-BBE4-41F8-82EC-8532B1593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545275</xdr:colOff>
      <xdr:row>6</xdr:row>
      <xdr:rowOff>96632</xdr:rowOff>
    </xdr:from>
    <xdr:to>
      <xdr:col>17</xdr:col>
      <xdr:colOff>476253</xdr:colOff>
      <xdr:row>18</xdr:row>
      <xdr:rowOff>172555</xdr:rowOff>
    </xdr:to>
    <xdr:graphicFrame macro="">
      <xdr:nvGraphicFramePr>
        <xdr:cNvPr id="28" name="Chart 27">
          <a:extLst>
            <a:ext uri="{FF2B5EF4-FFF2-40B4-BE49-F238E27FC236}">
              <a16:creationId xmlns:a16="http://schemas.microsoft.com/office/drawing/2014/main" id="{714B0704-5020-4F8F-BEEB-B0CE4D751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434839</xdr:colOff>
      <xdr:row>19</xdr:row>
      <xdr:rowOff>82827</xdr:rowOff>
    </xdr:from>
    <xdr:to>
      <xdr:col>17</xdr:col>
      <xdr:colOff>476252</xdr:colOff>
      <xdr:row>30</xdr:row>
      <xdr:rowOff>170351</xdr:rowOff>
    </xdr:to>
    <xdr:graphicFrame macro="">
      <xdr:nvGraphicFramePr>
        <xdr:cNvPr id="30" name="Chart 29">
          <a:extLst>
            <a:ext uri="{FF2B5EF4-FFF2-40B4-BE49-F238E27FC236}">
              <a16:creationId xmlns:a16="http://schemas.microsoft.com/office/drawing/2014/main" id="{87979426-EA3E-41E5-A7A0-3FA257481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579783</xdr:colOff>
      <xdr:row>6</xdr:row>
      <xdr:rowOff>69022</xdr:rowOff>
    </xdr:from>
    <xdr:to>
      <xdr:col>20</xdr:col>
      <xdr:colOff>510761</xdr:colOff>
      <xdr:row>30</xdr:row>
      <xdr:rowOff>165652</xdr:rowOff>
    </xdr:to>
    <xdr:sp macro="" textlink="">
      <xdr:nvSpPr>
        <xdr:cNvPr id="41" name="Rectangle 40">
          <a:extLst>
            <a:ext uri="{FF2B5EF4-FFF2-40B4-BE49-F238E27FC236}">
              <a16:creationId xmlns:a16="http://schemas.microsoft.com/office/drawing/2014/main" id="{8577E42A-9B71-1383-42DD-EFF27E1DF516}"/>
            </a:ext>
          </a:extLst>
        </xdr:cNvPr>
        <xdr:cNvSpPr/>
      </xdr:nvSpPr>
      <xdr:spPr>
        <a:xfrm>
          <a:off x="10905435" y="1187174"/>
          <a:ext cx="1753152" cy="4569239"/>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18</xdr:col>
      <xdr:colOff>68744</xdr:colOff>
      <xdr:row>6</xdr:row>
      <xdr:rowOff>157647</xdr:rowOff>
    </xdr:from>
    <xdr:to>
      <xdr:col>20</xdr:col>
      <xdr:colOff>421032</xdr:colOff>
      <xdr:row>13</xdr:row>
      <xdr:rowOff>91937</xdr:rowOff>
    </xdr:to>
    <mc:AlternateContent xmlns:mc="http://schemas.openxmlformats.org/markup-compatibility/2006" xmlns:a14="http://schemas.microsoft.com/office/drawing/2010/main">
      <mc:Choice Requires="a14">
        <xdr:graphicFrame macro="">
          <xdr:nvGraphicFramePr>
            <xdr:cNvPr id="44" name="Claim Status 1">
              <a:extLst>
                <a:ext uri="{FF2B5EF4-FFF2-40B4-BE49-F238E27FC236}">
                  <a16:creationId xmlns:a16="http://schemas.microsoft.com/office/drawing/2014/main" id="{0791B0C5-B378-CB2B-72C9-37617B443BC6}"/>
                </a:ext>
              </a:extLst>
            </xdr:cNvPr>
            <xdr:cNvGraphicFramePr/>
          </xdr:nvGraphicFramePr>
          <xdr:xfrm>
            <a:off x="0" y="0"/>
            <a:ext cx="0" cy="0"/>
          </xdr:xfrm>
          <a:graphic>
            <a:graphicData uri="http://schemas.microsoft.com/office/drawing/2010/slicer">
              <sle:slicer xmlns:sle="http://schemas.microsoft.com/office/drawing/2010/slicer" name="Claim Status 1"/>
            </a:graphicData>
          </a:graphic>
        </xdr:graphicFrame>
      </mc:Choice>
      <mc:Fallback xmlns="">
        <xdr:sp macro="" textlink="">
          <xdr:nvSpPr>
            <xdr:cNvPr id="0" name=""/>
            <xdr:cNvSpPr>
              <a:spLocks noTextEdit="1"/>
            </xdr:cNvSpPr>
          </xdr:nvSpPr>
          <xdr:spPr>
            <a:xfrm>
              <a:off x="11001787" y="1275799"/>
              <a:ext cx="1567071" cy="123880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75924</xdr:colOff>
      <xdr:row>13</xdr:row>
      <xdr:rowOff>148948</xdr:rowOff>
    </xdr:from>
    <xdr:to>
      <xdr:col>20</xdr:col>
      <xdr:colOff>448641</xdr:colOff>
      <xdr:row>20</xdr:row>
      <xdr:rowOff>82273</xdr:rowOff>
    </xdr:to>
    <mc:AlternateContent xmlns:mc="http://schemas.openxmlformats.org/markup-compatibility/2006" xmlns:a14="http://schemas.microsoft.com/office/drawing/2010/main">
      <mc:Choice Requires="a14">
        <xdr:graphicFrame macro="">
          <xdr:nvGraphicFramePr>
            <xdr:cNvPr id="45" name="Duplicate flag 1">
              <a:extLst>
                <a:ext uri="{FF2B5EF4-FFF2-40B4-BE49-F238E27FC236}">
                  <a16:creationId xmlns:a16="http://schemas.microsoft.com/office/drawing/2014/main" id="{545E56DF-7ED6-9FEE-2AA4-5DC8982B27F8}"/>
                </a:ext>
              </a:extLst>
            </xdr:cNvPr>
            <xdr:cNvGraphicFramePr/>
          </xdr:nvGraphicFramePr>
          <xdr:xfrm>
            <a:off x="0" y="0"/>
            <a:ext cx="0" cy="0"/>
          </xdr:xfrm>
          <a:graphic>
            <a:graphicData uri="http://schemas.microsoft.com/office/drawing/2010/slicer">
              <sle:slicer xmlns:sle="http://schemas.microsoft.com/office/drawing/2010/slicer" name="Duplicate flag 1"/>
            </a:graphicData>
          </a:graphic>
        </xdr:graphicFrame>
      </mc:Choice>
      <mc:Fallback xmlns="">
        <xdr:sp macro="" textlink="">
          <xdr:nvSpPr>
            <xdr:cNvPr id="0" name=""/>
            <xdr:cNvSpPr>
              <a:spLocks noTextEdit="1"/>
            </xdr:cNvSpPr>
          </xdr:nvSpPr>
          <xdr:spPr>
            <a:xfrm>
              <a:off x="11326191" y="2571611"/>
              <a:ext cx="1270276" cy="123783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89729</xdr:colOff>
      <xdr:row>20</xdr:row>
      <xdr:rowOff>147013</xdr:rowOff>
    </xdr:from>
    <xdr:to>
      <xdr:col>20</xdr:col>
      <xdr:colOff>455544</xdr:colOff>
      <xdr:row>30</xdr:row>
      <xdr:rowOff>109879</xdr:rowOff>
    </xdr:to>
    <mc:AlternateContent xmlns:mc="http://schemas.openxmlformats.org/markup-compatibility/2006" xmlns:a14="http://schemas.microsoft.com/office/drawing/2010/main">
      <mc:Choice Requires="a14">
        <xdr:graphicFrame macro="">
          <xdr:nvGraphicFramePr>
            <xdr:cNvPr id="46" name="Submission Channel 1">
              <a:extLst>
                <a:ext uri="{FF2B5EF4-FFF2-40B4-BE49-F238E27FC236}">
                  <a16:creationId xmlns:a16="http://schemas.microsoft.com/office/drawing/2014/main" id="{864351C9-C1D0-84AA-7939-40C247855373}"/>
                </a:ext>
              </a:extLst>
            </xdr:cNvPr>
            <xdr:cNvGraphicFramePr/>
          </xdr:nvGraphicFramePr>
          <xdr:xfrm>
            <a:off x="0" y="0"/>
            <a:ext cx="0" cy="0"/>
          </xdr:xfrm>
          <a:graphic>
            <a:graphicData uri="http://schemas.microsoft.com/office/drawing/2010/slicer">
              <sle:slicer xmlns:sle="http://schemas.microsoft.com/office/drawing/2010/slicer" name="Submission Channel 1"/>
            </a:graphicData>
          </a:graphic>
        </xdr:graphicFrame>
      </mc:Choice>
      <mc:Fallback xmlns="">
        <xdr:sp macro="" textlink="">
          <xdr:nvSpPr>
            <xdr:cNvPr id="0" name=""/>
            <xdr:cNvSpPr>
              <a:spLocks noTextEdit="1"/>
            </xdr:cNvSpPr>
          </xdr:nvSpPr>
          <xdr:spPr>
            <a:xfrm>
              <a:off x="11293336" y="3874187"/>
              <a:ext cx="1310034" cy="182645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511352</xdr:colOff>
      <xdr:row>0</xdr:row>
      <xdr:rowOff>90877</xdr:rowOff>
    </xdr:from>
    <xdr:to>
      <xdr:col>20</xdr:col>
      <xdr:colOff>324400</xdr:colOff>
      <xdr:row>5</xdr:row>
      <xdr:rowOff>164243</xdr:rowOff>
    </xdr:to>
    <xdr:grpSp>
      <xdr:nvGrpSpPr>
        <xdr:cNvPr id="32" name="Group 31">
          <a:extLst>
            <a:ext uri="{FF2B5EF4-FFF2-40B4-BE49-F238E27FC236}">
              <a16:creationId xmlns:a16="http://schemas.microsoft.com/office/drawing/2014/main" id="{797567F4-D889-FCA5-20E1-A6EE805CD71E}"/>
            </a:ext>
          </a:extLst>
        </xdr:cNvPr>
        <xdr:cNvGrpSpPr/>
      </xdr:nvGrpSpPr>
      <xdr:grpSpPr>
        <a:xfrm>
          <a:off x="11449739" y="90877"/>
          <a:ext cx="1028424" cy="995140"/>
          <a:chOff x="10906025" y="180011"/>
          <a:chExt cx="1000226" cy="1089989"/>
        </a:xfrm>
      </xdr:grpSpPr>
      <xdr:pic>
        <xdr:nvPicPr>
          <xdr:cNvPr id="22" name="Graphic 21" descr="Heart with pulse with solid fill">
            <a:extLst>
              <a:ext uri="{FF2B5EF4-FFF2-40B4-BE49-F238E27FC236}">
                <a16:creationId xmlns:a16="http://schemas.microsoft.com/office/drawing/2014/main" id="{833100E6-EC23-48D3-C1F4-B96E20882E6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977047" y="180011"/>
            <a:ext cx="784083" cy="780551"/>
          </a:xfrm>
          <a:prstGeom prst="rect">
            <a:avLst/>
          </a:prstGeom>
        </xdr:spPr>
      </xdr:pic>
      <xdr:sp macro="" textlink="">
        <xdr:nvSpPr>
          <xdr:cNvPr id="29" name="TextBox 28">
            <a:extLst>
              <a:ext uri="{FF2B5EF4-FFF2-40B4-BE49-F238E27FC236}">
                <a16:creationId xmlns:a16="http://schemas.microsoft.com/office/drawing/2014/main" id="{D1DD102C-5076-1C2A-B7B5-CE2A9434DD84}"/>
              </a:ext>
            </a:extLst>
          </xdr:cNvPr>
          <xdr:cNvSpPr txBox="1"/>
        </xdr:nvSpPr>
        <xdr:spPr>
          <a:xfrm>
            <a:off x="10906025" y="863465"/>
            <a:ext cx="1000226" cy="406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rPr>
              <a:t>UnitedHealtcare</a:t>
            </a:r>
            <a:r>
              <a:rPr lang="en-US" sz="800" b="1" baseline="0">
                <a:solidFill>
                  <a:schemeClr val="bg1"/>
                </a:solidFill>
              </a:rPr>
              <a:t> Insurance</a:t>
            </a:r>
            <a:endParaRPr lang="en-US" sz="800" b="1">
              <a:solidFill>
                <a:schemeClr val="bg1"/>
              </a:solidFill>
            </a:endParaRPr>
          </a:p>
        </xdr:txBody>
      </xdr:sp>
    </xdr:grpSp>
    <xdr:clientData/>
  </xdr:twoCellAnchor>
  <xdr:twoCellAnchor>
    <xdr:from>
      <xdr:col>0</xdr:col>
      <xdr:colOff>139155</xdr:colOff>
      <xdr:row>0</xdr:row>
      <xdr:rowOff>159859</xdr:rowOff>
    </xdr:from>
    <xdr:to>
      <xdr:col>1</xdr:col>
      <xdr:colOff>559595</xdr:colOff>
      <xdr:row>6</xdr:row>
      <xdr:rowOff>48870</xdr:rowOff>
    </xdr:to>
    <xdr:grpSp>
      <xdr:nvGrpSpPr>
        <xdr:cNvPr id="34" name="Group 33">
          <a:extLst>
            <a:ext uri="{FF2B5EF4-FFF2-40B4-BE49-F238E27FC236}">
              <a16:creationId xmlns:a16="http://schemas.microsoft.com/office/drawing/2014/main" id="{CDE3AC41-359C-F510-8DDE-2466BD9D56D3}"/>
            </a:ext>
          </a:extLst>
        </xdr:cNvPr>
        <xdr:cNvGrpSpPr/>
      </xdr:nvGrpSpPr>
      <xdr:grpSpPr>
        <a:xfrm>
          <a:off x="139155" y="159859"/>
          <a:ext cx="1028128" cy="995140"/>
          <a:chOff x="10906025" y="180011"/>
          <a:chExt cx="1000226" cy="1089989"/>
        </a:xfrm>
      </xdr:grpSpPr>
      <xdr:pic>
        <xdr:nvPicPr>
          <xdr:cNvPr id="35" name="Graphic 34" descr="Heart with pulse with solid fill">
            <a:extLst>
              <a:ext uri="{FF2B5EF4-FFF2-40B4-BE49-F238E27FC236}">
                <a16:creationId xmlns:a16="http://schemas.microsoft.com/office/drawing/2014/main" id="{8FB7693D-60A9-E681-B1C2-DA3533B8F0B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977047" y="180011"/>
            <a:ext cx="784083" cy="780551"/>
          </a:xfrm>
          <a:prstGeom prst="rect">
            <a:avLst/>
          </a:prstGeom>
        </xdr:spPr>
      </xdr:pic>
      <xdr:sp macro="" textlink="">
        <xdr:nvSpPr>
          <xdr:cNvPr id="36" name="TextBox 35">
            <a:extLst>
              <a:ext uri="{FF2B5EF4-FFF2-40B4-BE49-F238E27FC236}">
                <a16:creationId xmlns:a16="http://schemas.microsoft.com/office/drawing/2014/main" id="{5EB1C5FD-A56A-0D54-F971-56020EB4480F}"/>
              </a:ext>
            </a:extLst>
          </xdr:cNvPr>
          <xdr:cNvSpPr txBox="1"/>
        </xdr:nvSpPr>
        <xdr:spPr>
          <a:xfrm>
            <a:off x="10906025" y="863465"/>
            <a:ext cx="1000226" cy="406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a:solidFill>
                  <a:schemeClr val="bg1"/>
                </a:solidFill>
              </a:rPr>
              <a:t>UnitedHealtcare</a:t>
            </a:r>
            <a:r>
              <a:rPr lang="en-US" sz="800" b="1" baseline="0">
                <a:solidFill>
                  <a:schemeClr val="bg1"/>
                </a:solidFill>
              </a:rPr>
              <a:t> Insurance</a:t>
            </a:r>
            <a:endParaRPr lang="en-US" sz="800" b="1">
              <a:solidFill>
                <a:schemeClr val="bg1"/>
              </a:solidFill>
            </a:endParaRPr>
          </a:p>
        </xdr:txBody>
      </xdr:sp>
    </xdr:grpSp>
    <xdr:clientData/>
  </xdr:twoCellAnchor>
  <xdr:twoCellAnchor>
    <xdr:from>
      <xdr:col>1</xdr:col>
      <xdr:colOff>103535</xdr:colOff>
      <xdr:row>19</xdr:row>
      <xdr:rowOff>75924</xdr:rowOff>
    </xdr:from>
    <xdr:to>
      <xdr:col>6</xdr:col>
      <xdr:colOff>559078</xdr:colOff>
      <xdr:row>31</xdr:row>
      <xdr:rowOff>2054</xdr:rowOff>
    </xdr:to>
    <xdr:graphicFrame macro="">
      <xdr:nvGraphicFramePr>
        <xdr:cNvPr id="40" name="Chart 39">
          <a:extLst>
            <a:ext uri="{FF2B5EF4-FFF2-40B4-BE49-F238E27FC236}">
              <a16:creationId xmlns:a16="http://schemas.microsoft.com/office/drawing/2014/main" id="{42B8DFEC-1DF3-436D-87B6-734767F34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28</xdr:row>
      <xdr:rowOff>20707</xdr:rowOff>
    </xdr:from>
    <xdr:to>
      <xdr:col>1</xdr:col>
      <xdr:colOff>186359</xdr:colOff>
      <xdr:row>30</xdr:row>
      <xdr:rowOff>179456</xdr:rowOff>
    </xdr:to>
    <xdr:sp macro="" textlink="">
      <xdr:nvSpPr>
        <xdr:cNvPr id="47" name="TextBox 46">
          <a:extLst>
            <a:ext uri="{FF2B5EF4-FFF2-40B4-BE49-F238E27FC236}">
              <a16:creationId xmlns:a16="http://schemas.microsoft.com/office/drawing/2014/main" id="{896DD10F-2FCD-2059-E0FB-89CE9714F7C9}"/>
            </a:ext>
          </a:extLst>
        </xdr:cNvPr>
        <xdr:cNvSpPr txBox="1"/>
      </xdr:nvSpPr>
      <xdr:spPr>
        <a:xfrm>
          <a:off x="0" y="5238750"/>
          <a:ext cx="793750" cy="531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700" b="1">
              <a:solidFill>
                <a:schemeClr val="bg1"/>
              </a:solidFill>
            </a:rPr>
            <a:t>Dashboard </a:t>
          </a:r>
        </a:p>
        <a:p>
          <a:pPr algn="ctr"/>
          <a:r>
            <a:rPr lang="en-US" sz="700" b="1">
              <a:solidFill>
                <a:schemeClr val="bg1"/>
              </a:solidFill>
            </a:rPr>
            <a:t>by </a:t>
          </a:r>
        </a:p>
        <a:p>
          <a:pPr algn="ctr"/>
          <a:r>
            <a:rPr lang="en-US" sz="700" b="1">
              <a:solidFill>
                <a:schemeClr val="bg1"/>
              </a:solidFill>
            </a:rPr>
            <a:t>Ebenezer Ugwuja</a:t>
          </a:r>
          <a:endParaRPr lang="en-NG" sz="700" b="1">
            <a:solidFill>
              <a:schemeClr val="bg1"/>
            </a:solidFill>
          </a:endParaRPr>
        </a:p>
      </xdr:txBody>
    </xdr:sp>
    <xdr:clientData/>
  </xdr:twoCellAnchor>
  <xdr:twoCellAnchor>
    <xdr:from>
      <xdr:col>2</xdr:col>
      <xdr:colOff>307561</xdr:colOff>
      <xdr:row>2</xdr:row>
      <xdr:rowOff>134369</xdr:rowOff>
    </xdr:from>
    <xdr:to>
      <xdr:col>5</xdr:col>
      <xdr:colOff>36719</xdr:colOff>
      <xdr:row>6</xdr:row>
      <xdr:rowOff>12700</xdr:rowOff>
    </xdr:to>
    <xdr:grpSp>
      <xdr:nvGrpSpPr>
        <xdr:cNvPr id="18" name="Group 17">
          <a:extLst>
            <a:ext uri="{FF2B5EF4-FFF2-40B4-BE49-F238E27FC236}">
              <a16:creationId xmlns:a16="http://schemas.microsoft.com/office/drawing/2014/main" id="{A0CFBF66-790F-F5DE-465E-341DA1F9B54E}"/>
            </a:ext>
          </a:extLst>
        </xdr:cNvPr>
        <xdr:cNvGrpSpPr/>
      </xdr:nvGrpSpPr>
      <xdr:grpSpPr>
        <a:xfrm>
          <a:off x="1522937" y="503079"/>
          <a:ext cx="1552223" cy="615750"/>
          <a:chOff x="1329083" y="507086"/>
          <a:chExt cx="1551332" cy="623766"/>
        </a:xfrm>
      </xdr:grpSpPr>
      <xdr:grpSp>
        <xdr:nvGrpSpPr>
          <xdr:cNvPr id="11" name="Group 10">
            <a:extLst>
              <a:ext uri="{FF2B5EF4-FFF2-40B4-BE49-F238E27FC236}">
                <a16:creationId xmlns:a16="http://schemas.microsoft.com/office/drawing/2014/main" id="{D20EAC23-AF37-5E0F-0D28-C74F3AF30E6A}"/>
              </a:ext>
            </a:extLst>
          </xdr:cNvPr>
          <xdr:cNvGrpSpPr/>
        </xdr:nvGrpSpPr>
        <xdr:grpSpPr>
          <a:xfrm>
            <a:off x="1329083" y="507086"/>
            <a:ext cx="1551332" cy="623766"/>
            <a:chOff x="882650" y="736600"/>
            <a:chExt cx="1555750" cy="723900"/>
          </a:xfrm>
        </xdr:grpSpPr>
        <xdr:sp macro="" textlink="'Pivot Table'!A4">
          <xdr:nvSpPr>
            <xdr:cNvPr id="3" name="Rectangle: Rounded Corners 2">
              <a:extLst>
                <a:ext uri="{FF2B5EF4-FFF2-40B4-BE49-F238E27FC236}">
                  <a16:creationId xmlns:a16="http://schemas.microsoft.com/office/drawing/2014/main" id="{A9BB7A4F-5E2B-3333-5E8E-4349C5272035}"/>
                </a:ext>
              </a:extLst>
            </xdr:cNvPr>
            <xdr:cNvSpPr/>
          </xdr:nvSpPr>
          <xdr:spPr>
            <a:xfrm>
              <a:off x="882650" y="736600"/>
              <a:ext cx="1555750" cy="7239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02FDF826-F78C-41F8-ABAB-491793BD5D5E}" type="TxLink">
                <a:rPr lang="en-US" sz="2800" b="1" i="0" u="none" strike="noStrike">
                  <a:solidFill>
                    <a:srgbClr val="002060"/>
                  </a:solidFill>
                  <a:latin typeface="Calibri"/>
                  <a:ea typeface="Calibri"/>
                  <a:cs typeface="Calibri"/>
                </a:rPr>
                <a:pPr algn="r"/>
                <a:t>1,000</a:t>
              </a:fld>
              <a:endParaRPr lang="en-NG" sz="2800" b="1">
                <a:solidFill>
                  <a:srgbClr val="002060"/>
                </a:solidFill>
              </a:endParaRPr>
            </a:p>
          </xdr:txBody>
        </xdr:sp>
        <xdr:sp macro="" textlink="">
          <xdr:nvSpPr>
            <xdr:cNvPr id="9" name="Rectangle 8">
              <a:extLst>
                <a:ext uri="{FF2B5EF4-FFF2-40B4-BE49-F238E27FC236}">
                  <a16:creationId xmlns:a16="http://schemas.microsoft.com/office/drawing/2014/main" id="{83CD58A7-1F05-1625-0FFE-E23EE9FA0D9B}"/>
                </a:ext>
              </a:extLst>
            </xdr:cNvPr>
            <xdr:cNvSpPr/>
          </xdr:nvSpPr>
          <xdr:spPr>
            <a:xfrm>
              <a:off x="1028700" y="736600"/>
              <a:ext cx="1260000" cy="216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rgbClr val="002060"/>
                  </a:solidFill>
                </a:rPr>
                <a:t>Total Claims</a:t>
              </a:r>
              <a:endParaRPr lang="en-NG" sz="1100" b="1">
                <a:solidFill>
                  <a:srgbClr val="002060"/>
                </a:solidFill>
              </a:endParaRPr>
            </a:p>
          </xdr:txBody>
        </xdr:sp>
      </xdr:grpSp>
      <xdr:pic>
        <xdr:nvPicPr>
          <xdr:cNvPr id="16" name="Graphic 15" descr="Care with solid fill">
            <a:extLst>
              <a:ext uri="{FF2B5EF4-FFF2-40B4-BE49-F238E27FC236}">
                <a16:creationId xmlns:a16="http://schemas.microsoft.com/office/drawing/2014/main" id="{B7D27727-A22F-9F62-62F5-7BF89038534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94239" y="669511"/>
            <a:ext cx="386522" cy="386522"/>
          </a:xfrm>
          <a:prstGeom prst="rect">
            <a:avLst/>
          </a:prstGeom>
        </xdr:spPr>
      </xdr:pic>
    </xdr:grpSp>
    <xdr:clientData/>
  </xdr:twoCellAnchor>
  <xdr:twoCellAnchor>
    <xdr:from>
      <xdr:col>5</xdr:col>
      <xdr:colOff>473978</xdr:colOff>
      <xdr:row>2</xdr:row>
      <xdr:rowOff>102374</xdr:rowOff>
    </xdr:from>
    <xdr:to>
      <xdr:col>8</xdr:col>
      <xdr:colOff>222187</xdr:colOff>
      <xdr:row>5</xdr:row>
      <xdr:rowOff>164855</xdr:rowOff>
    </xdr:to>
    <xdr:grpSp>
      <xdr:nvGrpSpPr>
        <xdr:cNvPr id="38" name="Group 37">
          <a:extLst>
            <a:ext uri="{FF2B5EF4-FFF2-40B4-BE49-F238E27FC236}">
              <a16:creationId xmlns:a16="http://schemas.microsoft.com/office/drawing/2014/main" id="{81B12FB5-54A2-9047-E661-2969FE4EE11A}"/>
            </a:ext>
          </a:extLst>
        </xdr:cNvPr>
        <xdr:cNvGrpSpPr/>
      </xdr:nvGrpSpPr>
      <xdr:grpSpPr>
        <a:xfrm>
          <a:off x="3512419" y="471084"/>
          <a:ext cx="1571273" cy="615545"/>
          <a:chOff x="3214208" y="475091"/>
          <a:chExt cx="1570382" cy="621557"/>
        </a:xfrm>
      </xdr:grpSpPr>
      <xdr:grpSp>
        <xdr:nvGrpSpPr>
          <xdr:cNvPr id="14" name="Group 13">
            <a:extLst>
              <a:ext uri="{FF2B5EF4-FFF2-40B4-BE49-F238E27FC236}">
                <a16:creationId xmlns:a16="http://schemas.microsoft.com/office/drawing/2014/main" id="{EC9DD366-832F-C4B1-8CAA-B6E4B36C04F0}"/>
              </a:ext>
            </a:extLst>
          </xdr:cNvPr>
          <xdr:cNvGrpSpPr/>
        </xdr:nvGrpSpPr>
        <xdr:grpSpPr>
          <a:xfrm>
            <a:off x="3214208" y="475091"/>
            <a:ext cx="1570382" cy="621557"/>
            <a:chOff x="2692400" y="736600"/>
            <a:chExt cx="1574800" cy="736600"/>
          </a:xfrm>
        </xdr:grpSpPr>
        <xdr:sp macro="" textlink="'Pivot Table'!C4">
          <xdr:nvSpPr>
            <xdr:cNvPr id="4" name="Rectangle: Rounded Corners 3">
              <a:extLst>
                <a:ext uri="{FF2B5EF4-FFF2-40B4-BE49-F238E27FC236}">
                  <a16:creationId xmlns:a16="http://schemas.microsoft.com/office/drawing/2014/main" id="{9CFD47BD-3FAC-C88E-C599-06358A23A0EC}"/>
                </a:ext>
              </a:extLst>
            </xdr:cNvPr>
            <xdr:cNvSpPr/>
          </xdr:nvSpPr>
          <xdr:spPr>
            <a:xfrm>
              <a:off x="2711450" y="749600"/>
              <a:ext cx="1555750" cy="723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8B292585-B714-4271-BFC7-427DE1C929B2}" type="TxLink">
                <a:rPr lang="en-US" sz="2800" b="1" i="0" u="none" strike="noStrike">
                  <a:solidFill>
                    <a:srgbClr val="002060"/>
                  </a:solidFill>
                  <a:latin typeface="Calibri"/>
                  <a:ea typeface="Calibri"/>
                  <a:cs typeface="Calibri"/>
                </a:rPr>
                <a:pPr marL="0" indent="0" algn="ctr"/>
                <a:t>229</a:t>
              </a:fld>
              <a:endParaRPr lang="en-NG" sz="2800" b="1" i="0" u="none" strike="noStrike">
                <a:solidFill>
                  <a:srgbClr val="002060"/>
                </a:solidFill>
                <a:latin typeface="Calibri"/>
                <a:ea typeface="Calibri"/>
                <a:cs typeface="Calibri"/>
              </a:endParaRPr>
            </a:p>
          </xdr:txBody>
        </xdr:sp>
        <xdr:sp macro="" textlink="">
          <xdr:nvSpPr>
            <xdr:cNvPr id="10" name="Rectangle 9">
              <a:extLst>
                <a:ext uri="{FF2B5EF4-FFF2-40B4-BE49-F238E27FC236}">
                  <a16:creationId xmlns:a16="http://schemas.microsoft.com/office/drawing/2014/main" id="{002C3226-FA99-D5E4-7690-8C57FBCF4FA8}"/>
                </a:ext>
              </a:extLst>
            </xdr:cNvPr>
            <xdr:cNvSpPr/>
          </xdr:nvSpPr>
          <xdr:spPr>
            <a:xfrm>
              <a:off x="2692400" y="736600"/>
              <a:ext cx="1574800" cy="2520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2060"/>
                  </a:solidFill>
                </a:rPr>
                <a:t>Total Patients</a:t>
              </a:r>
            </a:p>
          </xdr:txBody>
        </xdr:sp>
      </xdr:grpSp>
      <xdr:pic>
        <xdr:nvPicPr>
          <xdr:cNvPr id="33" name="Graphic 32" descr="Inpatient with solid fill">
            <a:extLst>
              <a:ext uri="{FF2B5EF4-FFF2-40B4-BE49-F238E27FC236}">
                <a16:creationId xmlns:a16="http://schemas.microsoft.com/office/drawing/2014/main" id="{7CB26239-009C-A617-9AAF-7E2DDFFAC22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78534" y="593588"/>
            <a:ext cx="386522" cy="386522"/>
          </a:xfrm>
          <a:prstGeom prst="rect">
            <a:avLst/>
          </a:prstGeom>
        </xdr:spPr>
      </xdr:pic>
    </xdr:grpSp>
    <xdr:clientData/>
  </xdr:twoCellAnchor>
  <xdr:twoCellAnchor>
    <xdr:from>
      <xdr:col>9</xdr:col>
      <xdr:colOff>52054</xdr:colOff>
      <xdr:row>2</xdr:row>
      <xdr:rowOff>120692</xdr:rowOff>
    </xdr:from>
    <xdr:to>
      <xdr:col>11</xdr:col>
      <xdr:colOff>385419</xdr:colOff>
      <xdr:row>6</xdr:row>
      <xdr:rowOff>0</xdr:rowOff>
    </xdr:to>
    <xdr:grpSp>
      <xdr:nvGrpSpPr>
        <xdr:cNvPr id="43" name="Group 42">
          <a:extLst>
            <a:ext uri="{FF2B5EF4-FFF2-40B4-BE49-F238E27FC236}">
              <a16:creationId xmlns:a16="http://schemas.microsoft.com/office/drawing/2014/main" id="{3E5C8676-C7D9-D903-C73A-4C1ECF401D05}"/>
            </a:ext>
          </a:extLst>
        </xdr:cNvPr>
        <xdr:cNvGrpSpPr/>
      </xdr:nvGrpSpPr>
      <xdr:grpSpPr>
        <a:xfrm>
          <a:off x="5521248" y="489402"/>
          <a:ext cx="1548741" cy="616727"/>
          <a:chOff x="5189330" y="493409"/>
          <a:chExt cx="1548147" cy="624743"/>
        </a:xfrm>
      </xdr:grpSpPr>
      <xdr:sp macro="" textlink="'Pivot Table'!E4">
        <xdr:nvSpPr>
          <xdr:cNvPr id="5" name="Rectangle: Rounded Corners 4">
            <a:extLst>
              <a:ext uri="{FF2B5EF4-FFF2-40B4-BE49-F238E27FC236}">
                <a16:creationId xmlns:a16="http://schemas.microsoft.com/office/drawing/2014/main" id="{C6B84B48-8C41-31CA-6BB3-908963186156}"/>
              </a:ext>
            </a:extLst>
          </xdr:cNvPr>
          <xdr:cNvSpPr/>
        </xdr:nvSpPr>
        <xdr:spPr>
          <a:xfrm>
            <a:off x="5189330" y="493409"/>
            <a:ext cx="1548147" cy="62474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AACA240A-9F94-467C-8133-62E08478B246}" type="TxLink">
              <a:rPr lang="en-US" sz="2800" b="1" i="0" u="none" strike="noStrike">
                <a:solidFill>
                  <a:srgbClr val="002060"/>
                </a:solidFill>
                <a:latin typeface="Calibri"/>
                <a:ea typeface="Calibri"/>
                <a:cs typeface="Calibri"/>
              </a:rPr>
              <a:pPr marL="0" indent="0" algn="ctr"/>
              <a:t>100</a:t>
            </a:fld>
            <a:endParaRPr lang="en-NG" sz="2800" b="1" i="0" u="none" strike="noStrike">
              <a:solidFill>
                <a:srgbClr val="002060"/>
              </a:solidFill>
              <a:latin typeface="Calibri"/>
              <a:ea typeface="Calibri"/>
              <a:cs typeface="Calibri"/>
            </a:endParaRPr>
          </a:p>
        </xdr:txBody>
      </xdr:sp>
      <xdr:sp macro="" textlink="">
        <xdr:nvSpPr>
          <xdr:cNvPr id="13" name="Rectangle 12">
            <a:extLst>
              <a:ext uri="{FF2B5EF4-FFF2-40B4-BE49-F238E27FC236}">
                <a16:creationId xmlns:a16="http://schemas.microsoft.com/office/drawing/2014/main" id="{1A5EA50A-4D9F-1000-82E8-F7D4A18A9879}"/>
              </a:ext>
            </a:extLst>
          </xdr:cNvPr>
          <xdr:cNvSpPr/>
        </xdr:nvSpPr>
        <xdr:spPr>
          <a:xfrm>
            <a:off x="5347304" y="498891"/>
            <a:ext cx="1213242" cy="1589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rgbClr val="002060"/>
                </a:solidFill>
              </a:rPr>
              <a:t>Total Providers</a:t>
            </a:r>
          </a:p>
        </xdr:txBody>
      </xdr:sp>
      <xdr:pic>
        <xdr:nvPicPr>
          <xdr:cNvPr id="42" name="Graphic 41" descr="Doctor male outline">
            <a:extLst>
              <a:ext uri="{FF2B5EF4-FFF2-40B4-BE49-F238E27FC236}">
                <a16:creationId xmlns:a16="http://schemas.microsoft.com/office/drawing/2014/main" id="{19EA6DE1-72B5-77E4-B849-3A4C6361D9E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218044" y="593588"/>
            <a:ext cx="400326" cy="400326"/>
          </a:xfrm>
          <a:prstGeom prst="rect">
            <a:avLst/>
          </a:prstGeom>
        </xdr:spPr>
      </xdr:pic>
    </xdr:grpSp>
    <xdr:clientData/>
  </xdr:twoCellAnchor>
  <xdr:twoCellAnchor>
    <xdr:from>
      <xdr:col>12</xdr:col>
      <xdr:colOff>215286</xdr:colOff>
      <xdr:row>2</xdr:row>
      <xdr:rowOff>55219</xdr:rowOff>
    </xdr:from>
    <xdr:to>
      <xdr:col>14</xdr:col>
      <xdr:colOff>549748</xdr:colOff>
      <xdr:row>6</xdr:row>
      <xdr:rowOff>1</xdr:rowOff>
    </xdr:to>
    <xdr:grpSp>
      <xdr:nvGrpSpPr>
        <xdr:cNvPr id="50" name="Group 49">
          <a:extLst>
            <a:ext uri="{FF2B5EF4-FFF2-40B4-BE49-F238E27FC236}">
              <a16:creationId xmlns:a16="http://schemas.microsoft.com/office/drawing/2014/main" id="{E0554DBF-2DB9-78C8-0AE3-8E0BA51D509D}"/>
            </a:ext>
          </a:extLst>
        </xdr:cNvPr>
        <xdr:cNvGrpSpPr/>
      </xdr:nvGrpSpPr>
      <xdr:grpSpPr>
        <a:xfrm>
          <a:off x="7507544" y="423929"/>
          <a:ext cx="1549838" cy="682201"/>
          <a:chOff x="7066861" y="427936"/>
          <a:chExt cx="1549244" cy="690217"/>
        </a:xfrm>
      </xdr:grpSpPr>
      <xdr:grpSp>
        <xdr:nvGrpSpPr>
          <xdr:cNvPr id="23" name="Group 22">
            <a:extLst>
              <a:ext uri="{FF2B5EF4-FFF2-40B4-BE49-F238E27FC236}">
                <a16:creationId xmlns:a16="http://schemas.microsoft.com/office/drawing/2014/main" id="{69B3D0BC-EF9C-5FDE-C84B-F58CF3AC3A65}"/>
              </a:ext>
            </a:extLst>
          </xdr:cNvPr>
          <xdr:cNvGrpSpPr/>
        </xdr:nvGrpSpPr>
        <xdr:grpSpPr>
          <a:xfrm>
            <a:off x="7066861" y="427936"/>
            <a:ext cx="1549244" cy="690217"/>
            <a:chOff x="6626225" y="660766"/>
            <a:chExt cx="1555750" cy="799434"/>
          </a:xfrm>
        </xdr:grpSpPr>
        <xdr:sp macro="" textlink="'Pivot Table'!E7">
          <xdr:nvSpPr>
            <xdr:cNvPr id="6" name="Rectangle: Rounded Corners 5">
              <a:extLst>
                <a:ext uri="{FF2B5EF4-FFF2-40B4-BE49-F238E27FC236}">
                  <a16:creationId xmlns:a16="http://schemas.microsoft.com/office/drawing/2014/main" id="{0E638A7E-7D9B-8908-74D2-83CD9E654F76}"/>
                </a:ext>
              </a:extLst>
            </xdr:cNvPr>
            <xdr:cNvSpPr/>
          </xdr:nvSpPr>
          <xdr:spPr>
            <a:xfrm>
              <a:off x="6626225" y="736600"/>
              <a:ext cx="1555750" cy="723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r"/>
              <a:fld id="{B82BE2AD-BBD8-44C7-9B81-8B51360609BB}" type="TxLink">
                <a:rPr lang="en-US" sz="2800" b="1" i="0" u="none" strike="noStrike">
                  <a:solidFill>
                    <a:srgbClr val="002060"/>
                  </a:solidFill>
                  <a:latin typeface="Calibri"/>
                  <a:ea typeface="Calibri"/>
                  <a:cs typeface="Calibri"/>
                </a:rPr>
                <a:pPr marL="0" indent="0" algn="r"/>
                <a:t>2.48</a:t>
              </a:fld>
              <a:r>
                <a:rPr lang="en-US" sz="2800" b="1" i="0" u="none" strike="noStrike">
                  <a:solidFill>
                    <a:srgbClr val="002060"/>
                  </a:solidFill>
                  <a:latin typeface="Calibri"/>
                  <a:ea typeface="Calibri"/>
                  <a:cs typeface="Calibri"/>
                </a:rPr>
                <a:t>M</a:t>
              </a:r>
              <a:endParaRPr lang="en-NG" sz="2800" b="1" i="0" u="none" strike="noStrike">
                <a:solidFill>
                  <a:srgbClr val="002060"/>
                </a:solidFill>
                <a:latin typeface="Calibri"/>
                <a:ea typeface="Calibri"/>
                <a:cs typeface="Calibri"/>
              </a:endParaRPr>
            </a:p>
          </xdr:txBody>
        </xdr:sp>
        <xdr:sp macro="" textlink="">
          <xdr:nvSpPr>
            <xdr:cNvPr id="15" name="Rectangle 14">
              <a:extLst>
                <a:ext uri="{FF2B5EF4-FFF2-40B4-BE49-F238E27FC236}">
                  <a16:creationId xmlns:a16="http://schemas.microsoft.com/office/drawing/2014/main" id="{3EADE295-B2C3-73D1-7272-A4B42521EFC7}"/>
                </a:ext>
              </a:extLst>
            </xdr:cNvPr>
            <xdr:cNvSpPr/>
          </xdr:nvSpPr>
          <xdr:spPr>
            <a:xfrm>
              <a:off x="6635750" y="660766"/>
              <a:ext cx="1502440" cy="30378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100" b="1">
                  <a:solidFill>
                    <a:srgbClr val="002060"/>
                  </a:solidFill>
                </a:rPr>
                <a:t>Total Claim</a:t>
              </a:r>
              <a:r>
                <a:rPr lang="en-US" sz="1100" b="1" baseline="0">
                  <a:solidFill>
                    <a:srgbClr val="002060"/>
                  </a:solidFill>
                </a:rPr>
                <a:t> Amount</a:t>
              </a:r>
              <a:endParaRPr lang="en-US" sz="1100" b="1">
                <a:solidFill>
                  <a:srgbClr val="002060"/>
                </a:solidFill>
              </a:endParaRPr>
            </a:p>
          </xdr:txBody>
        </xdr:sp>
      </xdr:grpSp>
      <xdr:pic>
        <xdr:nvPicPr>
          <xdr:cNvPr id="49" name="Graphic 48" descr="Money with solid fill">
            <a:extLst>
              <a:ext uri="{FF2B5EF4-FFF2-40B4-BE49-F238E27FC236}">
                <a16:creationId xmlns:a16="http://schemas.microsoft.com/office/drawing/2014/main" id="{108E9C36-DB6F-947D-6EFC-4B3F4555D7F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7129945" y="662609"/>
            <a:ext cx="338208" cy="338208"/>
          </a:xfrm>
          <a:prstGeom prst="rect">
            <a:avLst/>
          </a:prstGeom>
        </xdr:spPr>
      </xdr:pic>
    </xdr:grpSp>
    <xdr:clientData/>
  </xdr:twoCellAnchor>
  <xdr:twoCellAnchor>
    <xdr:from>
      <xdr:col>15</xdr:col>
      <xdr:colOff>379613</xdr:colOff>
      <xdr:row>2</xdr:row>
      <xdr:rowOff>134497</xdr:rowOff>
    </xdr:from>
    <xdr:to>
      <xdr:col>18</xdr:col>
      <xdr:colOff>158741</xdr:colOff>
      <xdr:row>6</xdr:row>
      <xdr:rowOff>13805</xdr:rowOff>
    </xdr:to>
    <xdr:grpSp>
      <xdr:nvGrpSpPr>
        <xdr:cNvPr id="53" name="Group 52">
          <a:extLst>
            <a:ext uri="{FF2B5EF4-FFF2-40B4-BE49-F238E27FC236}">
              <a16:creationId xmlns:a16="http://schemas.microsoft.com/office/drawing/2014/main" id="{4EEFEEFD-2988-E360-13D9-FB08C36FB820}"/>
            </a:ext>
          </a:extLst>
        </xdr:cNvPr>
        <xdr:cNvGrpSpPr/>
      </xdr:nvGrpSpPr>
      <xdr:grpSpPr>
        <a:xfrm>
          <a:off x="9494936" y="503207"/>
          <a:ext cx="1602192" cy="616727"/>
          <a:chOff x="8986624" y="493409"/>
          <a:chExt cx="1601301" cy="624743"/>
        </a:xfrm>
      </xdr:grpSpPr>
      <xdr:grpSp>
        <xdr:nvGrpSpPr>
          <xdr:cNvPr id="26" name="Group 25">
            <a:extLst>
              <a:ext uri="{FF2B5EF4-FFF2-40B4-BE49-F238E27FC236}">
                <a16:creationId xmlns:a16="http://schemas.microsoft.com/office/drawing/2014/main" id="{21418CAA-F774-8FDD-8BC2-0AB024708FE2}"/>
              </a:ext>
            </a:extLst>
          </xdr:cNvPr>
          <xdr:cNvGrpSpPr/>
        </xdr:nvGrpSpPr>
        <xdr:grpSpPr>
          <a:xfrm>
            <a:off x="8986624" y="493409"/>
            <a:ext cx="1601301" cy="624743"/>
            <a:chOff x="9229426" y="732138"/>
            <a:chExt cx="1609701" cy="721223"/>
          </a:xfrm>
        </xdr:grpSpPr>
        <xdr:sp macro="" textlink="'Pivot Table'!Q4">
          <xdr:nvSpPr>
            <xdr:cNvPr id="7" name="Rectangle: Rounded Corners 6">
              <a:extLst>
                <a:ext uri="{FF2B5EF4-FFF2-40B4-BE49-F238E27FC236}">
                  <a16:creationId xmlns:a16="http://schemas.microsoft.com/office/drawing/2014/main" id="{8B63F459-E034-2D78-8D02-5D9C4C9383D5}"/>
                </a:ext>
              </a:extLst>
            </xdr:cNvPr>
            <xdr:cNvSpPr/>
          </xdr:nvSpPr>
          <xdr:spPr>
            <a:xfrm>
              <a:off x="9279497" y="732876"/>
              <a:ext cx="1558243" cy="72048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r"/>
              <a:fld id="{94194EC7-5A00-4B08-A5BB-B81A323296B5}" type="TxLink">
                <a:rPr lang="en-US" sz="2000" b="1" i="0" u="none" strike="noStrike">
                  <a:solidFill>
                    <a:srgbClr val="002060"/>
                  </a:solidFill>
                  <a:latin typeface="Calibri"/>
                  <a:ea typeface="Calibri"/>
                  <a:cs typeface="Calibri"/>
                </a:rPr>
                <a:pPr marL="0" indent="0" algn="r"/>
                <a:t>₦986.18</a:t>
              </a:fld>
              <a:r>
                <a:rPr lang="en-US" sz="2000" b="1" i="0" u="none" strike="noStrike">
                  <a:solidFill>
                    <a:srgbClr val="002060"/>
                  </a:solidFill>
                  <a:latin typeface="Calibri"/>
                  <a:ea typeface="Calibri"/>
                  <a:cs typeface="Calibri"/>
                </a:rPr>
                <a:t>K</a:t>
              </a:r>
              <a:endParaRPr lang="en-NG" sz="2000" b="1" i="0" u="none" strike="noStrike">
                <a:solidFill>
                  <a:srgbClr val="002060"/>
                </a:solidFill>
                <a:latin typeface="Calibri"/>
                <a:ea typeface="Calibri"/>
                <a:cs typeface="Calibri"/>
              </a:endParaRPr>
            </a:p>
          </xdr:txBody>
        </xdr:sp>
        <xdr:sp macro="" textlink="">
          <xdr:nvSpPr>
            <xdr:cNvPr id="17" name="Rectangle 16">
              <a:extLst>
                <a:ext uri="{FF2B5EF4-FFF2-40B4-BE49-F238E27FC236}">
                  <a16:creationId xmlns:a16="http://schemas.microsoft.com/office/drawing/2014/main" id="{94387150-C21E-EA7A-683F-2B705C11D9B9}"/>
                </a:ext>
              </a:extLst>
            </xdr:cNvPr>
            <xdr:cNvSpPr/>
          </xdr:nvSpPr>
          <xdr:spPr>
            <a:xfrm>
              <a:off x="9229426" y="732138"/>
              <a:ext cx="1609701" cy="2192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US" sz="1100" b="1">
                  <a:solidFill>
                    <a:srgbClr val="002060"/>
                  </a:solidFill>
                </a:rPr>
                <a:t>Total Suspicious Claim</a:t>
              </a:r>
            </a:p>
          </xdr:txBody>
        </xdr:sp>
      </xdr:grpSp>
      <xdr:pic>
        <xdr:nvPicPr>
          <xdr:cNvPr id="52" name="Graphic 51" descr="Robber with solid fill">
            <a:extLst>
              <a:ext uri="{FF2B5EF4-FFF2-40B4-BE49-F238E27FC236}">
                <a16:creationId xmlns:a16="http://schemas.microsoft.com/office/drawing/2014/main" id="{A406A1DF-C011-FE02-AD9C-385CA84F7542}"/>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048751" y="662609"/>
            <a:ext cx="379619" cy="379619"/>
          </a:xfrm>
          <a:prstGeom prst="rect">
            <a:avLst/>
          </a:prstGeom>
        </xdr:spPr>
      </xdr:pic>
    </xdr:grpSp>
    <xdr:clientData/>
  </xdr:twoCellAnchor>
  <xdr:twoCellAnchor editAs="oneCell">
    <xdr:from>
      <xdr:col>0</xdr:col>
      <xdr:colOff>117337</xdr:colOff>
      <xdr:row>25</xdr:row>
      <xdr:rowOff>34511</xdr:rowOff>
    </xdr:from>
    <xdr:to>
      <xdr:col>1</xdr:col>
      <xdr:colOff>48133</xdr:colOff>
      <xdr:row>27</xdr:row>
      <xdr:rowOff>179456</xdr:rowOff>
    </xdr:to>
    <xdr:pic>
      <xdr:nvPicPr>
        <xdr:cNvPr id="19" name="Picture 18">
          <a:extLst>
            <a:ext uri="{FF2B5EF4-FFF2-40B4-BE49-F238E27FC236}">
              <a16:creationId xmlns:a16="http://schemas.microsoft.com/office/drawing/2014/main" id="{954D94EA-8493-0744-CF39-18CC64A6F0ED}"/>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17337" y="4693478"/>
          <a:ext cx="538187" cy="51766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benezer U." id="{48EAD0B4-9C9D-43EF-A4FC-3DEFA976FBDB}" userId="Ebenezer U." providerId="None"/>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3.773337847226" backgroundQuery="1" createdVersion="8" refreshedVersion="8" minRefreshableVersion="3" recordCount="0" supportSubquery="1" supportAdvancedDrill="1" xr:uid="{21AA6C82-D718-4FC2-89A2-7C8092B3DB5A}">
  <cacheSource type="external" connectionId="1"/>
  <cacheFields count="3">
    <cacheField name="[Table1345].[Claim Date (Month)].[Claim Date (Month)]" caption="Claim Date (Month)" numFmtId="0" hierarchy="15" level="1">
      <sharedItems count="12">
        <s v="Jan"/>
        <s v="Feb"/>
        <s v="Mar"/>
        <s v="Apr"/>
        <s v="May"/>
        <s v="Jun"/>
        <s v="Jul"/>
        <s v="Aug"/>
        <s v="Sep"/>
        <s v="Oct"/>
        <s v="Nov"/>
        <s v="Dec"/>
      </sharedItems>
    </cacheField>
    <cacheField name="[Measures].[Sum of Claim Amount]" caption="Sum of Claim Amount" numFmtId="0" hierarchy="33" level="32767"/>
    <cacheField name="[Table1345].[Duplicate flag].[Duplicate flag]" caption="Duplicate flag" numFmtId="0" hierarchy="12" level="1">
      <sharedItems containsSemiMixedTypes="0" containsNonDate="0" containsString="0"/>
    </cacheField>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0" memberValueDatatype="130" unbalanced="0"/>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2"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fieldsUsage count="2">
        <fieldUsage x="-1"/>
        <fieldUsage x="2"/>
      </fieldsUsage>
    </cacheHierarchy>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2" memberValueDatatype="130" unbalanced="0">
      <fieldsUsage count="2">
        <fieldUsage x="-1"/>
        <fieldUsage x="0"/>
      </fieldsUsage>
    </cacheHierarchy>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hidden="1">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3.773338194442" backgroundQuery="1" createdVersion="8" refreshedVersion="8" minRefreshableVersion="3" recordCount="0" supportSubquery="1" supportAdvancedDrill="1" xr:uid="{80081927-BCD3-402C-ADEA-DCD68430E047}">
  <cacheSource type="external" connectionId="1"/>
  <cacheFields count="2">
    <cacheField name="[Measures].[Count of Claim_ID]" caption="Count of Claim_ID" numFmtId="0" hierarchy="22" level="32767"/>
    <cacheField name="[Table1345].[Duplicate flag].[Duplicate flag]" caption="Duplicate flag" numFmtId="0" hierarchy="12" level="1">
      <sharedItems containsSemiMixedTypes="0" containsNonDate="0" containsString="0"/>
    </cacheField>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0" memberValueDatatype="130" unbalanced="0"/>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0"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fieldsUsage count="2">
        <fieldUsage x="-1"/>
        <fieldUsage x="1"/>
      </fieldsUsage>
    </cacheHierarchy>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0" memberValueDatatype="130" unbalanced="0"/>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hidden="1">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hidden="1">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3.773338310188" backgroundQuery="1" createdVersion="8" refreshedVersion="8" minRefreshableVersion="3" recordCount="0" supportSubquery="1" supportAdvancedDrill="1" xr:uid="{E1F01CF3-A0E8-48AE-A65E-68BBC80338BD}">
  <cacheSource type="external" connectionId="1"/>
  <cacheFields count="2">
    <cacheField name="[Measures].[Average Approved Amount]" caption="Average Approved Amount" numFmtId="0" hierarchy="18" level="32767"/>
    <cacheField name="[Table1345].[Duplicate flag].[Duplicate flag]" caption="Duplicate flag" numFmtId="0" hierarchy="12" level="1">
      <sharedItems containsSemiMixedTypes="0" containsNonDate="0" containsString="0"/>
    </cacheField>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0" memberValueDatatype="130" unbalanced="0"/>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0"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fieldsUsage count="2">
        <fieldUsage x="-1"/>
        <fieldUsage x="1"/>
      </fieldsUsage>
    </cacheHierarchy>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0" memberValueDatatype="130" unbalanced="0"/>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oneField="1">
      <fieldsUsage count="1">
        <fieldUsage x="0"/>
      </fieldsUsage>
    </cacheHierarchy>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hidden="1">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hidden="1">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3.773338888888" backgroundQuery="1" createdVersion="8" refreshedVersion="8" minRefreshableVersion="3" recordCount="0" supportSubquery="1" supportAdvancedDrill="1" xr:uid="{A922FA1C-0A62-43A9-B2F0-60C972DEB878}">
  <cacheSource type="external" connectionId="1"/>
  <cacheFields count="2">
    <cacheField name="[Measures].[Count of Duplicate flag]" caption="Count of Duplicate flag" numFmtId="0" hierarchy="35" level="32767"/>
    <cacheField name="[Table1345].[Duplicate flag].[Duplicate flag]" caption="Duplicate flag" numFmtId="0" hierarchy="12" level="1">
      <sharedItems count="3">
        <s v="No"/>
        <s v="Pending"/>
        <s v="Yes"/>
      </sharedItems>
    </cacheField>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0" memberValueDatatype="130" unbalanced="0"/>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0"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fieldsUsage count="2">
        <fieldUsage x="-1"/>
        <fieldUsage x="1"/>
      </fieldsUsage>
    </cacheHierarchy>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0" memberValueDatatype="130" unbalanced="0"/>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hidden="1">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3.773339120373" backgroundQuery="1" createdVersion="8" refreshedVersion="8" minRefreshableVersion="3" recordCount="0" supportSubquery="1" supportAdvancedDrill="1" xr:uid="{84F3BE95-6B05-49DB-B899-2EB696366FAB}">
  <cacheSource type="external" connectionId="1"/>
  <cacheFields count="2">
    <cacheField name="[Measures].[Duplicate Claims Rate]" caption="Duplicate Claims Rate" numFmtId="0" hierarchy="19" level="32767"/>
    <cacheField name="[Table1345].[Duplicate flag].[Duplicate flag]" caption="Duplicate flag" numFmtId="0" hierarchy="12" level="1">
      <sharedItems containsSemiMixedTypes="0" containsNonDate="0" containsString="0"/>
    </cacheField>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0" memberValueDatatype="130" unbalanced="0"/>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0"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fieldsUsage count="2">
        <fieldUsage x="-1"/>
        <fieldUsage x="1"/>
      </fieldsUsage>
    </cacheHierarchy>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0" memberValueDatatype="130" unbalanced="0"/>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cacheHierarchy uniqueName="[Measures].[Duplicate Claims Rate]" caption="Duplicate Claims Rate" measure="1" displayFolder="" measureGroup="Table1345" count="0" oneField="1">
      <fieldsUsage count="1">
        <fieldUsage x="0"/>
      </fieldsUsage>
    </cacheHierarchy>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hidden="1">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hidden="1">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3.773339236111" backgroundQuery="1" createdVersion="8" refreshedVersion="8" minRefreshableVersion="3" recordCount="0" supportSubquery="1" supportAdvancedDrill="1" xr:uid="{254F024E-2DC3-4203-B1C1-7B0F1368EF8C}">
  <cacheSource type="external" connectionId="1"/>
  <cacheFields count="2">
    <cacheField name="[Measures].[Average of Days To Submit]" caption="Average of Days To Submit" numFmtId="0" hierarchy="37" level="32767"/>
    <cacheField name="[Table1345].[Duplicate flag].[Duplicate flag]" caption="Duplicate flag" numFmtId="0" hierarchy="12" level="1">
      <sharedItems containsSemiMixedTypes="0" containsNonDate="0" containsString="0"/>
    </cacheField>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0" memberValueDatatype="130" unbalanced="0"/>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0"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fieldsUsage count="2">
        <fieldUsage x="-1"/>
        <fieldUsage x="1"/>
      </fieldsUsage>
    </cacheHierarchy>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0" memberValueDatatype="130" unbalanced="0"/>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hidden="1">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hidden="1">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3.773340046297" backgroundQuery="1" createdVersion="8" refreshedVersion="8" minRefreshableVersion="3" recordCount="0" supportSubquery="1" supportAdvancedDrill="1" xr:uid="{536FCE25-88A7-444B-8375-28E4E9CA5D33}">
  <cacheSource type="external" connectionId="1"/>
  <cacheFields count="3">
    <cacheField name="[Table1345].[Provider ID].[Provider ID]" caption="Provider ID" numFmtId="0" hierarchy="2" level="1">
      <sharedItems count="10">
        <s v="PRV-12"/>
        <s v="PRV-21"/>
        <s v="PRV-30"/>
        <s v="PRV-36"/>
        <s v="PRV-39"/>
        <s v="PRV-42"/>
        <s v="PRV-67"/>
        <s v="PRV-7"/>
        <s v="PRV-80"/>
        <s v="PRV-95"/>
      </sharedItems>
    </cacheField>
    <cacheField name="[Measures].[Average of Days To Submit]" caption="Average of Days To Submit" numFmtId="0" hierarchy="37" level="32767"/>
    <cacheField name="[Table1345].[Duplicate flag].[Duplicate flag]" caption="Duplicate flag" numFmtId="0" hierarchy="12" level="1">
      <sharedItems containsSemiMixedTypes="0" containsNonDate="0" containsString="0"/>
    </cacheField>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2" memberValueDatatype="130" unbalanced="0">
      <fieldsUsage count="2">
        <fieldUsage x="-1"/>
        <fieldUsage x="0"/>
      </fieldsUsage>
    </cacheHierarchy>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0"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fieldsUsage count="2">
        <fieldUsage x="-1"/>
        <fieldUsage x="2"/>
      </fieldsUsage>
    </cacheHierarchy>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0" memberValueDatatype="130" unbalanced="0"/>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hidden="1">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hidden="1">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oneField="1" hidden="1">
      <fieldsUsage count="1">
        <fieldUsage x="1"/>
      </fieldsUsage>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3.773341087966" backgroundQuery="1" createdVersion="8" refreshedVersion="8" minRefreshableVersion="3" recordCount="0" supportSubquery="1" supportAdvancedDrill="1" xr:uid="{64AC6224-F119-42B7-A336-D420160BBB77}">
  <cacheSource type="external" connectionId="1"/>
  <cacheFields count="3">
    <cacheField name="[Table1345].[Claim Date (Month)].[Claim Date (Month)]" caption="Claim Date (Month)" numFmtId="0" hierarchy="15" level="1">
      <sharedItems count="12">
        <s v="Jan"/>
        <s v="Feb"/>
        <s v="Mar"/>
        <s v="Apr"/>
        <s v="May"/>
        <s v="Jun"/>
        <s v="Jul"/>
        <s v="Aug"/>
        <s v="Sep"/>
        <s v="Oct"/>
        <s v="Nov"/>
        <s v="Dec"/>
      </sharedItems>
    </cacheField>
    <cacheField name="[Measures].[Sum of Claim Amount]" caption="Sum of Claim Amount" numFmtId="0" hierarchy="33" level="32767"/>
    <cacheField name="[Table1345].[Duplicate flag].[Duplicate flag]" caption="Duplicate flag" numFmtId="0" hierarchy="12" level="1">
      <sharedItems containsSemiMixedTypes="0" containsNonDate="0" containsString="0"/>
    </cacheField>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0" memberValueDatatype="130" unbalanced="0"/>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0"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fieldsUsage count="2">
        <fieldUsage x="-1"/>
        <fieldUsage x="2"/>
      </fieldsUsage>
    </cacheHierarchy>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2" memberValueDatatype="130" unbalanced="0">
      <fieldsUsage count="2">
        <fieldUsage x="-1"/>
        <fieldUsage x="0"/>
      </fieldsUsage>
    </cacheHierarchy>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hidden="1">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3.773341435182" backgroundQuery="1" createdVersion="8" refreshedVersion="8" minRefreshableVersion="3" recordCount="0" supportSubquery="1" supportAdvancedDrill="1" xr:uid="{2EA53F27-E14E-4558-BD91-8E4E94A51050}">
  <cacheSource type="external" connectionId="1"/>
  <cacheFields count="2">
    <cacheField name="[Measures].[Distinct Count of Patient ID]" caption="Distinct Count of Patient ID" numFmtId="0" hierarchy="24" level="32767"/>
    <cacheField name="[Table1345].[Duplicate flag].[Duplicate flag]" caption="Duplicate flag" numFmtId="0" hierarchy="12" level="1">
      <sharedItems containsSemiMixedTypes="0" containsNonDate="0" containsString="0"/>
    </cacheField>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0" memberValueDatatype="130" unbalanced="0"/>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0"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fieldsUsage count="2">
        <fieldUsage x="-1"/>
        <fieldUsage x="1"/>
      </fieldsUsage>
    </cacheHierarchy>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0" memberValueDatatype="130" unbalanced="0"/>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hidden="1">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hidden="1">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3.773342129629" backgroundQuery="1" createdVersion="8" refreshedVersion="8" minRefreshableVersion="3" recordCount="0" supportSubquery="1" supportAdvancedDrill="1" xr:uid="{A37F4B2C-E661-4721-9CFF-20A660F3CBD9}">
  <cacheSource type="external" connectionId="1"/>
  <cacheFields count="2">
    <cacheField name="[Measures].[Distinct Count of Provider ID]" caption="Distinct Count of Provider ID" numFmtId="0" hierarchy="26" level="32767"/>
    <cacheField name="[Table1345].[Duplicate flag].[Duplicate flag]" caption="Duplicate flag" numFmtId="0" hierarchy="12" level="1">
      <sharedItems containsSemiMixedTypes="0" containsNonDate="0" containsString="0"/>
    </cacheField>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0" memberValueDatatype="130" unbalanced="0"/>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0"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fieldsUsage count="2">
        <fieldUsage x="-1"/>
        <fieldUsage x="1"/>
      </fieldsUsage>
    </cacheHierarchy>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0" memberValueDatatype="130" unbalanced="0"/>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hidden="1">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hidden="1">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3.773342361113" backgroundQuery="1" createdVersion="8" refreshedVersion="8" minRefreshableVersion="3" recordCount="0" supportSubquery="1" supportAdvancedDrill="1" xr:uid="{48DD81E6-D64A-46C2-B435-F609F7DEDE78}">
  <cacheSource type="external" connectionId="1"/>
  <cacheFields count="2">
    <cacheField name="[Measures].[Distinct Count of Clinical Dept]" caption="Distinct Count of Clinical Dept" numFmtId="0" hierarchy="28" level="32767"/>
    <cacheField name="[Table1345].[Duplicate flag].[Duplicate flag]" caption="Duplicate flag" numFmtId="0" hierarchy="12" level="1">
      <sharedItems containsSemiMixedTypes="0" containsNonDate="0" containsString="0"/>
    </cacheField>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0" memberValueDatatype="130" unbalanced="0"/>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0"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fieldsUsage count="2">
        <fieldUsage x="-1"/>
        <fieldUsage x="1"/>
      </fieldsUsage>
    </cacheHierarchy>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0" memberValueDatatype="130" unbalanced="0"/>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hidden="1">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hidden="1">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3.773342476852" backgroundQuery="1" createdVersion="8" refreshedVersion="8" minRefreshableVersion="3" recordCount="0" supportSubquery="1" supportAdvancedDrill="1" xr:uid="{D5F35BF8-5C23-443C-92B3-BAA983BE0F7D}">
  <cacheSource type="external" connectionId="1"/>
  <cacheFields count="2">
    <cacheField name="[Measures].[Distinct Count of Diagnosis Code]" caption="Distinct Count of Diagnosis Code" numFmtId="0" hierarchy="30" level="32767"/>
    <cacheField name="[Table1345].[Duplicate flag].[Duplicate flag]" caption="Duplicate flag" numFmtId="0" hierarchy="12" level="1">
      <sharedItems containsSemiMixedTypes="0" containsNonDate="0" containsString="0"/>
    </cacheField>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0" memberValueDatatype="130" unbalanced="0"/>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0"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fieldsUsage count="2">
        <fieldUsage x="-1"/>
        <fieldUsage x="1"/>
      </fieldsUsage>
    </cacheHierarchy>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0" memberValueDatatype="130" unbalanced="0"/>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hidden="1">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hidden="1">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3.773342708337" backgroundQuery="1" createdVersion="8" refreshedVersion="8" minRefreshableVersion="3" recordCount="0" supportSubquery="1" supportAdvancedDrill="1" xr:uid="{D67BF1B3-4A79-484F-978E-6BD304CB9EF8}">
  <cacheSource type="external" connectionId="1"/>
  <cacheFields count="2">
    <cacheField name="[Measures].[Distinct Count of Procedure Code]" caption="Distinct Count of Procedure Code" numFmtId="0" hierarchy="32" level="32767"/>
    <cacheField name="[Table1345].[Duplicate flag].[Duplicate flag]" caption="Duplicate flag" numFmtId="0" hierarchy="12" level="1">
      <sharedItems containsSemiMixedTypes="0" containsNonDate="0" containsString="0"/>
    </cacheField>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0" memberValueDatatype="130" unbalanced="0"/>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0"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fieldsUsage count="2">
        <fieldUsage x="-1"/>
        <fieldUsage x="1"/>
      </fieldsUsage>
    </cacheHierarchy>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0" memberValueDatatype="130" unbalanced="0"/>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hidden="1">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hidden="1">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3.773343055553" backgroundQuery="1" createdVersion="8" refreshedVersion="8" minRefreshableVersion="3" recordCount="0" supportSubquery="1" supportAdvancedDrill="1" xr:uid="{1DB9CAA4-CCB5-4B08-BFD4-CBB8110E0C09}">
  <cacheSource type="external" connectionId="1"/>
  <cacheFields count="2">
    <cacheField name="[Measures].[Sum of Claim Amount]" caption="Sum of Claim Amount" numFmtId="0" hierarchy="33" level="32767"/>
    <cacheField name="[Table1345].[Duplicate flag].[Duplicate flag]" caption="Duplicate flag" numFmtId="0" hierarchy="12" level="1">
      <sharedItems containsSemiMixedTypes="0" containsNonDate="0" containsString="0"/>
    </cacheField>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0" memberValueDatatype="130" unbalanced="0"/>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0"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fieldsUsage count="2">
        <fieldUsage x="-1"/>
        <fieldUsage x="1"/>
      </fieldsUsage>
    </cacheHierarchy>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0" memberValueDatatype="130" unbalanced="0"/>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hidden="1">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3.773343287037" backgroundQuery="1" createdVersion="8" refreshedVersion="8" minRefreshableVersion="3" recordCount="0" supportSubquery="1" supportAdvancedDrill="1" xr:uid="{34BA96B6-245D-4F88-98EE-EBD073075AAC}">
  <cacheSource type="external" connectionId="1"/>
  <cacheFields count="2">
    <cacheField name="[Measures].[Sum of Approved Amount]" caption="Sum of Approved Amount" numFmtId="0" hierarchy="34" level="32767"/>
    <cacheField name="[Table1345].[Duplicate flag].[Duplicate flag]" caption="Duplicate flag" numFmtId="0" hierarchy="12" level="1">
      <sharedItems containsSemiMixedTypes="0" containsNonDate="0" containsString="0"/>
    </cacheField>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0" memberValueDatatype="130" unbalanced="0"/>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0"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fieldsUsage count="2">
        <fieldUsage x="-1"/>
        <fieldUsage x="1"/>
      </fieldsUsage>
    </cacheHierarchy>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0" memberValueDatatype="130" unbalanced="0"/>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hidden="1">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oneField="1" hidden="1">
      <fieldsUsage count="1">
        <fieldUsage x="0"/>
      </fieldsUsage>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hidden="1">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3.773343402776" backgroundQuery="1" createdVersion="8" refreshedVersion="8" minRefreshableVersion="3" recordCount="0" supportSubquery="1" supportAdvancedDrill="1" xr:uid="{1FDD944C-5B49-4E34-B37B-9C8F32EC8034}">
  <cacheSource type="external" connectionId="1"/>
  <cacheFields count="2">
    <cacheField name="[Measures].[Average Claim Amount]" caption="Average Claim Amount" numFmtId="0" hierarchy="17" level="32767"/>
    <cacheField name="[Table1345].[Duplicate flag].[Duplicate flag]" caption="Duplicate flag" numFmtId="0" hierarchy="12" level="1">
      <sharedItems containsSemiMixedTypes="0" containsNonDate="0" containsString="0"/>
    </cacheField>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0" memberValueDatatype="130" unbalanced="0"/>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0"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fieldsUsage count="2">
        <fieldUsage x="-1"/>
        <fieldUsage x="1"/>
      </fieldsUsage>
    </cacheHierarchy>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0" memberValueDatatype="130" unbalanced="0"/>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oneField="1">
      <fieldsUsage count="1">
        <fieldUsage x="0"/>
      </fieldsUsage>
    </cacheHierarchy>
    <cacheHierarchy uniqueName="[Measures].[Average Approved Amount]" caption="Average Approved Amount" measure="1" displayFolder="" measureGroup="Table1345" count="0"/>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hidden="1">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hidden="1">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3.773344328707" backgroundQuery="1" createdVersion="8" refreshedVersion="8" minRefreshableVersion="3" recordCount="0" supportSubquery="1" supportAdvancedDrill="1" xr:uid="{915FD159-D435-47EC-AB84-2A35F569A79A}">
  <cacheSource type="external" connectionId="1"/>
  <cacheFields count="3">
    <cacheField name="[Measures].[Count of Duplicate flag]" caption="Count of Duplicate flag" numFmtId="0" hierarchy="35" level="32767"/>
    <cacheField name="[Table1345].[Duplicate flag].[Duplicate flag]" caption="Duplicate flag" numFmtId="0" hierarchy="12" level="1">
      <sharedItems count="3">
        <s v="No"/>
        <s v="Pending"/>
        <s v="Yes"/>
      </sharedItems>
    </cacheField>
    <cacheField name="[Table1345].[Submission Channel].[Submission Channel]" caption="Submission Channel" numFmtId="0" hierarchy="10" level="1">
      <sharedItems count="5">
        <s v="Agent"/>
        <s v="API"/>
        <s v="Manual"/>
        <s v="Mobile"/>
        <s v="Online"/>
      </sharedItems>
    </cacheField>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0" memberValueDatatype="130" unbalanced="0"/>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2" memberValueDatatype="130" unbalanced="0">
      <fieldsUsage count="2">
        <fieldUsage x="-1"/>
        <fieldUsage x="2"/>
      </fieldsUsage>
    </cacheHierarchy>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fieldsUsage count="2">
        <fieldUsage x="-1"/>
        <fieldUsage x="1"/>
      </fieldsUsage>
    </cacheHierarchy>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0" memberValueDatatype="130" unbalanced="0"/>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hidden="1">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8.617809143521" backgroundQuery="1" createdVersion="8" refreshedVersion="8" minRefreshableVersion="3" recordCount="0" supportSubquery="1" supportAdvancedDrill="1" xr:uid="{FC6B8308-0802-401E-8DB5-46420CAB82DB}">
  <cacheSource type="external" connectionId="1"/>
  <cacheFields count="3">
    <cacheField name="[Measures].[Count of Claim Status]" caption="Count of Claim Status" numFmtId="0" hierarchy="38" level="32767"/>
    <cacheField name="[Table1345].[Claim Status].[Claim Status]" caption="Claim Status" numFmtId="0" hierarchy="9" level="1">
      <sharedItems count="3">
        <s v="Approved"/>
        <s v="Pending"/>
        <s v="Rejected"/>
      </sharedItems>
    </cacheField>
    <cacheField name="[Table1345].[Provider ID].[Provider ID]" caption="Provider ID" numFmtId="0" hierarchy="2" level="1">
      <sharedItems count="10">
        <s v="PRV-19"/>
        <s v="PRV-34"/>
        <s v="PRV-49"/>
        <s v="PRV-56"/>
        <s v="PRV-58"/>
        <s v="PRV-59"/>
        <s v="PRV-65"/>
        <s v="PRV-71"/>
        <s v="PRV-86"/>
        <s v="PRV-88"/>
      </sharedItems>
    </cacheField>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2" memberValueDatatype="130" unbalanced="0">
      <fieldsUsage count="2">
        <fieldUsage x="-1"/>
        <fieldUsage x="2"/>
      </fieldsUsage>
    </cacheHierarchy>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fieldsUsage count="2">
        <fieldUsage x="-1"/>
        <fieldUsage x="1"/>
      </fieldsUsage>
    </cacheHierarchy>
    <cacheHierarchy uniqueName="[Table1345].[Submission Channel]" caption="Submission Channel" attribute="1" defaultMemberUniqueName="[Table1345].[Submission Channel].[All]" allUniqueName="[Table1345].[Submission Channel].[All]" dimensionUniqueName="[Table1345]" displayFolder="" count="2"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0" memberValueDatatype="130" unbalanced="0"/>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hidden="1">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hidden="1">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8.619255902777" backgroundQuery="1" createdVersion="8" refreshedVersion="8" minRefreshableVersion="3" recordCount="0" supportSubquery="1" supportAdvancedDrill="1" xr:uid="{4923064C-69D7-460F-9739-E4B8AE3A9958}">
  <cacheSource type="external" connectionId="1"/>
  <cacheFields count="2">
    <cacheField name="[Measures].[Sum of Claim Amount]" caption="Sum of Claim Amount" numFmtId="0" hierarchy="33" level="32767"/>
    <cacheField name="[Table1345].[Provider ID].[Provider ID]" caption="Provider ID" numFmtId="0" hierarchy="2" level="1">
      <sharedItems count="10">
        <s v="PRV-19"/>
        <s v="PRV-34"/>
        <s v="PRV-49"/>
        <s v="PRV-56"/>
        <s v="PRV-58"/>
        <s v="PRV-65"/>
        <s v="PRV-71"/>
        <s v="PRV-83"/>
        <s v="PRV-86"/>
        <s v="PRV-88"/>
      </sharedItems>
    </cacheField>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2" memberValueDatatype="130" unbalanced="0">
      <fieldsUsage count="2">
        <fieldUsage x="-1"/>
        <fieldUsage x="1"/>
      </fieldsUsage>
    </cacheHierarchy>
    <cacheHierarchy uniqueName="[Table1345].[Claim Date]" caption="Claim Date" attribute="1" time="1" defaultMemberUniqueName="[Table1345].[Claim Date].[All]" allUniqueName="[Table1345].[Claim Date].[All]" dimensionUniqueName="[Table1345]" displayFolder="" count="2"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0"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cacheHierarchy uniqueName="[Table1345].[Claim Date (Year)]" caption="Claim Date (Year)" attribute="1" defaultMemberUniqueName="[Table1345].[Claim Date (Year)].[All]" allUniqueName="[Table1345].[Claim Date (Year)].[All]" dimensionUniqueName="[Table1345]" displayFolder="" count="2" memberValueDatatype="130" unbalanced="0"/>
    <cacheHierarchy uniqueName="[Table1345].[Claim Date (Quarter)]" caption="Claim Date (Quarter)" attribute="1" defaultMemberUniqueName="[Table1345].[Claim Date (Quarter)].[All]" allUniqueName="[Table1345].[Claim Date (Quarter)].[All]" dimensionUniqueName="[Table1345]" displayFolder="" count="2" memberValueDatatype="130" unbalanced="0"/>
    <cacheHierarchy uniqueName="[Table1345].[Claim Date (Month)]" caption="Claim Date (Month)" attribute="1" defaultMemberUniqueName="[Table1345].[Claim Date (Month)].[All]" allUniqueName="[Table1345].[Claim Date (Month)].[All]" dimensionUniqueName="[Table1345]" displayFolder="" count="2" memberValueDatatype="130" unbalanced="0"/>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hidden="1">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78.619739699076" backgroundQuery="1" createdVersion="8" refreshedVersion="8" minRefreshableVersion="3" recordCount="0" supportSubquery="1" supportAdvancedDrill="1" xr:uid="{2A18204B-CA23-4BDC-9ECE-D31660628009}">
  <cacheSource type="external" connectionId="1"/>
  <cacheFields count="3">
    <cacheField name="[Table1345].[Duplicate flag].[Duplicate flag]" caption="Duplicate flag" numFmtId="0" hierarchy="12" level="1">
      <sharedItems count="3">
        <s v="No"/>
        <s v="Pending"/>
        <s v="Yes"/>
      </sharedItems>
    </cacheField>
    <cacheField name="[Table1345].[Provider ID].[Provider ID]" caption="Provider ID" numFmtId="0" hierarchy="2" level="1">
      <sharedItems count="10">
        <s v="PRV-19"/>
        <s v="PRV-34"/>
        <s v="PRV-49"/>
        <s v="PRV-56"/>
        <s v="PRV-58"/>
        <s v="PRV-59"/>
        <s v="PRV-65"/>
        <s v="PRV-71"/>
        <s v="PRV-86"/>
        <s v="PRV-88"/>
      </sharedItems>
    </cacheField>
    <cacheField name="[Measures].[Count of Duplicate flag]" caption="Count of Duplicate flag" numFmtId="0" hierarchy="35" level="32767"/>
  </cacheFields>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2" memberValueDatatype="130" unbalanced="0">
      <fieldsUsage count="2">
        <fieldUsage x="-1"/>
        <fieldUsage x="1"/>
      </fieldsUsage>
    </cacheHierarchy>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0"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fieldsUsage count="2">
        <fieldUsage x="-1"/>
        <fieldUsage x="0"/>
      </fieldsUsage>
    </cacheHierarchy>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0" memberValueDatatype="130" unbalanced="0"/>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hidden="1">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345" uniqueName="[Table1345]" caption="Table1345"/>
  </dimensions>
  <measureGroups count="1">
    <measureGroup name="Table1345" caption="Table1345"/>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63.938660300926" backgroundQuery="1" createdVersion="3" refreshedVersion="8" minRefreshableVersion="3" recordCount="0" supportSubquery="1" supportAdvancedDrill="1" xr:uid="{9378D014-D339-4EA3-BCE7-12F656163432}">
  <cacheSource type="external" connectionId="1">
    <extLst>
      <ext xmlns:x14="http://schemas.microsoft.com/office/spreadsheetml/2009/9/main" uri="{F057638F-6D5F-4e77-A914-E7F072B9BCA8}">
        <x14:sourceConnection name="ThisWorkbookDataModel"/>
      </ext>
    </extLst>
  </cacheSource>
  <cacheFields count="0"/>
  <cacheHierarchies count="39">
    <cacheHierarchy uniqueName="[Table1345].[Claim_ID]" caption="Claim_ID" attribute="1" defaultMemberUniqueName="[Table1345].[Claim_ID].[All]" allUniqueName="[Table1345].[Claim_ID].[All]" dimensionUniqueName="[Table1345]" displayFolder="" count="0" memberValueDatatype="130" unbalanced="0"/>
    <cacheHierarchy uniqueName="[Table1345].[Patient ID]" caption="Patient ID" attribute="1" defaultMemberUniqueName="[Table1345].[Patient ID].[All]" allUniqueName="[Table1345].[Patient ID].[All]" dimensionUniqueName="[Table1345]" displayFolder="" count="0" memberValueDatatype="130" unbalanced="0"/>
    <cacheHierarchy uniqueName="[Table1345].[Provider ID]" caption="Provider ID" attribute="1" defaultMemberUniqueName="[Table1345].[Provider ID].[All]" allUniqueName="[Table1345].[Provider ID].[All]" dimensionUniqueName="[Table1345]" displayFolder="" count="0" memberValueDatatype="130" unbalanced="0"/>
    <cacheHierarchy uniqueName="[Table1345].[Claim Date]" caption="Claim Date" attribute="1" time="1" defaultMemberUniqueName="[Table1345].[Claim Date].[All]" allUniqueName="[Table1345].[Claim Date].[All]" dimensionUniqueName="[Table1345]" displayFolder="" count="0" memberValueDatatype="7" unbalanced="0"/>
    <cacheHierarchy uniqueName="[Table1345].[Clinical Dept]" caption="Clinical Dept" attribute="1" defaultMemberUniqueName="[Table1345].[Clinical Dept].[All]" allUniqueName="[Table1345].[Clinical Dept].[All]" dimensionUniqueName="[Table1345]" displayFolder="" count="0" memberValueDatatype="130" unbalanced="0"/>
    <cacheHierarchy uniqueName="[Table1345].[Diagnosis Code]" caption="Diagnosis Code" attribute="1" defaultMemberUniqueName="[Table1345].[Diagnosis Code].[All]" allUniqueName="[Table1345].[Diagnosis Code].[All]" dimensionUniqueName="[Table1345]" displayFolder="" count="0" memberValueDatatype="130" unbalanced="0"/>
    <cacheHierarchy uniqueName="[Table1345].[Procedure Code]" caption="Procedure Code" attribute="1" defaultMemberUniqueName="[Table1345].[Procedure Code].[All]" allUniqueName="[Table1345].[Procedure Code].[All]" dimensionUniqueName="[Table1345]" displayFolder="" count="0" memberValueDatatype="130" unbalanced="0"/>
    <cacheHierarchy uniqueName="[Table1345].[Claim Amount]" caption="Claim Amount" attribute="1" defaultMemberUniqueName="[Table1345].[Claim Amount].[All]" allUniqueName="[Table1345].[Claim Amount].[All]" dimensionUniqueName="[Table1345]" displayFolder="" count="0" memberValueDatatype="5" unbalanced="0"/>
    <cacheHierarchy uniqueName="[Table1345].[Approved Amount]" caption="Approved Amount" attribute="1" defaultMemberUniqueName="[Table1345].[Approved Amount].[All]" allUniqueName="[Table1345].[Approved Amount].[All]" dimensionUniqueName="[Table1345]" displayFolder="" count="0" memberValueDatatype="5" unbalanced="0"/>
    <cacheHierarchy uniqueName="[Table1345].[Claim Status]" caption="Claim Status" attribute="1" defaultMemberUniqueName="[Table1345].[Claim Status].[All]" allUniqueName="[Table1345].[Claim Status].[All]" dimensionUniqueName="[Table1345]" displayFolder="" count="2" memberValueDatatype="130" unbalanced="0"/>
    <cacheHierarchy uniqueName="[Table1345].[Submission Channel]" caption="Submission Channel" attribute="1" defaultMemberUniqueName="[Table1345].[Submission Channel].[All]" allUniqueName="[Table1345].[Submission Channel].[All]" dimensionUniqueName="[Table1345]" displayFolder="" count="2" memberValueDatatype="130" unbalanced="0"/>
    <cacheHierarchy uniqueName="[Table1345].[Days To Submit]" caption="Days To Submit" attribute="1" defaultMemberUniqueName="[Table1345].[Days To Submit].[All]" allUniqueName="[Table1345].[Days To Submit].[All]" dimensionUniqueName="[Table1345]" displayFolder="" count="0" memberValueDatatype="20" unbalanced="0"/>
    <cacheHierarchy uniqueName="[Table1345].[Duplicate flag]" caption="Duplicate flag" attribute="1" defaultMemberUniqueName="[Table1345].[Duplicate flag].[All]" allUniqueName="[Table1345].[Duplicate flag].[All]" dimensionUniqueName="[Table1345]" displayFolder="" count="2" memberValueDatatype="130" unbalanced="0"/>
    <cacheHierarchy uniqueName="[Table1345].[Claim Date (Year)]" caption="Claim Date (Year)" attribute="1" defaultMemberUniqueName="[Table1345].[Claim Date (Year)].[All]" allUniqueName="[Table1345].[Claim Date (Year)].[All]" dimensionUniqueName="[Table1345]" displayFolder="" count="0" memberValueDatatype="130" unbalanced="0"/>
    <cacheHierarchy uniqueName="[Table1345].[Claim Date (Quarter)]" caption="Claim Date (Quarter)" attribute="1" defaultMemberUniqueName="[Table1345].[Claim Date (Quarter)].[All]" allUniqueName="[Table1345].[Claim Date (Quarter)].[All]" dimensionUniqueName="[Table1345]" displayFolder="" count="0" memberValueDatatype="130" unbalanced="0"/>
    <cacheHierarchy uniqueName="[Table1345].[Claim Date (Month)]" caption="Claim Date (Month)" attribute="1" defaultMemberUniqueName="[Table1345].[Claim Date (Month)].[All]" allUniqueName="[Table1345].[Claim Date (Month)].[All]" dimensionUniqueName="[Table1345]" displayFolder="" count="0" memberValueDatatype="130" unbalanced="0"/>
    <cacheHierarchy uniqueName="[Table1345].[Claim Date (Month Index)]" caption="Claim Date (Month Index)" attribute="1" defaultMemberUniqueName="[Table1345].[Claim Date (Month Index)].[All]" allUniqueName="[Table1345].[Claim Date (Month Index)].[All]" dimensionUniqueName="[Table1345]" displayFolder="" count="0" memberValueDatatype="20" unbalanced="0" hidden="1"/>
    <cacheHierarchy uniqueName="[Measures].[Average Claim Amount]" caption="Average Claim Amount" measure="1" displayFolder="" measureGroup="Table1345" count="0"/>
    <cacheHierarchy uniqueName="[Measures].[Average Approved Amount]" caption="Average Approved Amount" measure="1" displayFolder="" measureGroup="Table1345" count="0"/>
    <cacheHierarchy uniqueName="[Measures].[Duplicate Claims Rate]" caption="Duplicate Claims Rate" measure="1" displayFolder="" measureGroup="Table1345" count="0"/>
    <cacheHierarchy uniqueName="[Measures].[__XL_Count Table1345]" caption="__XL_Count Table1345" measure="1" displayFolder="" measureGroup="Table1345" count="0" hidden="1"/>
    <cacheHierarchy uniqueName="[Measures].[__No measures defined]" caption="__No measures defined" measure="1" displayFolder="" count="0" hidden="1"/>
    <cacheHierarchy uniqueName="[Measures].[Count of Claim_ID]" caption="Count of Claim_ID" measure="1" displayFolder="" measureGroup="Table1345" count="0" hidden="1">
      <extLst>
        <ext xmlns:x15="http://schemas.microsoft.com/office/spreadsheetml/2010/11/main" uri="{B97F6D7D-B522-45F9-BDA1-12C45D357490}">
          <x15:cacheHierarchy aggregatedColumn="0"/>
        </ext>
      </extLst>
    </cacheHierarchy>
    <cacheHierarchy uniqueName="[Measures].[Count of Patient ID]" caption="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Distinct Count of Patient ID]" caption="Distinct Count of Patient ID" measure="1" displayFolder="" measureGroup="Table1345" count="0" hidden="1">
      <extLst>
        <ext xmlns:x15="http://schemas.microsoft.com/office/spreadsheetml/2010/11/main" uri="{B97F6D7D-B522-45F9-BDA1-12C45D357490}">
          <x15:cacheHierarchy aggregatedColumn="1"/>
        </ext>
      </extLst>
    </cacheHierarchy>
    <cacheHierarchy uniqueName="[Measures].[Count of Provider ID]" caption="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Distinct Count of Provider ID]" caption="Distinct Count of Provider ID" measure="1" displayFolder="" measureGroup="Table1345" count="0" hidden="1">
      <extLst>
        <ext xmlns:x15="http://schemas.microsoft.com/office/spreadsheetml/2010/11/main" uri="{B97F6D7D-B522-45F9-BDA1-12C45D357490}">
          <x15:cacheHierarchy aggregatedColumn="2"/>
        </ext>
      </extLst>
    </cacheHierarchy>
    <cacheHierarchy uniqueName="[Measures].[Count of Clinical Dept]" caption="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Distinct Count of Clinical Dept]" caption="Distinct Count of Clinical Dept" measure="1" displayFolder="" measureGroup="Table1345" count="0" hidden="1">
      <extLst>
        <ext xmlns:x15="http://schemas.microsoft.com/office/spreadsheetml/2010/11/main" uri="{B97F6D7D-B522-45F9-BDA1-12C45D357490}">
          <x15:cacheHierarchy aggregatedColumn="4"/>
        </ext>
      </extLst>
    </cacheHierarchy>
    <cacheHierarchy uniqueName="[Measures].[Count of Diagnosis Code]" caption="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Distinct Count of Diagnosis Code]" caption="Distinct Count of Diagnosis Code" measure="1" displayFolder="" measureGroup="Table1345" count="0" hidden="1">
      <extLst>
        <ext xmlns:x15="http://schemas.microsoft.com/office/spreadsheetml/2010/11/main" uri="{B97F6D7D-B522-45F9-BDA1-12C45D357490}">
          <x15:cacheHierarchy aggregatedColumn="5"/>
        </ext>
      </extLst>
    </cacheHierarchy>
    <cacheHierarchy uniqueName="[Measures].[Count of Procedure Code]" caption="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Distinct Count of Procedure Code]" caption="Distinct Count of Procedure Code" measure="1" displayFolder="" measureGroup="Table1345" count="0" hidden="1">
      <extLst>
        <ext xmlns:x15="http://schemas.microsoft.com/office/spreadsheetml/2010/11/main" uri="{B97F6D7D-B522-45F9-BDA1-12C45D357490}">
          <x15:cacheHierarchy aggregatedColumn="6"/>
        </ext>
      </extLst>
    </cacheHierarchy>
    <cacheHierarchy uniqueName="[Measures].[Sum of Claim Amount]" caption="Sum of Claim Amount" measure="1" displayFolder="" measureGroup="Table1345" count="0" hidden="1">
      <extLst>
        <ext xmlns:x15="http://schemas.microsoft.com/office/spreadsheetml/2010/11/main" uri="{B97F6D7D-B522-45F9-BDA1-12C45D357490}">
          <x15:cacheHierarchy aggregatedColumn="7"/>
        </ext>
      </extLst>
    </cacheHierarchy>
    <cacheHierarchy uniqueName="[Measures].[Sum of Approved Amount]" caption="Sum of Approved Amount" measure="1" displayFolder="" measureGroup="Table1345" count="0" hidden="1">
      <extLst>
        <ext xmlns:x15="http://schemas.microsoft.com/office/spreadsheetml/2010/11/main" uri="{B97F6D7D-B522-45F9-BDA1-12C45D357490}">
          <x15:cacheHierarchy aggregatedColumn="8"/>
        </ext>
      </extLst>
    </cacheHierarchy>
    <cacheHierarchy uniqueName="[Measures].[Count of Duplicate flag]" caption="Count of Duplicate flag" measure="1" displayFolder="" measureGroup="Table1345" count="0" hidden="1">
      <extLst>
        <ext xmlns:x15="http://schemas.microsoft.com/office/spreadsheetml/2010/11/main" uri="{B97F6D7D-B522-45F9-BDA1-12C45D357490}">
          <x15:cacheHierarchy aggregatedColumn="12"/>
        </ext>
      </extLst>
    </cacheHierarchy>
    <cacheHierarchy uniqueName="[Measures].[Sum of Days To Submit]" caption="Sum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Average of Days To Submit]" caption="Average of Days To Submit" measure="1" displayFolder="" measureGroup="Table1345" count="0" hidden="1">
      <extLst>
        <ext xmlns:x15="http://schemas.microsoft.com/office/spreadsheetml/2010/11/main" uri="{B97F6D7D-B522-45F9-BDA1-12C45D357490}">
          <x15:cacheHierarchy aggregatedColumn="11"/>
        </ext>
      </extLst>
    </cacheHierarchy>
    <cacheHierarchy uniqueName="[Measures].[Count of Claim Status]" caption="Count of Claim Status" measure="1" displayFolder="" measureGroup="Table1345"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7975839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A8590B-0015-42B8-81F3-D753C419D38E}" name="PivotTable15"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M32:N45"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MoM Growth Rate" fld="1" showDataAs="percentDiff" baseField="0" baseItem="1048828" numFmtId="10"/>
  </dataFields>
  <formats count="10">
    <format dxfId="9">
      <pivotArea type="all" dataOnly="0" outline="0" fieldPosition="0"/>
    </format>
    <format dxfId="8">
      <pivotArea outline="0" collapsedLevelsAreSubtotals="1" fieldPosition="0"/>
    </format>
    <format dxfId="7">
      <pivotArea dataOnly="0" labelOnly="1" outline="0" axis="axisValues" fieldPosition="0"/>
    </format>
    <format dxfId="6">
      <pivotArea outline="0" fieldPosition="0">
        <references count="1">
          <reference field="4294967294" count="1">
            <x v="0"/>
          </reference>
        </references>
      </pivotArea>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1">
            <x v="0"/>
          </reference>
        </references>
      </pivotArea>
    </format>
  </formats>
  <chartFormats count="5">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9"/>
          </reference>
        </references>
      </pivotArea>
    </chartFormat>
    <chartFormat chart="6" format="4">
      <pivotArea type="data" outline="0" fieldPosition="0">
        <references count="2">
          <reference field="4294967294" count="1" selected="0">
            <x v="0"/>
          </reference>
          <reference field="0" count="1" selected="0">
            <x v="3"/>
          </reference>
        </references>
      </pivotArea>
    </chartFormat>
    <chartFormat chart="6" format="5">
      <pivotArea type="data" outline="0" fieldPosition="0">
        <references count="2">
          <reference field="4294967294" count="1" selected="0">
            <x v="0"/>
          </reference>
          <reference field="0" count="1" selected="0">
            <x v="2"/>
          </reference>
        </references>
      </pivotArea>
    </chartFormat>
    <chartFormat chart="6" format="6">
      <pivotArea type="data" outline="0" fieldPosition="0">
        <references count="2">
          <reference field="4294967294" count="1" selected="0">
            <x v="0"/>
          </reference>
          <reference field="0" count="1" selected="0">
            <x v="1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caption="Total Patients"/>
    <pivotHierarchy dragToData="1"/>
    <pivotHierarchy dragToData="1"/>
    <pivotHierarchy dragToData="1"/>
    <pivotHierarchy dragToData="1"/>
    <pivotHierarchy dragToData="1"/>
    <pivotHierarchy dragToData="1" caption="Total Disgnosis"/>
    <pivotHierarchy dragToData="1"/>
    <pivotHierarchy dragToData="1" caption="Total Procedures"/>
    <pivotHierarchy dragToData="1" caption="MoM Growth Rat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0E370D-8EF3-484B-BAB2-FE55733729E5}" name="PivotTable22" cacheId="16"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O15:U20" firstHeaderRow="1" firstDataRow="2" firstDataCol="1"/>
  <pivotFields count="3">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s>
  <rowFields count="1">
    <field x="1"/>
  </rowFields>
  <rowItems count="4">
    <i>
      <x/>
    </i>
    <i>
      <x v="1"/>
    </i>
    <i>
      <x v="2"/>
    </i>
    <i t="grand">
      <x/>
    </i>
  </rowItems>
  <colFields count="1">
    <field x="2"/>
  </colFields>
  <colItems count="6">
    <i>
      <x/>
    </i>
    <i>
      <x v="1"/>
    </i>
    <i>
      <x v="2"/>
    </i>
    <i>
      <x v="3"/>
    </i>
    <i>
      <x v="4"/>
    </i>
    <i t="grand">
      <x/>
    </i>
  </colItems>
  <dataFields count="1">
    <dataField name="Total Duplicate" fld="0" subtotal="count" baseField="0" baseItem="0"/>
  </dataFields>
  <formats count="3">
    <format dxfId="12">
      <pivotArea type="all" dataOnly="0" outline="0" fieldPosition="0"/>
    </format>
    <format dxfId="11">
      <pivotArea outline="0" collapsedLevelsAreSubtotals="1" fieldPosition="0"/>
    </format>
    <format dxfId="10">
      <pivotArea dataOnly="0" labelOnly="1" outline="0" axis="axisValues" fieldPosition="0"/>
    </format>
  </formats>
  <conditionalFormats count="1">
    <conditionalFormat priority="1">
      <pivotAreas count="1">
        <pivotArea type="data" collapsedLevelsAreSubtotals="1" fieldPosition="0">
          <references count="3">
            <reference field="4294967294" count="1" selected="0">
              <x v="0"/>
            </reference>
            <reference field="1" count="1">
              <x v="2"/>
            </reference>
            <reference field="2" count="5" selected="0">
              <x v="0"/>
              <x v="1"/>
              <x v="2"/>
              <x v="3"/>
              <x v="4"/>
            </reference>
          </references>
        </pivotArea>
      </pivotAreas>
    </conditionalFormat>
  </conditional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caption="Total Patients"/>
    <pivotHierarchy dragToData="1"/>
    <pivotHierarchy dragToData="1"/>
    <pivotHierarchy dragToData="1"/>
    <pivotHierarchy dragToData="1"/>
    <pivotHierarchy dragToData="1"/>
    <pivotHierarchy dragToData="1" caption="Total Disgnosis"/>
    <pivotHierarchy dragToData="1"/>
    <pivotHierarchy dragToData="1" caption="Total Procedures"/>
    <pivotHierarchy dragToData="1" caption="Total Claim Amount"/>
    <pivotHierarchy dragToData="1"/>
    <pivotHierarchy dragToData="1" caption="Total Duplicat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A9531C-D253-494D-BA82-16A15B1F8F8C}" name="PivotTable19"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L13:M2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Claim Amount" fld="1" baseField="0" baseItem="0" numFmtId="165"/>
  </dataFields>
  <formats count="10">
    <format dxfId="22">
      <pivotArea type="all" dataOnly="0" outline="0" fieldPosition="0"/>
    </format>
    <format dxfId="21">
      <pivotArea outline="0" collapsedLevelsAreSubtotals="1" fieldPosition="0"/>
    </format>
    <format dxfId="20">
      <pivotArea dataOnly="0" labelOnly="1" outline="0" axis="axisValues" fieldPosition="0"/>
    </format>
    <format dxfId="19">
      <pivotArea outline="0" fieldPosition="0">
        <references count="1">
          <reference field="4294967294" count="1">
            <x v="0"/>
          </reference>
        </references>
      </pivotArea>
    </format>
    <format dxfId="18">
      <pivotArea type="all" dataOnly="0" outline="0" fieldPosition="0"/>
    </format>
    <format dxfId="17">
      <pivotArea outline="0" collapsedLevelsAreSubtotals="1" fieldPosition="0"/>
    </format>
    <format dxfId="16">
      <pivotArea field="0" type="button" dataOnly="0" labelOnly="1" outline="0" axis="axisRow" fieldPosition="0"/>
    </format>
    <format dxfId="15">
      <pivotArea dataOnly="0" labelOnly="1" fieldPosition="0">
        <references count="1">
          <reference field="0" count="0"/>
        </references>
      </pivotArea>
    </format>
    <format dxfId="14">
      <pivotArea dataOnly="0" labelOnly="1" grandRow="1" outline="0" fieldPosition="0"/>
    </format>
    <format dxfId="13">
      <pivotArea dataOnly="0" labelOnly="1" outline="0" fieldPosition="0">
        <references count="1">
          <reference field="4294967294" count="1">
            <x v="0"/>
          </reference>
        </references>
      </pivotArea>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caption="Total Patients"/>
    <pivotHierarchy dragToData="1"/>
    <pivotHierarchy dragToData="1"/>
    <pivotHierarchy dragToData="1"/>
    <pivotHierarchy dragToData="1"/>
    <pivotHierarchy dragToData="1"/>
    <pivotHierarchy dragToData="1" caption="Total Disgnosis"/>
    <pivotHierarchy dragToData="1"/>
    <pivotHierarchy dragToData="1" caption="Total Procedures"/>
    <pivotHierarchy dragToData="1" caption="MoM Growth Rat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1748D7-4D5D-4B73-B039-6A96610D72F1}" name="PivotTable3"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viders" fld="0" subtotal="count" baseField="0" baseItem="0">
      <extLst>
        <ext xmlns:x15="http://schemas.microsoft.com/office/spreadsheetml/2010/11/main" uri="{FABC7310-3BB5-11E1-824E-6D434824019B}">
          <x15:dataField isCountDistinct="1"/>
        </ext>
      </extLst>
    </dataField>
  </dataFields>
  <formats count="6">
    <format dxfId="28">
      <pivotArea type="all" dataOnly="0" outline="0" fieldPosition="0"/>
    </format>
    <format dxfId="27">
      <pivotArea outline="0" collapsedLevelsAreSubtotals="1"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caption="No Of Patients"/>
    <pivotHierarchy dragToData="1"/>
    <pivotHierarchy dragToData="1" caption="Total Provi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3ECAEF-735D-4B85-BFDC-2295C71AB6DA}" name="PivotTable21" cacheId="19" applyNumberFormats="0" applyBorderFormats="0" applyFontFormats="0" applyPatternFormats="0" applyAlignmentFormats="0" applyWidthHeightFormats="1" dataCaption="Values" updatedVersion="8" minRefreshableVersion="3" subtotalHiddenItems="1" colGrandTotals="0" itemPrintTitles="1" createdVersion="8" indent="0" outline="1" outlineData="1" chartFormat="17">
  <location ref="G28:J40"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measureFilter="1" defaultSubtotal="0" defaultAttributeDrillState="1">
      <items count="10">
        <item s="1" x="2"/>
        <item s="1" x="0"/>
        <item s="1" x="1"/>
        <item s="1" x="3"/>
        <item s="1" x="4"/>
        <item s="1" x="6"/>
        <item s="1" x="7"/>
        <item s="1" x="8"/>
        <item s="1" x="9"/>
        <item s="1" x="5"/>
      </items>
    </pivotField>
    <pivotField dataField="1" subtotalTop="0" showAll="0" defaultSubtotal="0"/>
  </pivotFields>
  <rowFields count="1">
    <field x="1"/>
  </rowFields>
  <rowItems count="11">
    <i>
      <x/>
    </i>
    <i>
      <x v="1"/>
    </i>
    <i>
      <x v="2"/>
    </i>
    <i>
      <x v="3"/>
    </i>
    <i>
      <x v="4"/>
    </i>
    <i>
      <x v="5"/>
    </i>
    <i>
      <x v="6"/>
    </i>
    <i>
      <x v="7"/>
    </i>
    <i>
      <x v="8"/>
    </i>
    <i>
      <x v="9"/>
    </i>
    <i t="grand">
      <x/>
    </i>
  </rowItems>
  <colFields count="1">
    <field x="0"/>
  </colFields>
  <colItems count="3">
    <i>
      <x/>
    </i>
    <i>
      <x v="1"/>
    </i>
    <i>
      <x v="2"/>
    </i>
  </colItems>
  <dataFields count="1">
    <dataField name="Count of Duplicate flag" fld="2" subtotal="count" baseField="0" baseItem="0"/>
  </dataFields>
  <formats count="15">
    <format dxfId="43">
      <pivotArea type="all" dataOnly="0" outline="0" fieldPosition="0"/>
    </format>
    <format dxfId="42">
      <pivotArea outline="0" collapsedLevelsAreSubtotals="1"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type="origin" dataOnly="0" labelOnly="1" outline="0" fieldPosition="0"/>
    </format>
    <format dxfId="34">
      <pivotArea field="0" type="button" dataOnly="0" labelOnly="1" outline="0" axis="axisCol" fieldPosition="0"/>
    </format>
    <format dxfId="33">
      <pivotArea type="topRight" dataOnly="0" labelOnly="1" outline="0" fieldPosition="0"/>
    </format>
    <format dxfId="32">
      <pivotArea field="1" type="button" dataOnly="0" labelOnly="1" outline="0" axis="axisRow" fieldPosition="0"/>
    </format>
    <format dxfId="31">
      <pivotArea dataOnly="0" labelOnly="1" fieldPosition="0">
        <references count="1">
          <reference field="1" count="0"/>
        </references>
      </pivotArea>
    </format>
    <format dxfId="30">
      <pivotArea dataOnly="0" labelOnly="1" grandRow="1" outline="0" fieldPosition="0"/>
    </format>
    <format dxfId="29">
      <pivotArea dataOnly="0" labelOnly="1" fieldPosition="0">
        <references count="1">
          <reference field="0" count="0"/>
        </references>
      </pivotArea>
    </format>
  </formats>
  <chartFormats count="4">
    <chartFormat chart="12" format="5" series="1">
      <pivotArea type="data" outline="0" fieldPosition="0">
        <references count="2">
          <reference field="4294967294" count="1" selected="0">
            <x v="0"/>
          </reference>
          <reference field="0" count="1" selected="0">
            <x v="0"/>
          </reference>
        </references>
      </pivotArea>
    </chartFormat>
    <chartFormat chart="12" format="6" series="1">
      <pivotArea type="data" outline="0" fieldPosition="0">
        <references count="2">
          <reference field="4294967294" count="1" selected="0">
            <x v="0"/>
          </reference>
          <reference field="0" count="1" selected="0">
            <x v="2"/>
          </reference>
        </references>
      </pivotArea>
    </chartFormat>
    <chartFormat chart="12" format="8" series="1">
      <pivotArea type="data" outline="0" fieldPosition="0">
        <references count="2">
          <reference field="4294967294" count="1" selected="0">
            <x v="0"/>
          </reference>
          <reference field="0" count="1" selected="0">
            <x v="1"/>
          </reference>
        </references>
      </pivotArea>
    </chartFormat>
    <chartFormat chart="12" format="9"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members count="99" level="1">
        <member name="[Table1345].[Provider ID].&amp;[PRV-1]"/>
        <member name="[Table1345].[Provider ID].&amp;[PRV-10]"/>
        <member name="[Table1345].[Provider ID].&amp;[PRV-100]"/>
        <member name="[Table1345].[Provider ID].&amp;[PRV-11]"/>
        <member name="[Table1345].[Provider ID].&amp;[PRV-12]"/>
        <member name="[Table1345].[Provider ID].&amp;[PRV-13]"/>
        <member name="[Table1345].[Provider ID].&amp;[PRV-14]"/>
        <member name="[Table1345].[Provider ID].&amp;[PRV-15]"/>
        <member name="[Table1345].[Provider ID].&amp;[PRV-16]"/>
        <member name="[Table1345].[Provider ID].&amp;[PRV-17]"/>
        <member name="[Table1345].[Provider ID].&amp;[PRV-18]"/>
        <member name=""/>
        <member name="[Table1345].[Provider ID].&amp;[PRV-2]"/>
        <member name="[Table1345].[Provider ID].&amp;[PRV-20]"/>
        <member name="[Table1345].[Provider ID].&amp;[PRV-21]"/>
        <member name="[Table1345].[Provider ID].&amp;[PRV-22]"/>
        <member name="[Table1345].[Provider ID].&amp;[PRV-23]"/>
        <member name="[Table1345].[Provider ID].&amp;[PRV-24]"/>
        <member name="[Table1345].[Provider ID].&amp;[PRV-25]"/>
        <member name="[Table1345].[Provider ID].&amp;[PRV-26]"/>
        <member name="[Table1345].[Provider ID].&amp;[PRV-27]"/>
        <member name="[Table1345].[Provider ID].&amp;[PRV-28]"/>
        <member name="[Table1345].[Provider ID].&amp;[PRV-29]"/>
        <member name="[Table1345].[Provider ID].&amp;[PRV-3]"/>
        <member name="[Table1345].[Provider ID].&amp;[PRV-30]"/>
        <member name="[Table1345].[Provider ID].&amp;[PRV-31]"/>
        <member name="[Table1345].[Provider ID].&amp;[PRV-32]"/>
        <member name="[Table1345].[Provider ID].&amp;[PRV-33]"/>
        <member name=""/>
        <member name="[Table1345].[Provider ID].&amp;[PRV-36]"/>
        <member name="[Table1345].[Provider ID].&amp;[PRV-37]"/>
        <member name="[Table1345].[Provider ID].&amp;[PRV-38]"/>
        <member name="[Table1345].[Provider ID].&amp;[PRV-39]"/>
        <member name="[Table1345].[Provider ID].&amp;[PRV-4]"/>
        <member name="[Table1345].[Provider ID].&amp;[PRV-40]"/>
        <member name="[Table1345].[Provider ID].&amp;[PRV-41]"/>
        <member name="[Table1345].[Provider ID].&amp;[PRV-42]"/>
        <member name="[Table1345].[Provider ID].&amp;[PRV-43]"/>
        <member name="[Table1345].[Provider ID].&amp;[PRV-44]"/>
        <member name="[Table1345].[Provider ID].&amp;[PRV-45]"/>
        <member name="[Table1345].[Provider ID].&amp;[PRV-46]"/>
        <member name="[Table1345].[Provider ID].&amp;[PRV-47]"/>
        <member name="[Table1345].[Provider ID].&amp;[PRV-48]"/>
        <member name=""/>
        <member name="[Table1345].[Provider ID].&amp;[PRV-5]"/>
        <member name="[Table1345].[Provider ID].&amp;[PRV-50]"/>
        <member name="[Table1345].[Provider ID].&amp;[PRV-51]"/>
        <member name="[Table1345].[Provider ID].&amp;[PRV-52]"/>
        <member name="[Table1345].[Provider ID].&amp;[PRV-53]"/>
        <member name="[Table1345].[Provider ID].&amp;[PRV-54]"/>
        <member name="[Table1345].[Provider ID].&amp;[PRV-55]"/>
        <member name=""/>
        <member name="[Table1345].[Provider ID].&amp;[PRV-57]"/>
        <member name=""/>
        <member name=""/>
        <member name="[Table1345].[Provider ID].&amp;[PRV-6]"/>
        <member name="[Table1345].[Provider ID].&amp;[PRV-60]"/>
        <member name="[Table1345].[Provider ID].&amp;[PRV-61]"/>
        <member name="[Table1345].[Provider ID].&amp;[PRV-62]"/>
        <member name="[Table1345].[Provider ID].&amp;[PRV-63]"/>
        <member name="[Table1345].[Provider ID].&amp;[PRV-64]"/>
        <member name=""/>
        <member name="[Table1345].[Provider ID].&amp;[PRV-66]"/>
        <member name="[Table1345].[Provider ID].&amp;[PRV-67]"/>
        <member name="[Table1345].[Provider ID].&amp;[PRV-68]"/>
        <member name="[Table1345].[Provider ID].&amp;[PRV-69]"/>
        <member name="[Table1345].[Provider ID].&amp;[PRV-7]"/>
        <member name="[Table1345].[Provider ID].&amp;[PRV-70]"/>
        <member name=""/>
        <member name="[Table1345].[Provider ID].&amp;[PRV-72]"/>
        <member name="[Table1345].[Provider ID].&amp;[PRV-73]"/>
        <member name="[Table1345].[Provider ID].&amp;[PRV-74]"/>
        <member name="[Table1345].[Provider ID].&amp;[PRV-75]"/>
        <member name="[Table1345].[Provider ID].&amp;[PRV-76]"/>
        <member name="[Table1345].[Provider ID].&amp;[PRV-77]"/>
        <member name="[Table1345].[Provider ID].&amp;[PRV-78]"/>
        <member name="[Table1345].[Provider ID].&amp;[PRV-79]"/>
        <member name="[Table1345].[Provider ID].&amp;[PRV-8]"/>
        <member name="[Table1345].[Provider ID].&amp;[PRV-80]"/>
        <member name="[Table1345].[Provider ID].&amp;[PRV-81]"/>
        <member name="[Table1345].[Provider ID].&amp;[PRV-82]"/>
        <member name="[Table1345].[Provider ID].&amp;[PRV-83]"/>
        <member name="[Table1345].[Provider ID].&amp;[PRV-84]"/>
        <member name="[Table1345].[Provider ID].&amp;[PRV-85]"/>
        <member name=""/>
        <member name="[Table1345].[Provider ID].&amp;[PRV-87]"/>
        <member name=""/>
        <member name="[Table1345].[Provider ID].&amp;[PRV-89]"/>
        <member name="[Table1345].[Provider ID].&amp;[PRV-9]"/>
        <member name="[Table1345].[Provider ID].&amp;[PRV-90]"/>
        <member name="[Table1345].[Provider ID].&amp;[PRV-91]"/>
        <member name="[Table1345].[Provider ID].&amp;[PRV-92]"/>
        <member name="[Table1345].[Provider ID].&amp;[PRV-93]"/>
        <member name="[Table1345].[Provider ID].&amp;[PRV-94]"/>
        <member name="[Table1345].[Provider ID].&amp;[PRV-95]"/>
        <member name="[Table1345].[Provider ID].&amp;[PRV-96]"/>
        <member name="[Table1345].[Provider ID].&amp;[PRV-97]"/>
        <member name="[Table1345].[Provider ID].&amp;[PRV-98]"/>
        <member name="[Table1345].[Provider ID].&amp;[PRV-99]"/>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caption="Total Patients"/>
    <pivotHierarchy dragToData="1"/>
    <pivotHierarchy dragToData="1"/>
    <pivotHierarchy dragToData="1"/>
    <pivotHierarchy dragToData="1"/>
    <pivotHierarchy dragToData="1"/>
    <pivotHierarchy dragToData="1" caption="Total Disgnosis"/>
    <pivotHierarchy dragToData="1"/>
    <pivotHierarchy dragToData="1" caption="Total Procedures"/>
    <pivotHierarchy dragToData="1" caption="Total Claim Amount"/>
    <pivotHierarchy dragToData="1" caption="Total Approved Amount"/>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35">
      <autoFilter ref="A1">
        <filterColumn colId="0">
          <top10 val="10" filterVal="10"/>
        </filterColumn>
      </autoFilter>
    </filter>
  </filters>
  <rowHierarchiesUsage count="1">
    <rowHierarchyUsage hierarchyUsage="2"/>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2969E6-5362-43A9-9C0C-74550BFAA713}" name="PivotTable9"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6:I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49">
      <pivotArea type="all" dataOnly="0" outline="0" fieldPosition="0"/>
    </format>
    <format dxfId="48">
      <pivotArea outline="0" collapsedLevelsAreSubtotals="1"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caption="Total Patients"/>
    <pivotHierarchy dragToData="1"/>
    <pivotHierarchy dragToData="1"/>
    <pivotHierarchy dragToData="1"/>
    <pivotHierarchy dragToData="1"/>
    <pivotHierarchy dragToData="1"/>
    <pivotHierarchy dragToData="1" caption="Total Disgnosis"/>
    <pivotHierarchy dragToData="1"/>
    <pivotHierarchy dragToData="1" caption="Total Procedures"/>
    <pivotHierarchy dragToData="1" caption="Total Claim 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AB01AB-2C00-4C7C-9BD2-23549D190F7B}" name="PivotTable11" cacheId="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K3:L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Total Duplicate" fld="0" subtotal="count" baseField="0" baseItem="0"/>
  </dataFields>
  <formats count="3">
    <format dxfId="52">
      <pivotArea type="all" dataOnly="0" outline="0" fieldPosition="0"/>
    </format>
    <format dxfId="51">
      <pivotArea outline="0" collapsedLevelsAreSubtotals="1" fieldPosition="0"/>
    </format>
    <format dxfId="50">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caption="Total Patients"/>
    <pivotHierarchy dragToData="1"/>
    <pivotHierarchy dragToData="1"/>
    <pivotHierarchy dragToData="1"/>
    <pivotHierarchy dragToData="1"/>
    <pivotHierarchy dragToData="1"/>
    <pivotHierarchy dragToData="1" caption="Total Disgnosis"/>
    <pivotHierarchy dragToData="1"/>
    <pivotHierarchy dragToData="1" caption="Total Procedures"/>
    <pivotHierarchy dragToData="1" caption="Total Claim Amount"/>
    <pivotHierarchy dragToData="1"/>
    <pivotHierarchy dragToData="1" caption="Total Duplicat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67F50E-5872-4DB6-9D5B-2AF3D95AAA59}" name="PivotTable4"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Department" fld="0" subtotal="count" baseField="0" baseItem="0">
      <extLst>
        <ext xmlns:x15="http://schemas.microsoft.com/office/spreadsheetml/2010/11/main" uri="{FABC7310-3BB5-11E1-824E-6D434824019B}">
          <x15:dataField isCountDistinct="1"/>
        </ext>
      </extLst>
    </dataField>
  </dataFields>
  <formats count="6">
    <format dxfId="58">
      <pivotArea type="all" dataOnly="0" outline="0" fieldPosition="0"/>
    </format>
    <format dxfId="57">
      <pivotArea outline="0" collapsedLevelsAreSubtotals="1"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caption="Total Patients"/>
    <pivotHierarchy dragToData="1"/>
    <pivotHierarchy dragToData="1"/>
    <pivotHierarchy dragToData="1" caption="Total Department"/>
    <pivotHierarchy dragToData="1" caption="Total Departm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04D5F2-D1D2-4E0D-A866-ACBE4975A734}" name="PivotTable17" cacheId="18" applyNumberFormats="0" applyBorderFormats="0" applyFontFormats="0" applyPatternFormats="0" applyAlignmentFormats="0" applyWidthHeightFormats="1" dataCaption="Values" updatedVersion="8" minRefreshableVersion="3" subtotalHiddenItems="1" itemPrintTitles="1" createdVersion="8" indent="0" outline="1" outlineData="1" chartFormat="4">
  <location ref="C30:D41" firstHeaderRow="1" firstDataRow="1" firstDataCol="1"/>
  <pivotFields count="2">
    <pivotField dataField="1" subtotalTop="0" showAll="0" defaultSubtotal="0"/>
    <pivotField axis="axisRow" allDrilled="1" subtotalTop="0" showAll="0" measureFilter="1" dataSourceSort="1" defaultSubtotal="0" defaultAttributeDrillState="1">
      <items count="10">
        <item s="1" x="0"/>
        <item s="1" x="1"/>
        <item s="1" x="2"/>
        <item s="1" x="3"/>
        <item s="1" x="4"/>
        <item s="1" x="5"/>
        <item s="1" x="6"/>
        <item s="1" x="7"/>
        <item s="1" x="8"/>
        <item s="1" x="9"/>
      </items>
    </pivotField>
  </pivotFields>
  <rowFields count="1">
    <field x="1"/>
  </rowFields>
  <rowItems count="11">
    <i>
      <x/>
    </i>
    <i>
      <x v="1"/>
    </i>
    <i>
      <x v="2"/>
    </i>
    <i>
      <x v="3"/>
    </i>
    <i>
      <x v="4"/>
    </i>
    <i>
      <x v="5"/>
    </i>
    <i>
      <x v="6"/>
    </i>
    <i>
      <x v="7"/>
    </i>
    <i>
      <x v="8"/>
    </i>
    <i>
      <x v="9"/>
    </i>
    <i t="grand">
      <x/>
    </i>
  </rowItems>
  <colItems count="1">
    <i/>
  </colItems>
  <dataFields count="1">
    <dataField name="Total Claim Amount" fld="0" baseField="0" baseItem="0" numFmtId="165"/>
  </dataFields>
  <formats count="7">
    <format dxfId="65">
      <pivotArea type="all" dataOnly="0" outline="0" fieldPosition="0"/>
    </format>
    <format dxfId="64">
      <pivotArea outline="0" collapsedLevelsAreSubtotals="1"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dataOnly="0" labelOnly="1" outline="0" axis="axisValues" fieldPosition="0"/>
    </format>
    <format dxfId="59">
      <pivotArea outline="0" collapsedLevelsAreSubtotals="1" fieldPosition="0"/>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members count="99" level="1">
        <member name="[Table1345].[Provider ID].&amp;[PRV-1]"/>
        <member name="[Table1345].[Provider ID].&amp;[PRV-10]"/>
        <member name="[Table1345].[Provider ID].&amp;[PRV-100]"/>
        <member name="[Table1345].[Provider ID].&amp;[PRV-11]"/>
        <member name="[Table1345].[Provider ID].&amp;[PRV-12]"/>
        <member name="[Table1345].[Provider ID].&amp;[PRV-13]"/>
        <member name="[Table1345].[Provider ID].&amp;[PRV-14]"/>
        <member name="[Table1345].[Provider ID].&amp;[PRV-15]"/>
        <member name="[Table1345].[Provider ID].&amp;[PRV-16]"/>
        <member name="[Table1345].[Provider ID].&amp;[PRV-17]"/>
        <member name="[Table1345].[Provider ID].&amp;[PRV-18]"/>
        <member name=""/>
        <member name="[Table1345].[Provider ID].&amp;[PRV-2]"/>
        <member name="[Table1345].[Provider ID].&amp;[PRV-20]"/>
        <member name="[Table1345].[Provider ID].&amp;[PRV-21]"/>
        <member name="[Table1345].[Provider ID].&amp;[PRV-22]"/>
        <member name="[Table1345].[Provider ID].&amp;[PRV-23]"/>
        <member name="[Table1345].[Provider ID].&amp;[PRV-24]"/>
        <member name="[Table1345].[Provider ID].&amp;[PRV-25]"/>
        <member name="[Table1345].[Provider ID].&amp;[PRV-26]"/>
        <member name="[Table1345].[Provider ID].&amp;[PRV-27]"/>
        <member name="[Table1345].[Provider ID].&amp;[PRV-28]"/>
        <member name="[Table1345].[Provider ID].&amp;[PRV-29]"/>
        <member name="[Table1345].[Provider ID].&amp;[PRV-3]"/>
        <member name="[Table1345].[Provider ID].&amp;[PRV-30]"/>
        <member name="[Table1345].[Provider ID].&amp;[PRV-31]"/>
        <member name="[Table1345].[Provider ID].&amp;[PRV-32]"/>
        <member name="[Table1345].[Provider ID].&amp;[PRV-33]"/>
        <member name=""/>
        <member name="[Table1345].[Provider ID].&amp;[PRV-36]"/>
        <member name="[Table1345].[Provider ID].&amp;[PRV-37]"/>
        <member name="[Table1345].[Provider ID].&amp;[PRV-38]"/>
        <member name="[Table1345].[Provider ID].&amp;[PRV-39]"/>
        <member name="[Table1345].[Provider ID].&amp;[PRV-4]"/>
        <member name="[Table1345].[Provider ID].&amp;[PRV-40]"/>
        <member name="[Table1345].[Provider ID].&amp;[PRV-41]"/>
        <member name="[Table1345].[Provider ID].&amp;[PRV-42]"/>
        <member name="[Table1345].[Provider ID].&amp;[PRV-43]"/>
        <member name="[Table1345].[Provider ID].&amp;[PRV-44]"/>
        <member name="[Table1345].[Provider ID].&amp;[PRV-45]"/>
        <member name="[Table1345].[Provider ID].&amp;[PRV-46]"/>
        <member name="[Table1345].[Provider ID].&amp;[PRV-47]"/>
        <member name="[Table1345].[Provider ID].&amp;[PRV-48]"/>
        <member name=""/>
        <member name="[Table1345].[Provider ID].&amp;[PRV-5]"/>
        <member name="[Table1345].[Provider ID].&amp;[PRV-50]"/>
        <member name="[Table1345].[Provider ID].&amp;[PRV-51]"/>
        <member name="[Table1345].[Provider ID].&amp;[PRV-52]"/>
        <member name="[Table1345].[Provider ID].&amp;[PRV-53]"/>
        <member name="[Table1345].[Provider ID].&amp;[PRV-54]"/>
        <member name="[Table1345].[Provider ID].&amp;[PRV-55]"/>
        <member name=""/>
        <member name="[Table1345].[Provider ID].&amp;[PRV-57]"/>
        <member name=""/>
        <member name="[Table1345].[Provider ID].&amp;[PRV-59]"/>
        <member name="[Table1345].[Provider ID].&amp;[PRV-6]"/>
        <member name="[Table1345].[Provider ID].&amp;[PRV-60]"/>
        <member name="[Table1345].[Provider ID].&amp;[PRV-61]"/>
        <member name="[Table1345].[Provider ID].&amp;[PRV-62]"/>
        <member name="[Table1345].[Provider ID].&amp;[PRV-63]"/>
        <member name="[Table1345].[Provider ID].&amp;[PRV-64]"/>
        <member name=""/>
        <member name="[Table1345].[Provider ID].&amp;[PRV-66]"/>
        <member name="[Table1345].[Provider ID].&amp;[PRV-67]"/>
        <member name="[Table1345].[Provider ID].&amp;[PRV-68]"/>
        <member name="[Table1345].[Provider ID].&amp;[PRV-69]"/>
        <member name="[Table1345].[Provider ID].&amp;[PRV-7]"/>
        <member name="[Table1345].[Provider ID].&amp;[PRV-70]"/>
        <member name=""/>
        <member name="[Table1345].[Provider ID].&amp;[PRV-72]"/>
        <member name="[Table1345].[Provider ID].&amp;[PRV-73]"/>
        <member name="[Table1345].[Provider ID].&amp;[PRV-74]"/>
        <member name="[Table1345].[Provider ID].&amp;[PRV-75]"/>
        <member name="[Table1345].[Provider ID].&amp;[PRV-76]"/>
        <member name="[Table1345].[Provider ID].&amp;[PRV-77]"/>
        <member name="[Table1345].[Provider ID].&amp;[PRV-78]"/>
        <member name="[Table1345].[Provider ID].&amp;[PRV-79]"/>
        <member name="[Table1345].[Provider ID].&amp;[PRV-8]"/>
        <member name="[Table1345].[Provider ID].&amp;[PRV-80]"/>
        <member name="[Table1345].[Provider ID].&amp;[PRV-81]"/>
        <member name="[Table1345].[Provider ID].&amp;[PRV-82]"/>
        <member name=""/>
        <member name="[Table1345].[Provider ID].&amp;[PRV-84]"/>
        <member name="[Table1345].[Provider ID].&amp;[PRV-85]"/>
        <member name=""/>
        <member name="[Table1345].[Provider ID].&amp;[PRV-87]"/>
        <member name=""/>
        <member name="[Table1345].[Provider ID].&amp;[PRV-89]"/>
        <member name="[Table1345].[Provider ID].&amp;[PRV-9]"/>
        <member name="[Table1345].[Provider ID].&amp;[PRV-90]"/>
        <member name="[Table1345].[Provider ID].&amp;[PRV-91]"/>
        <member name="[Table1345].[Provider ID].&amp;[PRV-92]"/>
        <member name="[Table1345].[Provider ID].&amp;[PRV-93]"/>
        <member name="[Table1345].[Provider ID].&amp;[PRV-94]"/>
        <member name="[Table1345].[Provider ID].&amp;[PRV-95]"/>
        <member name="[Table1345].[Provider ID].&amp;[PRV-96]"/>
        <member name="[Table1345].[Provider ID].&amp;[PRV-97]"/>
        <member name="[Table1345].[Provider ID].&amp;[PRV-98]"/>
        <member name="[Table1345].[Provider ID].&amp;[PRV-99]"/>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caption="Total Patients"/>
    <pivotHierarchy dragToData="1"/>
    <pivotHierarchy dragToData="1"/>
    <pivotHierarchy dragToData="1"/>
    <pivotHierarchy dragToData="1"/>
    <pivotHierarchy dragToData="1"/>
    <pivotHierarchy dragToData="1" caption="Total Disgnosis"/>
    <pivotHierarchy dragToData="1"/>
    <pivotHierarchy dragToData="1" caption="Total Procedures"/>
    <pivotHierarchy dragToData="1" caption="Total Claim 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A9FA70-0B7F-4BA2-BF1E-CAE0A58E551C}" name="PivotTable6"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6:C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cedures" fld="0" subtotal="count" baseField="0" baseItem="0">
      <extLst>
        <ext xmlns:x15="http://schemas.microsoft.com/office/spreadsheetml/2010/11/main" uri="{FABC7310-3BB5-11E1-824E-6D434824019B}">
          <x15:dataField isCountDistinct="1"/>
        </ext>
      </extLst>
    </dataField>
  </dataFields>
  <formats count="3">
    <format dxfId="68">
      <pivotArea type="all" dataOnly="0" outline="0" fieldPosition="0"/>
    </format>
    <format dxfId="67">
      <pivotArea outline="0" collapsedLevelsAreSubtotals="1" fieldPosition="0"/>
    </format>
    <format dxfId="66">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caption="Total Patients"/>
    <pivotHierarchy dragToData="1"/>
    <pivotHierarchy dragToData="1"/>
    <pivotHierarchy dragToData="1"/>
    <pivotHierarchy dragToData="1"/>
    <pivotHierarchy dragToData="1"/>
    <pivotHierarchy dragToData="1" caption="Total Disgnosis"/>
    <pivotHierarchy dragToData="1"/>
    <pivotHierarchy dragToData="1" caption="Total Procedur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2CD563D-4C69-4A88-8D30-7C96DA71F8DE}" name="PivotTable12"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O6:O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74">
      <pivotArea type="all" dataOnly="0" outline="0" fieldPosition="0"/>
    </format>
    <format dxfId="73">
      <pivotArea outline="0" collapsedLevelsAreSubtotals="1" fieldPosition="0"/>
    </format>
    <format dxfId="72">
      <pivotArea dataOnly="0" labelOnly="1" outline="0" axis="axisValues" fieldPosition="0"/>
    </format>
    <format dxfId="71">
      <pivotArea type="all" dataOnly="0" outline="0" fieldPosition="0"/>
    </format>
    <format dxfId="70">
      <pivotArea outline="0" collapsedLevelsAreSubtotals="1" fieldPosition="0"/>
    </format>
    <format dxfId="69">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caption="Total Patients"/>
    <pivotHierarchy dragToData="1"/>
    <pivotHierarchy dragToData="1"/>
    <pivotHierarchy dragToData="1"/>
    <pivotHierarchy dragToData="1"/>
    <pivotHierarchy dragToData="1"/>
    <pivotHierarchy dragToData="1" caption="Total Disgnosis"/>
    <pivotHierarchy dragToData="1"/>
    <pivotHierarchy dragToData="1" caption="Total Procedures"/>
    <pivotHierarchy dragToData="1" caption="Total Claim 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7AC145B-8190-4328-9E07-F8EA20657138}" name="PivotTable8"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6:G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Approved Amount" fld="0" baseField="0" baseItem="0" numFmtId="165"/>
  </dataFields>
  <formats count="6">
    <format dxfId="80">
      <pivotArea type="all" dataOnly="0" outline="0" fieldPosition="0"/>
    </format>
    <format dxfId="79">
      <pivotArea outline="0" collapsedLevelsAreSubtotals="1"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caption="Total Patients"/>
    <pivotHierarchy dragToData="1"/>
    <pivotHierarchy dragToData="1"/>
    <pivotHierarchy dragToData="1"/>
    <pivotHierarchy dragToData="1"/>
    <pivotHierarchy dragToData="1"/>
    <pivotHierarchy dragToData="1" caption="Total Disgnosis"/>
    <pivotHierarchy dragToData="1"/>
    <pivotHierarchy dragToData="1" caption="Total Procedures"/>
    <pivotHierarchy dragToData="1" caption="Total Claim Amount"/>
    <pivotHierarchy dragToData="1" caption="Total Approved Amount"/>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E1A854F-9634-4504-B3A5-1E7027EFB762}" name="PivotTable16" cacheId="17"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chartFormat="17">
  <location ref="E13:H25" firstHeaderRow="1" firstDataRow="2" firstDataCol="1"/>
  <pivotFields count="3">
    <pivotField dataField="1" subtotalTop="0" showAll="0" defaultSubtotal="0"/>
    <pivotField axis="axisCol" allDrilled="1" subtotalTop="0" showAll="0" dataSourceSort="1" defaultSubtotal="0" defaultAttributeDrillState="1">
      <items count="3">
        <item x="0"/>
        <item x="1"/>
        <item x="2"/>
      </items>
    </pivotField>
    <pivotField axis="axisRow" allDrilled="1" subtotalTop="0" showAll="0" measureFilter="1" sortType="descending" defaultSubtotal="0" defaultAttributeDrillState="1">
      <items count="10">
        <item s="1" x="0"/>
        <item s="1" x="1"/>
        <item s="1" x="2"/>
        <item s="1" x="3"/>
        <item s="1" x="4"/>
        <item s="1" x="5"/>
        <item s="1" x="6"/>
        <item s="1" x="7"/>
        <item s="1" x="8"/>
        <item s="1" x="9"/>
      </items>
      <autoSortScope>
        <pivotArea dataOnly="0" outline="0" fieldPosition="0">
          <references count="1">
            <reference field="4294967294" count="1" selected="0">
              <x v="0"/>
            </reference>
          </references>
        </pivotArea>
      </autoSortScope>
    </pivotField>
  </pivotFields>
  <rowFields count="1">
    <field x="2"/>
  </rowFields>
  <rowItems count="11">
    <i>
      <x v="9"/>
    </i>
    <i>
      <x v="7"/>
    </i>
    <i>
      <x v="6"/>
    </i>
    <i>
      <x v="2"/>
    </i>
    <i>
      <x v="8"/>
    </i>
    <i>
      <x v="3"/>
    </i>
    <i>
      <x v="4"/>
    </i>
    <i>
      <x/>
    </i>
    <i>
      <x v="1"/>
    </i>
    <i>
      <x v="5"/>
    </i>
    <i t="grand">
      <x/>
    </i>
  </rowItems>
  <colFields count="1">
    <field x="1"/>
  </colFields>
  <colItems count="3">
    <i>
      <x/>
    </i>
    <i>
      <x v="1"/>
    </i>
    <i>
      <x v="2"/>
    </i>
  </colItems>
  <dataFields count="1">
    <dataField name="Count of Claim Status" fld="0" subtotal="count" baseField="0" baseItem="0"/>
  </dataFields>
  <formats count="12">
    <format dxfId="92">
      <pivotArea type="all" dataOnly="0" outline="0" fieldPosition="0"/>
    </format>
    <format dxfId="91">
      <pivotArea outline="0" collapsedLevelsAreSubtotals="1"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type="origin" dataOnly="0" labelOnly="1" outline="0" fieldPosition="0"/>
    </format>
    <format dxfId="86">
      <pivotArea field="1" type="button" dataOnly="0" labelOnly="1" outline="0" axis="axisCol" fieldPosition="0"/>
    </format>
    <format dxfId="85">
      <pivotArea type="topRight" dataOnly="0" labelOnly="1" outline="0" fieldPosition="0"/>
    </format>
    <format dxfId="84">
      <pivotArea field="2" type="button" dataOnly="0" labelOnly="1" outline="0" axis="axisRow" fieldPosition="0"/>
    </format>
    <format dxfId="83">
      <pivotArea dataOnly="0" labelOnly="1" fieldPosition="0">
        <references count="1">
          <reference field="2" count="0"/>
        </references>
      </pivotArea>
    </format>
    <format dxfId="82">
      <pivotArea dataOnly="0" labelOnly="1" grandRow="1" outline="0" fieldPosition="0"/>
    </format>
    <format dxfId="81">
      <pivotArea dataOnly="0" labelOnly="1" fieldPosition="0">
        <references count="1">
          <reference field="1" count="0"/>
        </references>
      </pivotArea>
    </format>
  </formats>
  <chartFormats count="2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2"/>
          </reference>
        </references>
      </pivotArea>
    </chartFormat>
    <chartFormat chart="11" format="3" series="1">
      <pivotArea type="data" outline="0" fieldPosition="0">
        <references count="2">
          <reference field="4294967294" count="1" selected="0">
            <x v="0"/>
          </reference>
          <reference field="1" count="1" selected="0">
            <x v="0"/>
          </reference>
        </references>
      </pivotArea>
    </chartFormat>
    <chartFormat chart="11" format="4" series="1">
      <pivotArea type="data" outline="0" fieldPosition="0">
        <references count="2">
          <reference field="4294967294" count="1" selected="0">
            <x v="0"/>
          </reference>
          <reference field="1" count="1" selected="0">
            <x v="1"/>
          </reference>
        </references>
      </pivotArea>
    </chartFormat>
    <chartFormat chart="11" format="5" series="1">
      <pivotArea type="data" outline="0" fieldPosition="0">
        <references count="2">
          <reference field="4294967294" count="1" selected="0">
            <x v="0"/>
          </reference>
          <reference field="1" count="1" selected="0">
            <x v="2"/>
          </reference>
        </references>
      </pivotArea>
    </chartFormat>
    <chartFormat chart="12" format="6" series="1">
      <pivotArea type="data" outline="0" fieldPosition="0">
        <references count="2">
          <reference field="4294967294" count="1" selected="0">
            <x v="0"/>
          </reference>
          <reference field="1" count="1" selected="0">
            <x v="0"/>
          </reference>
        </references>
      </pivotArea>
    </chartFormat>
    <chartFormat chart="12" format="7" series="1">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2">
          <reference field="4294967294" count="1" selected="0">
            <x v="0"/>
          </reference>
          <reference field="1" count="1" selected="0">
            <x v="2"/>
          </reference>
        </references>
      </pivotArea>
    </chartFormat>
    <chartFormat chart="14" format="6" series="1">
      <pivotArea type="data" outline="0" fieldPosition="0">
        <references count="2">
          <reference field="4294967294" count="1" selected="0">
            <x v="0"/>
          </reference>
          <reference field="1" count="1" selected="0">
            <x v="0"/>
          </reference>
        </references>
      </pivotArea>
    </chartFormat>
    <chartFormat chart="14" format="7" series="1">
      <pivotArea type="data" outline="0" fieldPosition="0">
        <references count="2">
          <reference field="4294967294" count="1" selected="0">
            <x v="0"/>
          </reference>
          <reference field="1" count="1" selected="0">
            <x v="1"/>
          </reference>
        </references>
      </pivotArea>
    </chartFormat>
    <chartFormat chart="14" format="8" series="1">
      <pivotArea type="data" outline="0" fieldPosition="0">
        <references count="2">
          <reference field="4294967294" count="1" selected="0">
            <x v="0"/>
          </reference>
          <reference field="1" count="1" selected="0">
            <x v="2"/>
          </reference>
        </references>
      </pivotArea>
    </chartFormat>
    <chartFormat chart="15" format="9" series="1">
      <pivotArea type="data" outline="0" fieldPosition="0">
        <references count="2">
          <reference field="4294967294" count="1" selected="0">
            <x v="0"/>
          </reference>
          <reference field="1" count="1" selected="0">
            <x v="0"/>
          </reference>
        </references>
      </pivotArea>
    </chartFormat>
    <chartFormat chart="15" format="10" series="1">
      <pivotArea type="data" outline="0" fieldPosition="0">
        <references count="2">
          <reference field="4294967294" count="1" selected="0">
            <x v="0"/>
          </reference>
          <reference field="1" count="1" selected="0">
            <x v="1"/>
          </reference>
        </references>
      </pivotArea>
    </chartFormat>
    <chartFormat chart="15" format="11" series="1">
      <pivotArea type="data" outline="0" fieldPosition="0">
        <references count="2">
          <reference field="4294967294" count="1" selected="0">
            <x v="0"/>
          </reference>
          <reference field="1" count="1" selected="0">
            <x v="2"/>
          </reference>
        </references>
      </pivotArea>
    </chartFormat>
    <chartFormat chart="16" format="15" series="1">
      <pivotArea type="data" outline="0" fieldPosition="0">
        <references count="2">
          <reference field="4294967294" count="1" selected="0">
            <x v="0"/>
          </reference>
          <reference field="1" count="1" selected="0">
            <x v="0"/>
          </reference>
        </references>
      </pivotArea>
    </chartFormat>
    <chartFormat chart="16" format="16" series="1">
      <pivotArea type="data" outline="0" fieldPosition="0">
        <references count="2">
          <reference field="4294967294" count="1" selected="0">
            <x v="0"/>
          </reference>
          <reference field="1" count="1" selected="0">
            <x v="1"/>
          </reference>
        </references>
      </pivotArea>
    </chartFormat>
    <chartFormat chart="16" format="17" series="1">
      <pivotArea type="data" outline="0" fieldPosition="0">
        <references count="2">
          <reference field="4294967294" count="1" selected="0">
            <x v="0"/>
          </reference>
          <reference field="1" count="1" selected="0">
            <x v="2"/>
          </reference>
        </references>
      </pivotArea>
    </chartFormat>
    <chartFormat chart="14" format="9"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members count="99" level="1">
        <member name="[Table1345].[Provider ID].&amp;[PRV-1]"/>
        <member name="[Table1345].[Provider ID].&amp;[PRV-10]"/>
        <member name="[Table1345].[Provider ID].&amp;[PRV-100]"/>
        <member name="[Table1345].[Provider ID].&amp;[PRV-11]"/>
        <member name="[Table1345].[Provider ID].&amp;[PRV-12]"/>
        <member name="[Table1345].[Provider ID].&amp;[PRV-13]"/>
        <member name="[Table1345].[Provider ID].&amp;[PRV-14]"/>
        <member name="[Table1345].[Provider ID].&amp;[PRV-15]"/>
        <member name="[Table1345].[Provider ID].&amp;[PRV-16]"/>
        <member name="[Table1345].[Provider ID].&amp;[PRV-17]"/>
        <member name="[Table1345].[Provider ID].&amp;[PRV-18]"/>
        <member name=""/>
        <member name="[Table1345].[Provider ID].&amp;[PRV-2]"/>
        <member name="[Table1345].[Provider ID].&amp;[PRV-20]"/>
        <member name="[Table1345].[Provider ID].&amp;[PRV-21]"/>
        <member name="[Table1345].[Provider ID].&amp;[PRV-22]"/>
        <member name="[Table1345].[Provider ID].&amp;[PRV-23]"/>
        <member name="[Table1345].[Provider ID].&amp;[PRV-24]"/>
        <member name="[Table1345].[Provider ID].&amp;[PRV-25]"/>
        <member name="[Table1345].[Provider ID].&amp;[PRV-26]"/>
        <member name="[Table1345].[Provider ID].&amp;[PRV-27]"/>
        <member name="[Table1345].[Provider ID].&amp;[PRV-28]"/>
        <member name="[Table1345].[Provider ID].&amp;[PRV-29]"/>
        <member name="[Table1345].[Provider ID].&amp;[PRV-3]"/>
        <member name="[Table1345].[Provider ID].&amp;[PRV-30]"/>
        <member name="[Table1345].[Provider ID].&amp;[PRV-31]"/>
        <member name="[Table1345].[Provider ID].&amp;[PRV-32]"/>
        <member name="[Table1345].[Provider ID].&amp;[PRV-33]"/>
        <member name=""/>
        <member name="[Table1345].[Provider ID].&amp;[PRV-36]"/>
        <member name="[Table1345].[Provider ID].&amp;[PRV-37]"/>
        <member name="[Table1345].[Provider ID].&amp;[PRV-38]"/>
        <member name="[Table1345].[Provider ID].&amp;[PRV-39]"/>
        <member name="[Table1345].[Provider ID].&amp;[PRV-4]"/>
        <member name="[Table1345].[Provider ID].&amp;[PRV-40]"/>
        <member name="[Table1345].[Provider ID].&amp;[PRV-41]"/>
        <member name="[Table1345].[Provider ID].&amp;[PRV-42]"/>
        <member name="[Table1345].[Provider ID].&amp;[PRV-43]"/>
        <member name="[Table1345].[Provider ID].&amp;[PRV-44]"/>
        <member name="[Table1345].[Provider ID].&amp;[PRV-45]"/>
        <member name="[Table1345].[Provider ID].&amp;[PRV-46]"/>
        <member name="[Table1345].[Provider ID].&amp;[PRV-47]"/>
        <member name="[Table1345].[Provider ID].&amp;[PRV-48]"/>
        <member name=""/>
        <member name="[Table1345].[Provider ID].&amp;[PRV-5]"/>
        <member name="[Table1345].[Provider ID].&amp;[PRV-50]"/>
        <member name="[Table1345].[Provider ID].&amp;[PRV-51]"/>
        <member name="[Table1345].[Provider ID].&amp;[PRV-52]"/>
        <member name="[Table1345].[Provider ID].&amp;[PRV-53]"/>
        <member name="[Table1345].[Provider ID].&amp;[PRV-54]"/>
        <member name="[Table1345].[Provider ID].&amp;[PRV-55]"/>
        <member name=""/>
        <member name="[Table1345].[Provider ID].&amp;[PRV-57]"/>
        <member name=""/>
        <member name=""/>
        <member name="[Table1345].[Provider ID].&amp;[PRV-6]"/>
        <member name="[Table1345].[Provider ID].&amp;[PRV-60]"/>
        <member name="[Table1345].[Provider ID].&amp;[PRV-61]"/>
        <member name="[Table1345].[Provider ID].&amp;[PRV-62]"/>
        <member name="[Table1345].[Provider ID].&amp;[PRV-63]"/>
        <member name="[Table1345].[Provider ID].&amp;[PRV-64]"/>
        <member name=""/>
        <member name="[Table1345].[Provider ID].&amp;[PRV-66]"/>
        <member name="[Table1345].[Provider ID].&amp;[PRV-67]"/>
        <member name="[Table1345].[Provider ID].&amp;[PRV-68]"/>
        <member name="[Table1345].[Provider ID].&amp;[PRV-69]"/>
        <member name="[Table1345].[Provider ID].&amp;[PRV-7]"/>
        <member name="[Table1345].[Provider ID].&amp;[PRV-70]"/>
        <member name=""/>
        <member name="[Table1345].[Provider ID].&amp;[PRV-72]"/>
        <member name="[Table1345].[Provider ID].&amp;[PRV-73]"/>
        <member name="[Table1345].[Provider ID].&amp;[PRV-74]"/>
        <member name="[Table1345].[Provider ID].&amp;[PRV-75]"/>
        <member name="[Table1345].[Provider ID].&amp;[PRV-76]"/>
        <member name="[Table1345].[Provider ID].&amp;[PRV-77]"/>
        <member name="[Table1345].[Provider ID].&amp;[PRV-78]"/>
        <member name="[Table1345].[Provider ID].&amp;[PRV-79]"/>
        <member name="[Table1345].[Provider ID].&amp;[PRV-8]"/>
        <member name="[Table1345].[Provider ID].&amp;[PRV-80]"/>
        <member name="[Table1345].[Provider ID].&amp;[PRV-81]"/>
        <member name="[Table1345].[Provider ID].&amp;[PRV-82]"/>
        <member name="[Table1345].[Provider ID].&amp;[PRV-83]"/>
        <member name="[Table1345].[Provider ID].&amp;[PRV-84]"/>
        <member name="[Table1345].[Provider ID].&amp;[PRV-85]"/>
        <member name=""/>
        <member name="[Table1345].[Provider ID].&amp;[PRV-87]"/>
        <member name=""/>
        <member name="[Table1345].[Provider ID].&amp;[PRV-89]"/>
        <member name="[Table1345].[Provider ID].&amp;[PRV-9]"/>
        <member name="[Table1345].[Provider ID].&amp;[PRV-90]"/>
        <member name="[Table1345].[Provider ID].&amp;[PRV-91]"/>
        <member name="[Table1345].[Provider ID].&amp;[PRV-92]"/>
        <member name="[Table1345].[Provider ID].&amp;[PRV-93]"/>
        <member name="[Table1345].[Provider ID].&amp;[PRV-94]"/>
        <member name="[Table1345].[Provider ID].&amp;[PRV-95]"/>
        <member name="[Table1345].[Provider ID].&amp;[PRV-96]"/>
        <member name="[Table1345].[Provider ID].&amp;[PRV-97]"/>
        <member name="[Table1345].[Provider ID].&amp;[PRV-98]"/>
        <member name="[Table1345].[Provider ID].&amp;[PRV-99]"/>
      </members>
    </pivotHierarchy>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caption="Total Patients"/>
    <pivotHierarchy dragToData="1"/>
    <pivotHierarchy dragToData="1"/>
    <pivotHierarchy dragToData="1"/>
    <pivotHierarchy dragToData="1"/>
    <pivotHierarchy dragToData="1"/>
    <pivotHierarchy dragToData="1" caption="Total Disgnosis"/>
    <pivotHierarchy dragToData="1"/>
    <pivotHierarchy dragToData="1" caption="Total Procedures"/>
    <pivotHierarchy dragToData="1" caption="Total Claim Amount"/>
    <pivotHierarchy dragToData="1"/>
    <pivotHierarchy dragToData="1"/>
    <pivotHierarchy dragToData="1"/>
    <pivotHierarchy dragToData="1" caption="Average of Days To Submit"/>
    <pivotHierarchy dragToData="1"/>
  </pivotHierarchies>
  <pivotTableStyleInfo name="PivotStyleLight16" showRowHeaders="1" showColHeaders="1" showRowStripes="0" showColStripes="0" showLastColumn="1"/>
  <filters count="1">
    <filter fld="2" type="count" id="7" iMeasureHier="38">
      <autoFilter ref="A1">
        <filterColumn colId="0">
          <top10 val="10" filterVal="10"/>
        </filterColumn>
      </autoFilter>
    </filter>
  </filters>
  <rowHierarchiesUsage count="1">
    <rowHierarchyUsage hierarchyUsage="2"/>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988E5C4-9421-4464-9442-429CEEAAB280}" name="PivotTable2"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atients" fld="0" subtotal="count" baseField="0" baseItem="0" numFmtId="3">
      <extLst>
        <ext xmlns:x15="http://schemas.microsoft.com/office/spreadsheetml/2010/11/main" uri="{FABC7310-3BB5-11E1-824E-6D434824019B}">
          <x15:dataField isCountDistinct="1"/>
        </ext>
      </extLst>
    </dataField>
  </dataFields>
  <formats count="7">
    <format dxfId="99">
      <pivotArea type="all" dataOnly="0" outline="0" fieldPosition="0"/>
    </format>
    <format dxfId="98">
      <pivotArea outline="0" collapsedLevelsAreSubtotals="1" fieldPosition="0"/>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dataOnly="0" labelOnly="1" outline="0" axis="axisValues" fieldPosition="0"/>
    </format>
    <format dxfId="93">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caption="Total Pati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65C17C6-C67C-44D3-BE3A-87D2952451FE}" name="PivotTable7"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6:E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laim Amount" fld="0" baseField="0" baseItem="0" numFmtId="168"/>
  </dataFields>
  <formats count="7">
    <format dxfId="106">
      <pivotArea type="all" dataOnly="0" outline="0" fieldPosition="0"/>
    </format>
    <format dxfId="105">
      <pivotArea outline="0" collapsedLevelsAreSubtotals="1" fieldPosition="0"/>
    </format>
    <format dxfId="104">
      <pivotArea dataOnly="0" labelOnly="1" outline="0" axis="axisValues" fieldPosition="0"/>
    </format>
    <format dxfId="103">
      <pivotArea type="all" dataOnly="0" outline="0" fieldPosition="0"/>
    </format>
    <format dxfId="102">
      <pivotArea outline="0" collapsedLevelsAreSubtotals="1" fieldPosition="0"/>
    </format>
    <format dxfId="101">
      <pivotArea dataOnly="0" labelOnly="1" outline="0" axis="axisValues" fieldPosition="0"/>
    </format>
    <format dxfId="100">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caption="Total Patients"/>
    <pivotHierarchy dragToData="1"/>
    <pivotHierarchy dragToData="1"/>
    <pivotHierarchy dragToData="1"/>
    <pivotHierarchy dragToData="1"/>
    <pivotHierarchy dragToData="1"/>
    <pivotHierarchy dragToData="1" caption="Total Disgnosis"/>
    <pivotHierarchy dragToData="1"/>
    <pivotHierarchy dragToData="1" caption="Total Procedures"/>
    <pivotHierarchy dragToData="1" caption="Total Claim 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5B50443-0EAD-464A-9EA4-BE1E8EBF9641}" name="PivotTable14"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B13:C2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i>
    <i>
      <x v="1"/>
    </i>
    <i>
      <x v="2"/>
    </i>
    <i>
      <x v="3"/>
    </i>
    <i>
      <x v="8"/>
    </i>
    <i>
      <x v="5"/>
    </i>
    <i>
      <x v="4"/>
    </i>
    <i>
      <x v="7"/>
    </i>
    <i>
      <x v="6"/>
    </i>
    <i t="grand">
      <x/>
    </i>
  </rowItems>
  <colItems count="1">
    <i/>
  </colItems>
  <dataFields count="1">
    <dataField name="Average of Days To Submit" fld="1" subtotal="average" baseField="0" baseItem="5"/>
  </dataFields>
  <formats count="10">
    <format dxfId="116">
      <pivotArea type="all" dataOnly="0" outline="0" fieldPosition="0"/>
    </format>
    <format dxfId="115">
      <pivotArea outline="0" collapsedLevelsAreSubtotals="1" fieldPosition="0"/>
    </format>
    <format dxfId="114">
      <pivotArea dataOnly="0" labelOnly="1" outline="0" axis="axisValues" fieldPosition="0"/>
    </format>
    <format dxfId="113">
      <pivotArea collapsedLevelsAreSubtotals="1" fieldPosition="0">
        <references count="1">
          <reference field="0" count="0"/>
        </references>
      </pivotArea>
    </format>
    <format dxfId="112">
      <pivotArea type="all" dataOnly="0" outline="0" fieldPosition="0"/>
    </format>
    <format dxfId="111">
      <pivotArea outline="0" collapsedLevelsAreSubtotals="1" fieldPosition="0"/>
    </format>
    <format dxfId="110">
      <pivotArea field="0" type="button" dataOnly="0" labelOnly="1" outline="0" axis="axisRow" fieldPosition="0"/>
    </format>
    <format dxfId="109">
      <pivotArea dataOnly="0" labelOnly="1" fieldPosition="0">
        <references count="1">
          <reference field="0" count="0"/>
        </references>
      </pivotArea>
    </format>
    <format dxfId="108">
      <pivotArea dataOnly="0" labelOnly="1" grandRow="1" outline="0" fieldPosition="0"/>
    </format>
    <format dxfId="107">
      <pivotArea dataOnly="0" labelOnly="1" outline="0" axis="axisValues" fieldPosition="0"/>
    </format>
  </formats>
  <chartFormats count="1">
    <chartFormat chart="11" format="4"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caption="Total Patients"/>
    <pivotHierarchy dragToData="1"/>
    <pivotHierarchy dragToData="1"/>
    <pivotHierarchy dragToData="1"/>
    <pivotHierarchy dragToData="1"/>
    <pivotHierarchy dragToData="1"/>
    <pivotHierarchy dragToData="1" caption="Total Disgnosis"/>
    <pivotHierarchy dragToData="1"/>
    <pivotHierarchy dragToData="1" caption="Total Procedures"/>
    <pivotHierarchy dragToData="1" caption="Total Claim Amount"/>
    <pivotHierarchy dragToData="1"/>
    <pivotHierarchy dragToData="1"/>
    <pivotHierarchy dragToData="1"/>
    <pivotHierarchy dragToData="1" caption="Average of Days To Submit"/>
    <pivotHierarchy dragToData="1"/>
  </pivotHierarchies>
  <pivotTableStyleInfo name="PivotStyleLight16" showRowHeaders="1" showColHeaders="1" showRowStripes="0" showColStripes="0" showLastColumn="1"/>
  <filters count="1">
    <filter fld="0" type="count" id="5" iMeasureHier="3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1C1659C-4417-474D-B397-3D744B84EB92}" name="PivotTable10" cacheId="2"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6">
    <format dxfId="122">
      <pivotArea type="all" dataOnly="0" outline="0" fieldPosition="0"/>
    </format>
    <format dxfId="121">
      <pivotArea outline="0" collapsedLevelsAreSubtotals="1"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caption="Total Patients"/>
    <pivotHierarchy dragToData="1"/>
    <pivotHierarchy dragToData="1"/>
    <pivotHierarchy dragToData="1"/>
    <pivotHierarchy dragToData="1"/>
    <pivotHierarchy dragToData="1"/>
    <pivotHierarchy dragToData="1" caption="Total Disgnosis"/>
    <pivotHierarchy dragToData="1"/>
    <pivotHierarchy dragToData="1" caption="Total Procedures"/>
    <pivotHierarchy dragToData="1" caption="Total Claim Amoun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77B49D8-095A-4908-8441-C226C208E410}" name="PivotTable13"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Q6:Q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 To Submit" fld="0" subtotal="average" baseField="0" baseItem="0"/>
  </dataFields>
  <formats count="6">
    <format dxfId="128">
      <pivotArea type="all" dataOnly="0" outline="0" fieldPosition="0"/>
    </format>
    <format dxfId="127">
      <pivotArea outline="0" collapsedLevelsAreSubtotals="1"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caption="Total Patients"/>
    <pivotHierarchy dragToData="1"/>
    <pivotHierarchy dragToData="1"/>
    <pivotHierarchy dragToData="1"/>
    <pivotHierarchy dragToData="1"/>
    <pivotHierarchy dragToData="1"/>
    <pivotHierarchy dragToData="1" caption="Total Disgnosis"/>
    <pivotHierarchy dragToData="1"/>
    <pivotHierarchy dragToData="1" caption="Total Procedures"/>
    <pivotHierarchy dragToData="1" caption="Total Claim Amount"/>
    <pivotHierarchy dragToData="1"/>
    <pivotHierarchy dragToData="1"/>
    <pivotHierarchy dragToData="1"/>
    <pivotHierarchy dragToData="1" caption="Average of Days To Submi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9E2F56E-5AD8-44D6-9B7B-7B1EB36DD87F}"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laims" fld="0" subtotal="count" baseField="0" baseItem="0" numFmtId="3"/>
  </dataFields>
  <formats count="7">
    <format dxfId="135">
      <pivotArea type="all" dataOnly="0" outline="0" fieldPosition="0"/>
    </format>
    <format dxfId="134">
      <pivotArea outline="0" collapsedLevelsAreSubtotals="1" fieldPosition="0"/>
    </format>
    <format dxfId="133">
      <pivotArea dataOnly="0" labelOnly="1" outline="0" axis="axisValues" fieldPosition="0"/>
    </format>
    <format dxfId="132">
      <pivotArea type="all" dataOnly="0" outline="0" fieldPosition="0"/>
    </format>
    <format dxfId="131">
      <pivotArea outline="0" collapsedLevelsAreSubtotals="1" fieldPosition="0"/>
    </format>
    <format dxfId="130">
      <pivotArea dataOnly="0" labelOnly="1" outline="0" axis="axisValues" fieldPosition="0"/>
    </format>
    <format dxfId="129">
      <pivotArea outline="0" collapsedLevelsAreSubtotals="1"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6E5DB5A-8515-4D51-965C-1952DAD55234}" name="PivotTable5"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Disgnosis" fld="0" subtotal="count" baseField="0" baseItem="0">
      <extLst>
        <ext xmlns:x15="http://schemas.microsoft.com/office/spreadsheetml/2010/11/main" uri="{FABC7310-3BB5-11E1-824E-6D434824019B}">
          <x15:dataField isCountDistinct="1"/>
        </ext>
      </extLst>
    </dataField>
  </dataFields>
  <formats count="6">
    <format dxfId="141">
      <pivotArea type="all" dataOnly="0" outline="0" fieldPosition="0"/>
    </format>
    <format dxfId="140">
      <pivotArea outline="0" collapsedLevelsAreSubtotals="1"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dataOnly="0" labelOnly="1" outline="0" axis="axisValues" fieldPosition="0"/>
    </format>
  </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Claims"/>
    <pivotHierarchy dragToData="1"/>
    <pivotHierarchy dragToData="1" caption="Total Patients"/>
    <pivotHierarchy dragToData="1"/>
    <pivotHierarchy dragToData="1"/>
    <pivotHierarchy dragToData="1"/>
    <pivotHierarchy dragToData="1"/>
    <pivotHierarchy dragToData="1"/>
    <pivotHierarchy dragToData="1" caption="Total Disgnosi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L2L UnitedHealthcare Data_Base.xlsx!Table1345">
        <x15:activeTabTopLevelEntity name="[Table1345]"/>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im_Status" xr10:uid="{3B449636-4F70-4B4B-8B56-F9BA3F919603}" sourceName="[Table1345].[Claim Status]">
  <pivotTables>
    <pivotTable tabId="7" name="PivotTable19"/>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2"/>
    <pivotTable tabId="7" name="PivotTable21"/>
    <pivotTable tabId="7" name="PivotTable3"/>
    <pivotTable tabId="7" name="PivotTable4"/>
    <pivotTable tabId="7" name="PivotTable5"/>
    <pivotTable tabId="7" name="PivotTable6"/>
    <pivotTable tabId="7" name="PivotTable7"/>
    <pivotTable tabId="7" name="PivotTable8"/>
    <pivotTable tabId="7" name="PivotTable9"/>
    <pivotTable tabId="7" name="PivotTable17"/>
    <pivotTable tabId="7" name="PivotTable22"/>
  </pivotTables>
  <data>
    <olap pivotCacheId="1797583952">
      <levels count="2">
        <level uniqueName="[Table1345].[Claim Status].[(All)]" sourceCaption="(All)" count="0"/>
        <level uniqueName="[Table1345].[Claim Status].[Claim Status]" sourceCaption="Claim Status" count="3">
          <ranges>
            <range startItem="0">
              <i n="[Table1345].[Claim Status].&amp;[Approved]" c="Approved"/>
              <i n="[Table1345].[Claim Status].&amp;[Pending]" c="Pending"/>
              <i n="[Table1345].[Claim Status].&amp;[Rejected]" c="Rejected"/>
            </range>
          </ranges>
        </level>
      </levels>
      <selections count="1">
        <selection n="[Table1345].[Claim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plicate_flag1" xr10:uid="{26CCDB84-72E3-492D-8601-DF9DE8506925}" sourceName="[Table1345].[Duplicate flag]">
  <pivotTables>
    <pivotTable tabId="7" name="PivotTable15"/>
    <pivotTable tabId="7" name="PivotTable1"/>
    <pivotTable tabId="7" name="PivotTable10"/>
    <pivotTable tabId="7" name="PivotTable11"/>
    <pivotTable tabId="7" name="PivotTable12"/>
    <pivotTable tabId="7" name="PivotTable13"/>
    <pivotTable tabId="7" name="PivotTable14"/>
    <pivotTable tabId="7" name="PivotTable16"/>
    <pivotTable tabId="7" name="PivotTable19"/>
    <pivotTable tabId="7" name="PivotTable2"/>
    <pivotTable tabId="7" name="PivotTable21"/>
    <pivotTable tabId="7" name="PivotTable3"/>
    <pivotTable tabId="7" name="PivotTable4"/>
    <pivotTable tabId="7" name="PivotTable5"/>
    <pivotTable tabId="7" name="PivotTable6"/>
    <pivotTable tabId="7" name="PivotTable7"/>
    <pivotTable tabId="7" name="PivotTable8"/>
    <pivotTable tabId="7" name="PivotTable9"/>
    <pivotTable tabId="7" name="PivotTable17"/>
    <pivotTable tabId="7" name="PivotTable22"/>
  </pivotTables>
  <data>
    <olap pivotCacheId="1797583952">
      <levels count="2">
        <level uniqueName="[Table1345].[Duplicate flag].[(All)]" sourceCaption="(All)" count="0"/>
        <level uniqueName="[Table1345].[Duplicate flag].[Duplicate flag]" sourceCaption="Duplicate flag" count="3">
          <ranges>
            <range startItem="0">
              <i n="[Table1345].[Duplicate flag].&amp;[No]" c="No"/>
              <i n="[Table1345].[Duplicate flag].&amp;[Pending]" c="Pending"/>
              <i n="[Table1345].[Duplicate flag].&amp;[Yes]" c="Yes"/>
            </range>
          </ranges>
        </level>
      </levels>
      <selections count="1">
        <selection n="[Table1345].[Duplicate fla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mission_Channel1" xr10:uid="{D9DB60BB-B179-4280-8111-C46C32A60D93}" sourceName="[Table1345].[Submission Channel]">
  <pivotTables>
    <pivotTable tabId="7" name="PivotTable15"/>
  </pivotTables>
  <data>
    <olap pivotCacheId="1797583952">
      <levels count="2">
        <level uniqueName="[Table1345].[Submission Channel].[(All)]" sourceCaption="(All)" count="0"/>
        <level uniqueName="[Table1345].[Submission Channel].[Submission Channel]" sourceCaption="Submission Channel" count="5">
          <ranges>
            <range startItem="0">
              <i n="[Table1345].[Submission Channel].&amp;[Agent]" c="Agent"/>
              <i n="[Table1345].[Submission Channel].&amp;[API]" c="API"/>
              <i n="[Table1345].[Submission Channel].&amp;[Manual]" c="Manual"/>
              <i n="[Table1345].[Submission Channel].&amp;[Mobile]" c="Mobile"/>
              <i n="[Table1345].[Submission Channel].&amp;[Online]" c="Online"/>
            </range>
          </ranges>
        </level>
      </levels>
      <selections count="1">
        <selection n="[Table1345].[Submission Chann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im Status 1" xr10:uid="{B8DC3036-9BC2-41F8-9F42-DB68C67573DD}" cache="Slicer_Claim_Status" caption="Claim Status" level="1" style="Slicer Style 2" rowHeight="241300"/>
  <slicer name="Duplicate flag 1" xr10:uid="{C46B9C66-FDAD-4287-B64C-AD392B73CF46}" cache="Slicer_Duplicate_flag1" caption="Duplicate flag" level="1" style="Slicer Style 2" rowHeight="241300"/>
  <slicer name="Submission Channel 1" xr10:uid="{8EF417D8-43BA-45B8-BC58-2CBEEA02F1AC}" cache="Slicer_Submission_Channel1" caption="Submission Channel" level="1"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7BD440-3D7F-4658-8B33-DAA2D0A0BC3D}" name="Table1" displayName="Table1" ref="A1:P1001" totalsRowShown="0" headerRowDxfId="220" dataDxfId="218" headerRowBorderDxfId="219" tableBorderDxfId="217">
  <autoFilter ref="A1:P1001" xr:uid="{607BD440-3D7F-4658-8B33-DAA2D0A0BC3D}"/>
  <tableColumns count="16">
    <tableColumn id="1" xr3:uid="{25616226-D070-4AD6-ADF3-63EED728A5AC}" name="Claim_ID" dataDxfId="216"/>
    <tableColumn id="2" xr3:uid="{5309B1B5-9C3E-427D-8045-ADFB3955BD2B}" name="Patient_ID"/>
    <tableColumn id="3" xr3:uid="{9CD1EA91-2DEB-4030-A58A-CFA32CC890F5}" name="Provider_ID"/>
    <tableColumn id="4" xr3:uid="{F774E868-DD55-4893-87FD-645C4166E60D}" name="Claim_Date" dataDxfId="215"/>
    <tableColumn id="5" xr3:uid="{DB81C2DF-D54A-4939-BDDA-0A50F42DABBF}" name="Department" dataDxfId="214"/>
    <tableColumn id="6" xr3:uid="{364BB8CF-5AD9-4BA3-978D-B82EB2128048}" name="Diagnosis_Code" dataDxfId="213"/>
    <tableColumn id="7" xr3:uid="{30DEC432-4479-45BD-B0E5-6FD0CAAA3D40}" name="Procedure_Code" dataDxfId="212"/>
    <tableColumn id="8" xr3:uid="{1F5DA5D3-CF45-4FF6-AF0A-E81C3E21EA27}" name="Claim_Amount"/>
    <tableColumn id="14" xr3:uid="{12B2C0FE-67C2-4128-B583-C696FA3A5F41}" name="Column1" dataDxfId="211">
      <calculatedColumnFormula>IF(Table1[[#This Row],[Claim_Amount]]&lt;0,0,Table1[[#This Row],[Claim_Amount]])</calculatedColumnFormula>
    </tableColumn>
    <tableColumn id="15" xr3:uid="{7365B9DC-F789-4910-AF7A-B99C4E888823}" name="Column2" dataDxfId="210">
      <calculatedColumnFormula>IF(Table1[[#This Row],[Column1]]=0,"",Table1[[#This Row],[Column1]])</calculatedColumnFormula>
    </tableColumn>
    <tableColumn id="16" xr3:uid="{5A32F15E-EE6B-4863-8186-A3CA01C5B4B2}" name="Column3"/>
    <tableColumn id="9" xr3:uid="{AC79DFF5-1B0B-450A-ADB1-5B2F06EF65DB}" name="Approved_Amount"/>
    <tableColumn id="10" xr3:uid="{839E9500-CC51-4F1A-9EE4-7F67DB970C67}" name="Claim_Status" dataDxfId="209"/>
    <tableColumn id="11" xr3:uid="{D74E53E3-7D19-4BD9-B195-F9DFE736051C}" name="Submission_Channel" dataDxfId="208"/>
    <tableColumn id="12" xr3:uid="{C002754D-FC7E-45AF-91D4-C5A98A63FB7C}" name="Days_To_Submit"/>
    <tableColumn id="13" xr3:uid="{11633F32-1AF0-4CF6-A64E-EE3952B7C99C}" name="Duplicate_Flag" dataDxfId="20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E19731-88C1-4265-BCE5-53402043D95A}" name="Table13" displayName="Table13" ref="A1:AE1002" totalsRowCount="1" headerRowDxfId="206" dataDxfId="204" headerRowBorderDxfId="205" tableBorderDxfId="203">
  <autoFilter ref="A1:AE1001" xr:uid="{607BD440-3D7F-4658-8B33-DAA2D0A0BC3D}"/>
  <tableColumns count="31">
    <tableColumn id="1" xr3:uid="{3DCE7070-1B9D-457C-848B-1A99CCAAA80E}" name="Claim_ID" totalsRowLabel="Total" dataDxfId="202" totalsRowDxfId="201"/>
    <tableColumn id="24" xr3:uid="{F2E3E826-C829-4752-9079-FFB8F0B494AA}" name="Patient ID"/>
    <tableColumn id="25" xr3:uid="{DF8884B2-6E05-4634-AB7B-EA4B1FC86B9B}" name="Provider ID"/>
    <tableColumn id="22" xr3:uid="{4F72F2BF-4EEA-4B39-96D1-08AEE0F532AA}" name="Claim_Date" dataDxfId="200"/>
    <tableColumn id="4" xr3:uid="{B8B45820-6F4F-4C9E-87C0-0F0710B8AB94}" name="Claim_Date2" dataDxfId="199" totalsRowDxfId="198"/>
    <tableColumn id="10" xr3:uid="{483CB89B-9FD8-48F8-A077-A40C94FC280F}" name="Function Col" dataDxfId="197" totalsRowDxfId="196">
      <calculatedColumnFormula>IF(ISNUMBER(Table13[[#This Row],[Claim_Date2]]),"",Table13[[#This Row],[Claim_Date2]])</calculatedColumnFormula>
    </tableColumn>
    <tableColumn id="9" xr3:uid="{F97AB2E7-BF2F-450E-BC1A-0A2ACF610F64}" name="Values Col 1" dataDxfId="195" totalsRowDxfId="194"/>
    <tableColumn id="13" xr3:uid="{F5B3B4B2-870D-4A7A-8EF2-CDE47A3C3448}" name="Function Col5" dataDxfId="193" totalsRowDxfId="192">
      <calculatedColumnFormula>LEFT(Table13[[#This Row],[Values Col 1]],3)</calculatedColumnFormula>
    </tableColumn>
    <tableColumn id="15" xr3:uid="{EA0C8BEA-24B2-4A4B-B36D-A266F038C6EF}" name="Month Col" dataDxfId="191" totalsRowDxfId="190"/>
    <tableColumn id="12" xr3:uid="{93AEC82A-7AAA-459A-9B0B-28B3D6DB15C5}" name="Function Col2" dataDxfId="189" totalsRowDxfId="188">
      <calculatedColumnFormula>MID(Table13[[#This Row],[Function Col]],5,2)</calculatedColumnFormula>
    </tableColumn>
    <tableColumn id="16" xr3:uid="{CD78B7D3-E716-4CF2-8CF5-5243796822A8}" name="Day Col" dataDxfId="187" totalsRowDxfId="186"/>
    <tableColumn id="11" xr3:uid="{C20998BA-6B26-476C-A805-8433CD78C926}" name="Function Col4" dataDxfId="185" totalsRowDxfId="184">
      <calculatedColumnFormula>RIGHT(Table13[[#This Row],[Function Col]],4)</calculatedColumnFormula>
    </tableColumn>
    <tableColumn id="14" xr3:uid="{80DD9B6A-6A2D-4507-A7E8-8BD4017DCDA6}" name="Year Col" dataDxfId="183" totalsRowDxfId="182"/>
    <tableColumn id="17" xr3:uid="{884BBCA2-2C91-4CF9-86BF-E58099305984}" name="Function Col3" dataDxfId="181" totalsRowDxfId="180">
      <calculatedColumnFormula>IF(Table13[[#This Row],[Function Col5]]="","",_xlfn.CONCAT(Table13[[#This Row],[Day Col]],"/",Table13[[#This Row],[Month Col]],"/",Table13[[#This Row],[Year Col]]))</calculatedColumnFormula>
    </tableColumn>
    <tableColumn id="18" xr3:uid="{5A2AAECA-BDCD-4745-9982-22BAA6E9C30F}" name="Function Col32" dataDxfId="179" totalsRowDxfId="178"/>
    <tableColumn id="19" xr3:uid="{C426AE6A-7823-4C9D-B483-A23DF931BB3A}" name="Function Col33" dataDxfId="177" totalsRowDxfId="176">
      <calculatedColumnFormula>IF(ISNUMBER(Table13[[#This Row],[Claim_Date2]]),Table13[[#This Row],[Claim_Date2]],Table13[[#This Row],[Function Col32]])</calculatedColumnFormula>
    </tableColumn>
    <tableColumn id="20" xr3:uid="{7733D308-A340-404D-9F28-528B2B6FCEAF}" name="Cleaned Claim Date" dataDxfId="175" totalsRowDxfId="174"/>
    <tableColumn id="23" xr3:uid="{E28AAD4A-231E-4D7D-8D8A-A47F67B7A6F1}" name="Clinical Dept" dataDxfId="173" totalsRowDxfId="172"/>
    <tableColumn id="26" xr3:uid="{D9A18DF1-4E92-4713-9C3D-323C13C57522}" name="Diagnosis Code" dataDxfId="171" totalsRowDxfId="170"/>
    <tableColumn id="29" xr3:uid="{9F59F97D-DB1A-4961-A0E8-0F5EA9E4BAB0}" name="Procedure Code" dataDxfId="169" totalsRowDxfId="168"/>
    <tableColumn id="2" xr3:uid="{C53F979D-46B6-4776-BC5E-74EA2BF0BF5E}" name="Column1" dataDxfId="167" totalsRowDxfId="166"/>
    <tableColumn id="7" xr3:uid="{65B2D9DD-970C-40DE-AE37-7D2EE9AF17FC}" name="Claim_Amount"/>
    <tableColumn id="6" xr3:uid="{D4852D85-D5E6-43E4-ACC0-1C38C7B26100}" name="Column4">
      <calculatedColumnFormula>IF(Table1[[#This Row],[Claim_Amount]]&lt;0,0,Table1[[#This Row],[Claim_Amount]])</calculatedColumnFormula>
    </tableColumn>
    <tableColumn id="5" xr3:uid="{77F09015-050D-4348-8E1D-DBB68DB34D0A}" name="Column3">
      <calculatedColumnFormula>IF(Table1[[#This Row],[Column1]]=0,"",Table1[[#This Row],[Column1]])</calculatedColumnFormula>
    </tableColumn>
    <tableColumn id="3" xr3:uid="{1FF570F7-6245-48C1-8136-2935B491CF09}" name="Column2"/>
    <tableColumn id="8" xr3:uid="{64E38571-D3A6-4AD1-A99C-53FFA0843900}" name="Column22"/>
    <tableColumn id="38" xr3:uid="{A5561A36-E9C2-4158-8EB3-6522F1F6399B}" name="Approved Amount"/>
    <tableColumn id="40" xr3:uid="{9F826FD9-E054-4F7E-83AC-E043E87EEAD5}" name="Claim Status" dataDxfId="165" totalsRowDxfId="164"/>
    <tableColumn id="44" xr3:uid="{BBF73567-F937-4EB9-BDF0-5627966C2D44}" name="Submission Channel" dataDxfId="163" totalsRowDxfId="162"/>
    <tableColumn id="48" xr3:uid="{30C44681-6444-47ED-8F1F-ACA5B3975972}" name="Days To Submit"/>
    <tableColumn id="50" xr3:uid="{B461643D-ED63-4E7D-80AA-6C0618CA9103}" name="Duplicate Flag" dataDxfId="161" totalsRowDxfId="16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C570066-9ABA-42D0-968C-AEDB8A176066}" name="Table1345" displayName="Table1345" ref="A1:M1002" totalsRowCount="1" headerRowDxfId="159" dataDxfId="157" headerRowBorderDxfId="158" tableBorderDxfId="156">
  <autoFilter ref="A1:M1001" xr:uid="{C2185D6D-FB65-4E31-8337-DD14E2B0CBD6}"/>
  <tableColumns count="13">
    <tableColumn id="1" xr3:uid="{C6B47E32-50A0-4FDB-B15A-72ACE10E820E}" name="Claim_ID" totalsRowLabel="Total" dataDxfId="155" totalsRowDxfId="154"/>
    <tableColumn id="24" xr3:uid="{DD1A6AF3-7CBC-43E6-8F9C-7C5E316A49F6}" name="Patient ID"/>
    <tableColumn id="25" xr3:uid="{A87FA1EE-B6F4-40A1-8660-8524B9927478}" name="Provider ID"/>
    <tableColumn id="20" xr3:uid="{ABDEAA30-3A4D-4C87-8EF8-D9E879ECD119}" name="Claim Date" dataDxfId="153" totalsRowDxfId="152"/>
    <tableColumn id="23" xr3:uid="{3609ABF1-A620-41D4-8D06-82C73205DFBA}" name="Clinical Dept" dataDxfId="151" totalsRowDxfId="150"/>
    <tableColumn id="26" xr3:uid="{6B1BA264-A2DB-4604-83C0-9BD0A84A779C}" name="Diagnosis Code" dataDxfId="149" totalsRowDxfId="148"/>
    <tableColumn id="29" xr3:uid="{9D9A8291-A1E9-446A-A60F-C52F123FCADF}" name="Procedure Code" dataDxfId="147" totalsRowDxfId="146"/>
    <tableColumn id="34" xr3:uid="{E3F2AAC3-8421-469F-8E5A-00E2F8743DF7}" name="Claim Amount"/>
    <tableColumn id="38" xr3:uid="{10A8BC23-0F94-4E0B-84E3-D391100CDF3C}" name="Approved Amount"/>
    <tableColumn id="40" xr3:uid="{200756F4-FFE0-4D33-B88F-FC894AB0FC55}" name="Claim Status" dataDxfId="145" totalsRowDxfId="144"/>
    <tableColumn id="44" xr3:uid="{52914C41-CCCF-4CB5-B128-D3757906AB8B}" name="Submission Channel" dataDxfId="143" totalsRowDxfId="142"/>
    <tableColumn id="48" xr3:uid="{B7076E36-B647-4803-9030-8A1ACC4B4F74}" name="Days To Submit"/>
    <tableColumn id="22" xr3:uid="{A4963A5B-C088-42C0-B7D2-A6DA396A0A2F}" name="Duplicate flag"/>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1" dT="2026-05-13T19:21:57.00" personId="{48EAD0B4-9C9D-43EF-A4FC-3DEFA976FBDB}" id="{742B0887-A3B3-41B7-A91E-F24430ED074E}">
    <text>Replaced “-” with “/”</text>
  </threadedComment>
  <threadedComment ref="G1" dT="2026-05-13T19:22:58.68" personId="{48EAD0B4-9C9D-43EF-A4FC-3DEFA976FBDB}" id="{E763039E-B63B-41E6-AABF-07A40E3ED021}">
    <text>Pasted Column F as values</text>
  </threadedComment>
  <threadedComment ref="I1" dT="2026-05-13T19:23:23.44" personId="{48EAD0B4-9C9D-43EF-A4FC-3DEFA976FBDB}" id="{C56B30D2-1256-4CC8-8E20-C790CB4556D9}">
    <text>Pasted Column H as Values</text>
  </threadedComment>
  <threadedComment ref="Q1" dT="2026-05-13T19:27:41.13" personId="{48EAD0B4-9C9D-43EF-A4FC-3DEFA976FBDB}" id="{9A18EBBA-0FEC-403C-A938-CB677DB8BB6A}">
    <text>Pasted Column P as Values, and replaced Month initials with month number</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3.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01"/>
  <sheetViews>
    <sheetView topLeftCell="H1" workbookViewId="0">
      <selection activeCell="L1" sqref="L1:L1001"/>
    </sheetView>
  </sheetViews>
  <sheetFormatPr defaultColWidth="14.453125" defaultRowHeight="15" customHeight="1" x14ac:dyDescent="0.35"/>
  <cols>
    <col min="1" max="1" width="10.26953125" customWidth="1"/>
    <col min="2" max="2" width="11.7265625" customWidth="1"/>
    <col min="3" max="3" width="12.7265625" customWidth="1"/>
    <col min="4" max="4" width="15" bestFit="1" customWidth="1"/>
    <col min="5" max="5" width="13.08984375" customWidth="1"/>
    <col min="6" max="6" width="16" customWidth="1"/>
    <col min="7" max="7" width="16.7265625" customWidth="1"/>
    <col min="8" max="11" width="15.26953125" customWidth="1"/>
    <col min="12" max="12" width="18.81640625" customWidth="1"/>
    <col min="13" max="13" width="13.7265625" customWidth="1"/>
    <col min="14" max="14" width="20.08984375" customWidth="1"/>
    <col min="15" max="15" width="16.81640625" customWidth="1"/>
    <col min="16" max="16" width="15" customWidth="1"/>
    <col min="17" max="29" width="8.7265625" customWidth="1"/>
  </cols>
  <sheetData>
    <row r="1" spans="1:16" ht="14.5" x14ac:dyDescent="0.35">
      <c r="A1" s="2" t="s">
        <v>0</v>
      </c>
      <c r="B1" s="2" t="s">
        <v>1</v>
      </c>
      <c r="C1" s="2" t="s">
        <v>2</v>
      </c>
      <c r="D1" s="2" t="s">
        <v>3</v>
      </c>
      <c r="E1" s="2" t="s">
        <v>4</v>
      </c>
      <c r="F1" s="2" t="s">
        <v>5</v>
      </c>
      <c r="G1" s="2" t="s">
        <v>6</v>
      </c>
      <c r="H1" s="2" t="s">
        <v>7</v>
      </c>
      <c r="I1" s="8" t="s">
        <v>1374</v>
      </c>
      <c r="J1" s="8" t="s">
        <v>1375</v>
      </c>
      <c r="K1" s="8" t="s">
        <v>1376</v>
      </c>
      <c r="L1" s="8" t="s">
        <v>8</v>
      </c>
      <c r="M1" s="2" t="s">
        <v>9</v>
      </c>
      <c r="N1" s="2" t="s">
        <v>10</v>
      </c>
      <c r="O1" s="2" t="s">
        <v>11</v>
      </c>
      <c r="P1" s="2" t="s">
        <v>12</v>
      </c>
    </row>
    <row r="2" spans="1:16" ht="14.5" x14ac:dyDescent="0.35">
      <c r="A2" s="1" t="s">
        <v>13</v>
      </c>
      <c r="B2" s="1" t="s">
        <v>14</v>
      </c>
      <c r="D2" s="1" t="s">
        <v>15</v>
      </c>
      <c r="E2" s="1" t="s">
        <v>16</v>
      </c>
      <c r="H2" s="1">
        <v>-32</v>
      </c>
      <c r="I2" s="1">
        <f>IF(Table1[[#This Row],[Claim_Amount]]&lt;0,0,Table1[[#This Row],[Claim_Amount]])</f>
        <v>0</v>
      </c>
      <c r="J2" s="1" t="str">
        <f>IF(Table1[[#This Row],[Column1]]=0,"",Table1[[#This Row],[Column1]])</f>
        <v/>
      </c>
      <c r="K2" s="1" t="s">
        <v>1098</v>
      </c>
      <c r="L2" s="1">
        <v>207.32</v>
      </c>
      <c r="M2" s="1" t="s">
        <v>17</v>
      </c>
      <c r="N2" s="1" t="s">
        <v>18</v>
      </c>
      <c r="P2" s="1" t="s">
        <v>19</v>
      </c>
    </row>
    <row r="3" spans="1:16" ht="14.5" x14ac:dyDescent="0.35">
      <c r="A3" s="1" t="s">
        <v>20</v>
      </c>
      <c r="D3" s="1" t="s">
        <v>21</v>
      </c>
      <c r="E3" s="1" t="s">
        <v>22</v>
      </c>
      <c r="F3" s="1" t="s">
        <v>23</v>
      </c>
      <c r="G3" s="1" t="s">
        <v>24</v>
      </c>
      <c r="I3">
        <f>IF(Table1[[#This Row],[Claim_Amount]]&lt;0,0,Table1[[#This Row],[Claim_Amount]])</f>
        <v>0</v>
      </c>
      <c r="J3" t="str">
        <f>IF(Table1[[#This Row],[Column1]]=0,"",Table1[[#This Row],[Column1]])</f>
        <v/>
      </c>
      <c r="K3" t="s">
        <v>1098</v>
      </c>
      <c r="M3" s="1" t="s">
        <v>25</v>
      </c>
      <c r="N3" s="1" t="s">
        <v>26</v>
      </c>
      <c r="O3" s="1">
        <v>24</v>
      </c>
      <c r="P3" s="1" t="s">
        <v>27</v>
      </c>
    </row>
    <row r="4" spans="1:16" ht="14.5" x14ac:dyDescent="0.35">
      <c r="A4" s="1" t="s">
        <v>28</v>
      </c>
      <c r="D4" s="1" t="s">
        <v>29</v>
      </c>
      <c r="E4" s="1" t="s">
        <v>30</v>
      </c>
      <c r="F4" s="1" t="s">
        <v>31</v>
      </c>
      <c r="I4">
        <f>IF(Table1[[#This Row],[Claim_Amount]]&lt;0,0,Table1[[#This Row],[Claim_Amount]])</f>
        <v>0</v>
      </c>
      <c r="J4" t="str">
        <f>IF(Table1[[#This Row],[Column1]]=0,"",Table1[[#This Row],[Column1]])</f>
        <v/>
      </c>
      <c r="K4" t="s">
        <v>1098</v>
      </c>
      <c r="L4" s="1">
        <v>3537.63</v>
      </c>
      <c r="M4" s="1" t="s">
        <v>17</v>
      </c>
      <c r="N4" s="1" t="s">
        <v>32</v>
      </c>
      <c r="O4" s="1">
        <v>5</v>
      </c>
      <c r="P4" s="1" t="s">
        <v>19</v>
      </c>
    </row>
    <row r="5" spans="1:16" ht="14.5" x14ac:dyDescent="0.35">
      <c r="A5" s="1" t="s">
        <v>33</v>
      </c>
      <c r="D5" s="1" t="s">
        <v>34</v>
      </c>
      <c r="E5" s="1" t="s">
        <v>35</v>
      </c>
      <c r="F5" s="1" t="s">
        <v>31</v>
      </c>
      <c r="H5" s="1">
        <v>4686.4399999999996</v>
      </c>
      <c r="I5" s="1">
        <f>IF(Table1[[#This Row],[Claim_Amount]]&lt;0,0,Table1[[#This Row],[Claim_Amount]])</f>
        <v>4686.4399999999996</v>
      </c>
      <c r="J5" s="1">
        <f>IF(Table1[[#This Row],[Column1]]=0,"",Table1[[#This Row],[Column1]])</f>
        <v>4686.4399999999996</v>
      </c>
      <c r="K5" s="1">
        <v>4686.4399999999996</v>
      </c>
      <c r="L5" s="1">
        <v>3065.2</v>
      </c>
      <c r="M5" s="1" t="s">
        <v>36</v>
      </c>
      <c r="N5" s="1" t="s">
        <v>18</v>
      </c>
      <c r="P5" s="1" t="s">
        <v>37</v>
      </c>
    </row>
    <row r="6" spans="1:16" ht="14.5" x14ac:dyDescent="0.35">
      <c r="A6" s="1" t="s">
        <v>38</v>
      </c>
      <c r="C6" s="1" t="s">
        <v>39</v>
      </c>
      <c r="D6" s="1" t="s">
        <v>40</v>
      </c>
      <c r="E6" s="1" t="s">
        <v>22</v>
      </c>
      <c r="F6" s="1" t="s">
        <v>23</v>
      </c>
      <c r="G6" s="1" t="s">
        <v>41</v>
      </c>
      <c r="I6">
        <f>IF(Table1[[#This Row],[Claim_Amount]]&lt;0,0,Table1[[#This Row],[Claim_Amount]])</f>
        <v>0</v>
      </c>
      <c r="J6" t="str">
        <f>IF(Table1[[#This Row],[Column1]]=0,"",Table1[[#This Row],[Column1]])</f>
        <v/>
      </c>
      <c r="K6" t="s">
        <v>1098</v>
      </c>
      <c r="M6" s="1" t="s">
        <v>42</v>
      </c>
      <c r="N6" s="1" t="s">
        <v>18</v>
      </c>
      <c r="P6" s="1" t="s">
        <v>37</v>
      </c>
    </row>
    <row r="7" spans="1:16" ht="14.5" x14ac:dyDescent="0.35">
      <c r="A7" s="1" t="s">
        <v>43</v>
      </c>
      <c r="B7" s="1" t="s">
        <v>44</v>
      </c>
      <c r="C7" s="1" t="s">
        <v>45</v>
      </c>
      <c r="D7" s="1" t="s">
        <v>46</v>
      </c>
      <c r="E7" s="1" t="s">
        <v>35</v>
      </c>
      <c r="F7" s="1" t="s">
        <v>47</v>
      </c>
      <c r="G7" s="1" t="s">
        <v>48</v>
      </c>
      <c r="I7">
        <f>IF(Table1[[#This Row],[Claim_Amount]]&lt;0,0,Table1[[#This Row],[Claim_Amount]])</f>
        <v>0</v>
      </c>
      <c r="J7" t="str">
        <f>IF(Table1[[#This Row],[Column1]]=0,"",Table1[[#This Row],[Column1]])</f>
        <v/>
      </c>
      <c r="K7" t="s">
        <v>1098</v>
      </c>
      <c r="L7" s="1">
        <v>1135.6400000000001</v>
      </c>
      <c r="M7" s="1" t="s">
        <v>36</v>
      </c>
      <c r="N7" s="1" t="s">
        <v>49</v>
      </c>
      <c r="O7" s="1">
        <v>5</v>
      </c>
      <c r="P7" s="1" t="s">
        <v>19</v>
      </c>
    </row>
    <row r="8" spans="1:16" ht="14.5" x14ac:dyDescent="0.35">
      <c r="A8" s="1" t="s">
        <v>50</v>
      </c>
      <c r="B8" s="1" t="s">
        <v>51</v>
      </c>
      <c r="D8" s="1" t="s">
        <v>52</v>
      </c>
      <c r="E8" s="1" t="s">
        <v>30</v>
      </c>
      <c r="F8" s="1" t="s">
        <v>53</v>
      </c>
      <c r="G8" s="1" t="s">
        <v>54</v>
      </c>
      <c r="H8" s="1">
        <v>1294.5</v>
      </c>
      <c r="I8" s="1">
        <f>IF(Table1[[#This Row],[Claim_Amount]]&lt;0,0,Table1[[#This Row],[Claim_Amount]])</f>
        <v>1294.5</v>
      </c>
      <c r="J8" s="1">
        <f>IF(Table1[[#This Row],[Column1]]=0,"",Table1[[#This Row],[Column1]])</f>
        <v>1294.5</v>
      </c>
      <c r="K8" s="1">
        <v>1294.5</v>
      </c>
      <c r="L8" s="1">
        <v>3417.4</v>
      </c>
      <c r="M8" s="1" t="s">
        <v>36</v>
      </c>
      <c r="N8" s="1" t="s">
        <v>32</v>
      </c>
      <c r="P8" s="1" t="s">
        <v>27</v>
      </c>
    </row>
    <row r="9" spans="1:16" ht="14.5" x14ac:dyDescent="0.35">
      <c r="A9" s="1" t="s">
        <v>55</v>
      </c>
      <c r="D9" s="1" t="s">
        <v>56</v>
      </c>
      <c r="E9" s="1" t="s">
        <v>30</v>
      </c>
      <c r="F9" s="1" t="s">
        <v>23</v>
      </c>
      <c r="I9">
        <f>IF(Table1[[#This Row],[Claim_Amount]]&lt;0,0,Table1[[#This Row],[Claim_Amount]])</f>
        <v>0</v>
      </c>
      <c r="J9" t="str">
        <f>IF(Table1[[#This Row],[Column1]]=0,"",Table1[[#This Row],[Column1]])</f>
        <v/>
      </c>
      <c r="K9" t="s">
        <v>1098</v>
      </c>
      <c r="L9" s="1">
        <v>806.55</v>
      </c>
      <c r="M9" s="1" t="s">
        <v>36</v>
      </c>
      <c r="N9" s="1" t="s">
        <v>57</v>
      </c>
      <c r="O9" s="1">
        <v>58</v>
      </c>
    </row>
    <row r="10" spans="1:16" ht="14.5" x14ac:dyDescent="0.35">
      <c r="A10" s="1" t="s">
        <v>58</v>
      </c>
      <c r="B10" s="1" t="s">
        <v>59</v>
      </c>
      <c r="D10" s="1" t="s">
        <v>60</v>
      </c>
      <c r="E10" s="1" t="s">
        <v>30</v>
      </c>
      <c r="F10" s="1" t="s">
        <v>23</v>
      </c>
      <c r="G10" s="1" t="s">
        <v>61</v>
      </c>
      <c r="I10">
        <f>IF(Table1[[#This Row],[Claim_Amount]]&lt;0,0,Table1[[#This Row],[Claim_Amount]])</f>
        <v>0</v>
      </c>
      <c r="J10" t="str">
        <f>IF(Table1[[#This Row],[Column1]]=0,"",Table1[[#This Row],[Column1]])</f>
        <v/>
      </c>
      <c r="K10" t="s">
        <v>1098</v>
      </c>
      <c r="M10" s="1" t="s">
        <v>36</v>
      </c>
      <c r="N10" s="1" t="s">
        <v>18</v>
      </c>
    </row>
    <row r="11" spans="1:16" ht="14.5" x14ac:dyDescent="0.35">
      <c r="A11" s="1" t="s">
        <v>62</v>
      </c>
      <c r="C11" s="1" t="s">
        <v>63</v>
      </c>
      <c r="D11" s="1" t="s">
        <v>64</v>
      </c>
      <c r="E11" s="1" t="s">
        <v>35</v>
      </c>
      <c r="F11" s="1" t="s">
        <v>31</v>
      </c>
      <c r="G11" s="1" t="s">
        <v>48</v>
      </c>
      <c r="H11" s="1">
        <v>4503.09</v>
      </c>
      <c r="I11" s="1">
        <f>IF(Table1[[#This Row],[Claim_Amount]]&lt;0,0,Table1[[#This Row],[Claim_Amount]])</f>
        <v>4503.09</v>
      </c>
      <c r="J11" s="1">
        <f>IF(Table1[[#This Row],[Column1]]=0,"",Table1[[#This Row],[Column1]])</f>
        <v>4503.09</v>
      </c>
      <c r="K11" s="1">
        <v>4503.09</v>
      </c>
      <c r="L11" s="1">
        <v>1277.1300000000001</v>
      </c>
      <c r="M11" s="1" t="s">
        <v>42</v>
      </c>
      <c r="N11" s="1" t="s">
        <v>26</v>
      </c>
      <c r="P11" s="1" t="s">
        <v>65</v>
      </c>
    </row>
    <row r="12" spans="1:16" ht="14.5" x14ac:dyDescent="0.35">
      <c r="A12" s="1" t="s">
        <v>66</v>
      </c>
      <c r="B12" s="1" t="s">
        <v>67</v>
      </c>
      <c r="C12" s="1" t="s">
        <v>68</v>
      </c>
      <c r="D12" s="1" t="s">
        <v>69</v>
      </c>
      <c r="E12" s="1" t="s">
        <v>16</v>
      </c>
      <c r="F12" s="1" t="s">
        <v>47</v>
      </c>
      <c r="G12" s="1" t="s">
        <v>24</v>
      </c>
      <c r="I12">
        <f>IF(Table1[[#This Row],[Claim_Amount]]&lt;0,0,Table1[[#This Row],[Claim_Amount]])</f>
        <v>0</v>
      </c>
      <c r="J12" t="str">
        <f>IF(Table1[[#This Row],[Column1]]=0,"",Table1[[#This Row],[Column1]])</f>
        <v/>
      </c>
      <c r="K12" t="s">
        <v>1098</v>
      </c>
      <c r="M12" s="1" t="s">
        <v>36</v>
      </c>
      <c r="N12" s="1" t="s">
        <v>57</v>
      </c>
      <c r="O12" s="1">
        <v>30</v>
      </c>
      <c r="P12" s="1" t="s">
        <v>37</v>
      </c>
    </row>
    <row r="13" spans="1:16" ht="14.5" x14ac:dyDescent="0.35">
      <c r="A13" s="1" t="s">
        <v>70</v>
      </c>
      <c r="B13" s="1" t="s">
        <v>71</v>
      </c>
      <c r="D13" s="1" t="s">
        <v>72</v>
      </c>
      <c r="E13" s="1" t="s">
        <v>22</v>
      </c>
      <c r="G13" s="1" t="s">
        <v>61</v>
      </c>
      <c r="H13" s="1">
        <v>3383.15</v>
      </c>
      <c r="I13" s="1">
        <f>IF(Table1[[#This Row],[Claim_Amount]]&lt;0,0,Table1[[#This Row],[Claim_Amount]])</f>
        <v>3383.15</v>
      </c>
      <c r="J13" s="1">
        <f>IF(Table1[[#This Row],[Column1]]=0,"",Table1[[#This Row],[Column1]])</f>
        <v>3383.15</v>
      </c>
      <c r="K13" s="1">
        <v>3383.15</v>
      </c>
      <c r="M13" s="1" t="s">
        <v>42</v>
      </c>
      <c r="N13" s="1" t="s">
        <v>26</v>
      </c>
      <c r="O13" s="1">
        <v>15</v>
      </c>
      <c r="P13" s="1" t="s">
        <v>65</v>
      </c>
    </row>
    <row r="14" spans="1:16" ht="14.5" x14ac:dyDescent="0.35">
      <c r="A14" s="1" t="s">
        <v>73</v>
      </c>
      <c r="B14" s="1" t="s">
        <v>74</v>
      </c>
      <c r="C14" s="1" t="s">
        <v>75</v>
      </c>
      <c r="D14" s="1" t="s">
        <v>76</v>
      </c>
      <c r="E14" s="1" t="s">
        <v>77</v>
      </c>
      <c r="F14" s="1" t="s">
        <v>47</v>
      </c>
      <c r="G14" s="1" t="s">
        <v>61</v>
      </c>
      <c r="H14" s="1">
        <v>300.41000000000003</v>
      </c>
      <c r="I14" s="1">
        <f>IF(Table1[[#This Row],[Claim_Amount]]&lt;0,0,Table1[[#This Row],[Claim_Amount]])</f>
        <v>300.41000000000003</v>
      </c>
      <c r="J14" s="1">
        <f>IF(Table1[[#This Row],[Column1]]=0,"",Table1[[#This Row],[Column1]])</f>
        <v>300.41000000000003</v>
      </c>
      <c r="K14" s="1">
        <v>300.41000000000003</v>
      </c>
      <c r="L14" s="1">
        <v>4846.53</v>
      </c>
      <c r="M14" s="1" t="s">
        <v>17</v>
      </c>
      <c r="N14" s="1" t="s">
        <v>49</v>
      </c>
      <c r="P14" s="1" t="s">
        <v>65</v>
      </c>
    </row>
    <row r="15" spans="1:16" ht="14.5" x14ac:dyDescent="0.35">
      <c r="A15" s="1" t="s">
        <v>78</v>
      </c>
      <c r="B15" s="1" t="s">
        <v>79</v>
      </c>
      <c r="C15" s="1" t="s">
        <v>80</v>
      </c>
      <c r="D15" s="1" t="s">
        <v>81</v>
      </c>
      <c r="E15" s="1" t="s">
        <v>77</v>
      </c>
      <c r="H15" s="1">
        <v>-152</v>
      </c>
      <c r="I15" s="1">
        <f>IF(Table1[[#This Row],[Claim_Amount]]&lt;0,0,Table1[[#This Row],[Claim_Amount]])</f>
        <v>0</v>
      </c>
      <c r="J15" s="1" t="str">
        <f>IF(Table1[[#This Row],[Column1]]=0,"",Table1[[#This Row],[Column1]])</f>
        <v/>
      </c>
      <c r="K15" s="1" t="s">
        <v>1098</v>
      </c>
      <c r="M15" s="1" t="s">
        <v>17</v>
      </c>
      <c r="N15" s="1" t="s">
        <v>26</v>
      </c>
    </row>
    <row r="16" spans="1:16" ht="14.5" x14ac:dyDescent="0.35">
      <c r="A16" s="1" t="s">
        <v>82</v>
      </c>
      <c r="C16" s="1" t="s">
        <v>83</v>
      </c>
      <c r="D16" s="1" t="s">
        <v>84</v>
      </c>
      <c r="E16" s="1" t="s">
        <v>85</v>
      </c>
      <c r="F16" s="1" t="s">
        <v>23</v>
      </c>
      <c r="G16" s="1" t="s">
        <v>54</v>
      </c>
      <c r="H16" s="1">
        <v>446.55</v>
      </c>
      <c r="I16" s="1">
        <f>IF(Table1[[#This Row],[Claim_Amount]]&lt;0,0,Table1[[#This Row],[Claim_Amount]])</f>
        <v>446.55</v>
      </c>
      <c r="J16" s="1">
        <f>IF(Table1[[#This Row],[Column1]]=0,"",Table1[[#This Row],[Column1]])</f>
        <v>446.55</v>
      </c>
      <c r="K16" s="1">
        <v>446.55</v>
      </c>
      <c r="M16" s="1" t="s">
        <v>17</v>
      </c>
      <c r="N16" s="1" t="s">
        <v>49</v>
      </c>
      <c r="P16" s="1" t="s">
        <v>65</v>
      </c>
    </row>
    <row r="17" spans="1:16" ht="14.5" x14ac:dyDescent="0.35">
      <c r="A17" s="1" t="s">
        <v>66</v>
      </c>
      <c r="B17" s="1" t="s">
        <v>86</v>
      </c>
      <c r="C17" s="1" t="s">
        <v>87</v>
      </c>
      <c r="D17" s="1" t="s">
        <v>88</v>
      </c>
      <c r="E17" s="1" t="s">
        <v>30</v>
      </c>
      <c r="F17" s="1" t="s">
        <v>31</v>
      </c>
      <c r="G17" s="1" t="s">
        <v>41</v>
      </c>
      <c r="I17">
        <f>IF(Table1[[#This Row],[Claim_Amount]]&lt;0,0,Table1[[#This Row],[Claim_Amount]])</f>
        <v>0</v>
      </c>
      <c r="J17" t="str">
        <f>IF(Table1[[#This Row],[Column1]]=0,"",Table1[[#This Row],[Column1]])</f>
        <v/>
      </c>
      <c r="K17" t="s">
        <v>1098</v>
      </c>
      <c r="M17" s="1" t="s">
        <v>17</v>
      </c>
      <c r="N17" s="1" t="s">
        <v>32</v>
      </c>
      <c r="P17" s="1" t="s">
        <v>19</v>
      </c>
    </row>
    <row r="18" spans="1:16" ht="14.5" x14ac:dyDescent="0.35">
      <c r="A18" s="1" t="s">
        <v>89</v>
      </c>
      <c r="C18" s="1" t="s">
        <v>90</v>
      </c>
      <c r="D18" s="1" t="s">
        <v>91</v>
      </c>
      <c r="E18" s="1" t="s">
        <v>92</v>
      </c>
      <c r="F18" s="1" t="s">
        <v>93</v>
      </c>
      <c r="G18" s="1" t="s">
        <v>41</v>
      </c>
      <c r="I18">
        <f>IF(Table1[[#This Row],[Claim_Amount]]&lt;0,0,Table1[[#This Row],[Claim_Amount]])</f>
        <v>0</v>
      </c>
      <c r="J18" t="str">
        <f>IF(Table1[[#This Row],[Column1]]=0,"",Table1[[#This Row],[Column1]])</f>
        <v/>
      </c>
      <c r="K18" t="s">
        <v>1098</v>
      </c>
      <c r="M18" s="1" t="s">
        <v>36</v>
      </c>
      <c r="N18" s="1" t="s">
        <v>32</v>
      </c>
    </row>
    <row r="19" spans="1:16" ht="14.5" x14ac:dyDescent="0.35">
      <c r="A19" s="1" t="s">
        <v>89</v>
      </c>
      <c r="C19" s="1" t="s">
        <v>94</v>
      </c>
      <c r="D19" s="1" t="s">
        <v>95</v>
      </c>
      <c r="E19" s="1" t="s">
        <v>35</v>
      </c>
      <c r="F19" s="1" t="s">
        <v>47</v>
      </c>
      <c r="G19" s="1" t="s">
        <v>24</v>
      </c>
      <c r="I19">
        <f>IF(Table1[[#This Row],[Claim_Amount]]&lt;0,0,Table1[[#This Row],[Claim_Amount]])</f>
        <v>0</v>
      </c>
      <c r="J19" t="str">
        <f>IF(Table1[[#This Row],[Column1]]=0,"",Table1[[#This Row],[Column1]])</f>
        <v/>
      </c>
      <c r="K19" t="s">
        <v>1098</v>
      </c>
      <c r="L19" s="1">
        <v>3602.18</v>
      </c>
      <c r="M19" s="1" t="s">
        <v>42</v>
      </c>
      <c r="N19" s="1" t="s">
        <v>57</v>
      </c>
      <c r="P19" s="1" t="s">
        <v>19</v>
      </c>
    </row>
    <row r="20" spans="1:16" ht="14.5" x14ac:dyDescent="0.35">
      <c r="A20" s="1" t="s">
        <v>96</v>
      </c>
      <c r="C20" s="1" t="s">
        <v>97</v>
      </c>
      <c r="D20" s="1" t="s">
        <v>98</v>
      </c>
      <c r="E20" s="1" t="s">
        <v>92</v>
      </c>
      <c r="F20" s="1" t="s">
        <v>93</v>
      </c>
      <c r="H20" s="1">
        <v>-190</v>
      </c>
      <c r="I20" s="1">
        <f>IF(Table1[[#This Row],[Claim_Amount]]&lt;0,0,Table1[[#This Row],[Claim_Amount]])</f>
        <v>0</v>
      </c>
      <c r="J20" s="1" t="str">
        <f>IF(Table1[[#This Row],[Column1]]=0,"",Table1[[#This Row],[Column1]])</f>
        <v/>
      </c>
      <c r="K20" s="1" t="s">
        <v>1098</v>
      </c>
      <c r="L20" s="1">
        <v>2826.49</v>
      </c>
      <c r="M20" s="1" t="s">
        <v>25</v>
      </c>
      <c r="N20" s="1" t="s">
        <v>18</v>
      </c>
      <c r="O20" s="1">
        <v>34</v>
      </c>
      <c r="P20" s="1" t="s">
        <v>27</v>
      </c>
    </row>
    <row r="21" spans="1:16" ht="15.75" customHeight="1" x14ac:dyDescent="0.35">
      <c r="A21" s="1" t="s">
        <v>66</v>
      </c>
      <c r="B21" s="1" t="s">
        <v>99</v>
      </c>
      <c r="C21" s="1" t="s">
        <v>100</v>
      </c>
      <c r="D21" s="1" t="s">
        <v>101</v>
      </c>
      <c r="E21" s="1" t="s">
        <v>92</v>
      </c>
      <c r="F21" s="1" t="s">
        <v>93</v>
      </c>
      <c r="I21">
        <f>IF(Table1[[#This Row],[Claim_Amount]]&lt;0,0,Table1[[#This Row],[Claim_Amount]])</f>
        <v>0</v>
      </c>
      <c r="J21" t="str">
        <f>IF(Table1[[#This Row],[Column1]]=0,"",Table1[[#This Row],[Column1]])</f>
        <v/>
      </c>
      <c r="K21" t="s">
        <v>1098</v>
      </c>
      <c r="M21" s="1" t="s">
        <v>36</v>
      </c>
      <c r="N21" s="1" t="s">
        <v>18</v>
      </c>
      <c r="O21" s="1">
        <v>59</v>
      </c>
      <c r="P21" s="1" t="s">
        <v>65</v>
      </c>
    </row>
    <row r="22" spans="1:16" ht="15.75" customHeight="1" x14ac:dyDescent="0.35">
      <c r="A22" s="1" t="s">
        <v>102</v>
      </c>
      <c r="B22" s="1" t="s">
        <v>103</v>
      </c>
      <c r="D22" s="1" t="s">
        <v>104</v>
      </c>
      <c r="E22" s="1" t="s">
        <v>85</v>
      </c>
      <c r="G22" s="1" t="s">
        <v>61</v>
      </c>
      <c r="H22" s="1">
        <v>-19</v>
      </c>
      <c r="I22" s="1">
        <f>IF(Table1[[#This Row],[Claim_Amount]]&lt;0,0,Table1[[#This Row],[Claim_Amount]])</f>
        <v>0</v>
      </c>
      <c r="J22" s="1" t="str">
        <f>IF(Table1[[#This Row],[Column1]]=0,"",Table1[[#This Row],[Column1]])</f>
        <v/>
      </c>
      <c r="K22" s="1" t="s">
        <v>1098</v>
      </c>
      <c r="M22" s="1" t="s">
        <v>42</v>
      </c>
      <c r="N22" s="1" t="s">
        <v>32</v>
      </c>
      <c r="O22" s="1">
        <v>52</v>
      </c>
      <c r="P22" s="1" t="s">
        <v>65</v>
      </c>
    </row>
    <row r="23" spans="1:16" ht="15.75" customHeight="1" x14ac:dyDescent="0.35">
      <c r="A23" s="1" t="s">
        <v>105</v>
      </c>
      <c r="B23" s="1" t="s">
        <v>106</v>
      </c>
      <c r="D23" s="1" t="s">
        <v>107</v>
      </c>
      <c r="E23" s="1" t="s">
        <v>35</v>
      </c>
      <c r="F23" s="1" t="s">
        <v>47</v>
      </c>
      <c r="G23" s="1" t="s">
        <v>48</v>
      </c>
      <c r="I23">
        <f>IF(Table1[[#This Row],[Claim_Amount]]&lt;0,0,Table1[[#This Row],[Claim_Amount]])</f>
        <v>0</v>
      </c>
      <c r="J23" t="str">
        <f>IF(Table1[[#This Row],[Column1]]=0,"",Table1[[#This Row],[Column1]])</f>
        <v/>
      </c>
      <c r="K23" t="s">
        <v>1098</v>
      </c>
      <c r="L23" s="1">
        <v>4699.22</v>
      </c>
      <c r="M23" s="1" t="s">
        <v>42</v>
      </c>
      <c r="N23" s="1" t="s">
        <v>18</v>
      </c>
      <c r="P23" s="1" t="s">
        <v>19</v>
      </c>
    </row>
    <row r="24" spans="1:16" ht="15.75" customHeight="1" x14ac:dyDescent="0.35">
      <c r="A24" s="1" t="s">
        <v>108</v>
      </c>
      <c r="D24" s="1" t="s">
        <v>109</v>
      </c>
      <c r="E24" s="1" t="s">
        <v>77</v>
      </c>
      <c r="F24" s="1" t="s">
        <v>47</v>
      </c>
      <c r="G24" s="1" t="s">
        <v>24</v>
      </c>
      <c r="H24" s="1">
        <v>-191</v>
      </c>
      <c r="I24" s="1">
        <f>IF(Table1[[#This Row],[Claim_Amount]]&lt;0,0,Table1[[#This Row],[Claim_Amount]])</f>
        <v>0</v>
      </c>
      <c r="J24" s="1" t="str">
        <f>IF(Table1[[#This Row],[Column1]]=0,"",Table1[[#This Row],[Column1]])</f>
        <v/>
      </c>
      <c r="K24" s="1" t="s">
        <v>1098</v>
      </c>
      <c r="M24" s="1" t="s">
        <v>17</v>
      </c>
      <c r="N24" s="1" t="s">
        <v>32</v>
      </c>
      <c r="O24" s="1">
        <v>27</v>
      </c>
      <c r="P24" s="1" t="s">
        <v>27</v>
      </c>
    </row>
    <row r="25" spans="1:16" ht="15.75" customHeight="1" x14ac:dyDescent="0.35">
      <c r="A25" s="1" t="s">
        <v>110</v>
      </c>
      <c r="D25" s="1" t="s">
        <v>111</v>
      </c>
      <c r="E25" s="1" t="s">
        <v>92</v>
      </c>
      <c r="F25" s="1" t="s">
        <v>53</v>
      </c>
      <c r="I25">
        <f>IF(Table1[[#This Row],[Claim_Amount]]&lt;0,0,Table1[[#This Row],[Claim_Amount]])</f>
        <v>0</v>
      </c>
      <c r="J25" t="str">
        <f>IF(Table1[[#This Row],[Column1]]=0,"",Table1[[#This Row],[Column1]])</f>
        <v/>
      </c>
      <c r="K25" t="s">
        <v>1098</v>
      </c>
      <c r="M25" s="1" t="s">
        <v>17</v>
      </c>
      <c r="N25" s="1" t="s">
        <v>57</v>
      </c>
      <c r="P25" s="1" t="s">
        <v>37</v>
      </c>
    </row>
    <row r="26" spans="1:16" ht="15.75" customHeight="1" x14ac:dyDescent="0.35">
      <c r="A26" s="1" t="s">
        <v>20</v>
      </c>
      <c r="C26" s="1" t="s">
        <v>112</v>
      </c>
      <c r="D26" s="1" t="s">
        <v>113</v>
      </c>
      <c r="E26" s="1" t="s">
        <v>92</v>
      </c>
      <c r="F26" s="1" t="s">
        <v>53</v>
      </c>
      <c r="G26" s="1" t="s">
        <v>48</v>
      </c>
      <c r="H26" s="1">
        <v>-64</v>
      </c>
      <c r="I26" s="1">
        <f>IF(Table1[[#This Row],[Claim_Amount]]&lt;0,0,Table1[[#This Row],[Claim_Amount]])</f>
        <v>0</v>
      </c>
      <c r="J26" s="1" t="str">
        <f>IF(Table1[[#This Row],[Column1]]=0,"",Table1[[#This Row],[Column1]])</f>
        <v/>
      </c>
      <c r="K26" s="1" t="s">
        <v>1098</v>
      </c>
      <c r="M26" s="1" t="s">
        <v>17</v>
      </c>
      <c r="N26" s="1" t="s">
        <v>26</v>
      </c>
    </row>
    <row r="27" spans="1:16" ht="15.75" customHeight="1" x14ac:dyDescent="0.35">
      <c r="A27" s="1" t="s">
        <v>114</v>
      </c>
      <c r="B27" s="1" t="s">
        <v>115</v>
      </c>
      <c r="D27" s="1" t="s">
        <v>116</v>
      </c>
      <c r="E27" s="1" t="s">
        <v>16</v>
      </c>
      <c r="F27" s="1" t="s">
        <v>93</v>
      </c>
      <c r="G27" s="1" t="s">
        <v>48</v>
      </c>
      <c r="H27" s="1">
        <v>-28</v>
      </c>
      <c r="I27" s="1">
        <f>IF(Table1[[#This Row],[Claim_Amount]]&lt;0,0,Table1[[#This Row],[Claim_Amount]])</f>
        <v>0</v>
      </c>
      <c r="J27" s="1" t="str">
        <f>IF(Table1[[#This Row],[Column1]]=0,"",Table1[[#This Row],[Column1]])</f>
        <v/>
      </c>
      <c r="K27" s="1" t="s">
        <v>1098</v>
      </c>
      <c r="M27" s="1" t="s">
        <v>36</v>
      </c>
      <c r="N27" s="1" t="s">
        <v>18</v>
      </c>
      <c r="P27" s="1" t="s">
        <v>37</v>
      </c>
    </row>
    <row r="28" spans="1:16" ht="15.75" customHeight="1" x14ac:dyDescent="0.35">
      <c r="A28" s="1" t="s">
        <v>117</v>
      </c>
      <c r="B28" s="1" t="s">
        <v>118</v>
      </c>
      <c r="C28" s="1" t="s">
        <v>119</v>
      </c>
      <c r="D28" s="1" t="s">
        <v>120</v>
      </c>
      <c r="E28" s="1" t="s">
        <v>22</v>
      </c>
      <c r="G28" s="1" t="s">
        <v>54</v>
      </c>
      <c r="I28">
        <f>IF(Table1[[#This Row],[Claim_Amount]]&lt;0,0,Table1[[#This Row],[Claim_Amount]])</f>
        <v>0</v>
      </c>
      <c r="J28" t="str">
        <f>IF(Table1[[#This Row],[Column1]]=0,"",Table1[[#This Row],[Column1]])</f>
        <v/>
      </c>
      <c r="K28" t="s">
        <v>1098</v>
      </c>
      <c r="L28" s="1">
        <v>4591.4799999999996</v>
      </c>
      <c r="M28" s="1" t="s">
        <v>121</v>
      </c>
      <c r="N28" s="1" t="s">
        <v>18</v>
      </c>
    </row>
    <row r="29" spans="1:16" ht="15.75" customHeight="1" x14ac:dyDescent="0.35">
      <c r="A29" s="1" t="s">
        <v>20</v>
      </c>
      <c r="D29" s="1" t="s">
        <v>122</v>
      </c>
      <c r="E29" s="1" t="s">
        <v>77</v>
      </c>
      <c r="F29" s="1" t="s">
        <v>93</v>
      </c>
      <c r="I29">
        <f>IF(Table1[[#This Row],[Claim_Amount]]&lt;0,0,Table1[[#This Row],[Claim_Amount]])</f>
        <v>0</v>
      </c>
      <c r="J29" t="str">
        <f>IF(Table1[[#This Row],[Column1]]=0,"",Table1[[#This Row],[Column1]])</f>
        <v/>
      </c>
      <c r="K29" t="s">
        <v>1098</v>
      </c>
      <c r="M29" s="1" t="s">
        <v>42</v>
      </c>
      <c r="N29" s="1" t="s">
        <v>57</v>
      </c>
      <c r="P29" s="1" t="s">
        <v>65</v>
      </c>
    </row>
    <row r="30" spans="1:16" ht="15.75" customHeight="1" x14ac:dyDescent="0.35">
      <c r="A30" s="1" t="s">
        <v>38</v>
      </c>
      <c r="B30" s="1" t="s">
        <v>123</v>
      </c>
      <c r="D30" s="1" t="s">
        <v>124</v>
      </c>
      <c r="E30" s="1" t="s">
        <v>30</v>
      </c>
      <c r="F30" s="1" t="s">
        <v>23</v>
      </c>
      <c r="G30" s="1" t="s">
        <v>24</v>
      </c>
      <c r="I30">
        <f>IF(Table1[[#This Row],[Claim_Amount]]&lt;0,0,Table1[[#This Row],[Claim_Amount]])</f>
        <v>0</v>
      </c>
      <c r="J30" t="str">
        <f>IF(Table1[[#This Row],[Column1]]=0,"",Table1[[#This Row],[Column1]])</f>
        <v/>
      </c>
      <c r="K30" t="s">
        <v>1098</v>
      </c>
      <c r="L30" s="1">
        <v>3546.77</v>
      </c>
      <c r="M30" s="1" t="s">
        <v>121</v>
      </c>
      <c r="N30" s="1" t="s">
        <v>49</v>
      </c>
      <c r="P30" s="1" t="s">
        <v>37</v>
      </c>
    </row>
    <row r="31" spans="1:16" ht="15.75" customHeight="1" x14ac:dyDescent="0.35">
      <c r="A31" s="1" t="s">
        <v>70</v>
      </c>
      <c r="B31" s="1" t="s">
        <v>125</v>
      </c>
      <c r="D31" s="1" t="s">
        <v>126</v>
      </c>
      <c r="E31" s="1" t="s">
        <v>77</v>
      </c>
      <c r="F31" s="1" t="s">
        <v>53</v>
      </c>
      <c r="G31" s="1" t="s">
        <v>61</v>
      </c>
      <c r="H31" s="1">
        <v>-86</v>
      </c>
      <c r="I31" s="1">
        <f>IF(Table1[[#This Row],[Claim_Amount]]&lt;0,0,Table1[[#This Row],[Claim_Amount]])</f>
        <v>0</v>
      </c>
      <c r="J31" s="1" t="str">
        <f>IF(Table1[[#This Row],[Column1]]=0,"",Table1[[#This Row],[Column1]])</f>
        <v/>
      </c>
      <c r="K31" s="1" t="s">
        <v>1098</v>
      </c>
      <c r="M31" s="1" t="s">
        <v>36</v>
      </c>
      <c r="N31" s="1" t="s">
        <v>57</v>
      </c>
      <c r="P31" s="1" t="s">
        <v>65</v>
      </c>
    </row>
    <row r="32" spans="1:16" ht="15.75" customHeight="1" x14ac:dyDescent="0.35">
      <c r="A32" s="1" t="s">
        <v>117</v>
      </c>
      <c r="D32" s="1" t="s">
        <v>127</v>
      </c>
      <c r="E32" s="1" t="s">
        <v>35</v>
      </c>
      <c r="F32" s="1" t="s">
        <v>53</v>
      </c>
      <c r="I32">
        <f>IF(Table1[[#This Row],[Claim_Amount]]&lt;0,0,Table1[[#This Row],[Claim_Amount]])</f>
        <v>0</v>
      </c>
      <c r="J32" t="str">
        <f>IF(Table1[[#This Row],[Column1]]=0,"",Table1[[#This Row],[Column1]])</f>
        <v/>
      </c>
      <c r="K32" t="s">
        <v>1098</v>
      </c>
      <c r="M32" s="1" t="s">
        <v>25</v>
      </c>
      <c r="N32" s="1" t="s">
        <v>49</v>
      </c>
      <c r="P32" s="1" t="s">
        <v>19</v>
      </c>
    </row>
    <row r="33" spans="1:16" ht="15.75" customHeight="1" x14ac:dyDescent="0.35">
      <c r="A33" s="1" t="s">
        <v>96</v>
      </c>
      <c r="D33" s="1" t="s">
        <v>128</v>
      </c>
      <c r="E33" s="1" t="s">
        <v>92</v>
      </c>
      <c r="F33" s="1" t="s">
        <v>93</v>
      </c>
      <c r="G33" s="1" t="s">
        <v>48</v>
      </c>
      <c r="I33">
        <f>IF(Table1[[#This Row],[Claim_Amount]]&lt;0,0,Table1[[#This Row],[Claim_Amount]])</f>
        <v>0</v>
      </c>
      <c r="J33" t="str">
        <f>IF(Table1[[#This Row],[Column1]]=0,"",Table1[[#This Row],[Column1]])</f>
        <v/>
      </c>
      <c r="K33" t="s">
        <v>1098</v>
      </c>
      <c r="M33" s="1" t="s">
        <v>42</v>
      </c>
      <c r="N33" s="1" t="s">
        <v>26</v>
      </c>
      <c r="O33" s="1">
        <v>30</v>
      </c>
    </row>
    <row r="34" spans="1:16" ht="15.75" customHeight="1" x14ac:dyDescent="0.35">
      <c r="A34" s="1" t="s">
        <v>82</v>
      </c>
      <c r="B34" s="1" t="s">
        <v>129</v>
      </c>
      <c r="C34" s="1" t="s">
        <v>130</v>
      </c>
      <c r="D34" s="1" t="s">
        <v>131</v>
      </c>
      <c r="E34" s="1" t="s">
        <v>85</v>
      </c>
      <c r="F34" s="1" t="s">
        <v>23</v>
      </c>
      <c r="G34" s="1" t="s">
        <v>54</v>
      </c>
      <c r="H34" s="1">
        <v>-42</v>
      </c>
      <c r="I34" s="1">
        <f>IF(Table1[[#This Row],[Claim_Amount]]&lt;0,0,Table1[[#This Row],[Claim_Amount]])</f>
        <v>0</v>
      </c>
      <c r="J34" s="1" t="str">
        <f>IF(Table1[[#This Row],[Column1]]=0,"",Table1[[#This Row],[Column1]])</f>
        <v/>
      </c>
      <c r="K34" s="1" t="s">
        <v>1098</v>
      </c>
      <c r="M34" s="1" t="s">
        <v>17</v>
      </c>
      <c r="N34" s="1" t="s">
        <v>49</v>
      </c>
      <c r="P34" s="1" t="s">
        <v>27</v>
      </c>
    </row>
    <row r="35" spans="1:16" ht="15.75" customHeight="1" x14ac:dyDescent="0.35">
      <c r="A35" s="1" t="s">
        <v>132</v>
      </c>
      <c r="C35" s="1" t="s">
        <v>133</v>
      </c>
      <c r="D35" s="1" t="s">
        <v>134</v>
      </c>
      <c r="E35" s="1" t="s">
        <v>16</v>
      </c>
      <c r="F35" s="1" t="s">
        <v>31</v>
      </c>
      <c r="G35" s="1" t="s">
        <v>54</v>
      </c>
      <c r="H35" s="1">
        <v>-106</v>
      </c>
      <c r="I35" s="1">
        <f>IF(Table1[[#This Row],[Claim_Amount]]&lt;0,0,Table1[[#This Row],[Claim_Amount]])</f>
        <v>0</v>
      </c>
      <c r="J35" s="1" t="str">
        <f>IF(Table1[[#This Row],[Column1]]=0,"",Table1[[#This Row],[Column1]])</f>
        <v/>
      </c>
      <c r="K35" s="1" t="s">
        <v>1098</v>
      </c>
      <c r="L35" s="1">
        <v>4710.28</v>
      </c>
      <c r="M35" s="1" t="s">
        <v>25</v>
      </c>
      <c r="N35" s="1" t="s">
        <v>57</v>
      </c>
      <c r="P35" s="1" t="s">
        <v>65</v>
      </c>
    </row>
    <row r="36" spans="1:16" ht="15.75" customHeight="1" x14ac:dyDescent="0.35">
      <c r="A36" s="1" t="s">
        <v>108</v>
      </c>
      <c r="C36" s="1" t="s">
        <v>135</v>
      </c>
      <c r="D36" s="1" t="s">
        <v>136</v>
      </c>
      <c r="E36" s="1" t="s">
        <v>77</v>
      </c>
      <c r="G36" s="1" t="s">
        <v>41</v>
      </c>
      <c r="I36">
        <f>IF(Table1[[#This Row],[Claim_Amount]]&lt;0,0,Table1[[#This Row],[Claim_Amount]])</f>
        <v>0</v>
      </c>
      <c r="J36" t="str">
        <f>IF(Table1[[#This Row],[Column1]]=0,"",Table1[[#This Row],[Column1]])</f>
        <v/>
      </c>
      <c r="K36" t="s">
        <v>1098</v>
      </c>
      <c r="M36" s="1" t="s">
        <v>121</v>
      </c>
      <c r="N36" s="1" t="s">
        <v>26</v>
      </c>
      <c r="P36" s="1" t="s">
        <v>37</v>
      </c>
    </row>
    <row r="37" spans="1:16" ht="15.75" customHeight="1" x14ac:dyDescent="0.35">
      <c r="A37" s="1" t="s">
        <v>137</v>
      </c>
      <c r="D37" s="1" t="s">
        <v>138</v>
      </c>
      <c r="E37" s="1" t="s">
        <v>77</v>
      </c>
      <c r="G37" s="1" t="s">
        <v>54</v>
      </c>
      <c r="H37" s="1">
        <v>1378.56</v>
      </c>
      <c r="I37" s="1">
        <f>IF(Table1[[#This Row],[Claim_Amount]]&lt;0,0,Table1[[#This Row],[Claim_Amount]])</f>
        <v>1378.56</v>
      </c>
      <c r="J37" s="1">
        <f>IF(Table1[[#This Row],[Column1]]=0,"",Table1[[#This Row],[Column1]])</f>
        <v>1378.56</v>
      </c>
      <c r="K37" s="1">
        <v>1378.56</v>
      </c>
      <c r="M37" s="1" t="s">
        <v>17</v>
      </c>
      <c r="N37" s="1" t="s">
        <v>49</v>
      </c>
      <c r="P37" s="1" t="s">
        <v>37</v>
      </c>
    </row>
    <row r="38" spans="1:16" ht="15.75" customHeight="1" x14ac:dyDescent="0.35">
      <c r="A38" s="1" t="s">
        <v>114</v>
      </c>
      <c r="C38" s="1" t="s">
        <v>139</v>
      </c>
      <c r="D38" s="1" t="s">
        <v>140</v>
      </c>
      <c r="E38" s="1" t="s">
        <v>92</v>
      </c>
      <c r="F38" s="1" t="s">
        <v>31</v>
      </c>
      <c r="G38" s="1" t="s">
        <v>54</v>
      </c>
      <c r="H38" s="1">
        <v>3520.86</v>
      </c>
      <c r="I38" s="1">
        <f>IF(Table1[[#This Row],[Claim_Amount]]&lt;0,0,Table1[[#This Row],[Claim_Amount]])</f>
        <v>3520.86</v>
      </c>
      <c r="J38" s="1">
        <f>IF(Table1[[#This Row],[Column1]]=0,"",Table1[[#This Row],[Column1]])</f>
        <v>3520.86</v>
      </c>
      <c r="K38" s="1">
        <v>3520.86</v>
      </c>
      <c r="L38" s="1">
        <v>2607.3000000000002</v>
      </c>
      <c r="M38" s="1" t="s">
        <v>25</v>
      </c>
      <c r="N38" s="1" t="s">
        <v>18</v>
      </c>
      <c r="P38" s="1" t="s">
        <v>37</v>
      </c>
    </row>
    <row r="39" spans="1:16" ht="15.75" customHeight="1" x14ac:dyDescent="0.35">
      <c r="A39" s="1" t="s">
        <v>20</v>
      </c>
      <c r="B39" s="1" t="s">
        <v>141</v>
      </c>
      <c r="D39" s="1" t="s">
        <v>142</v>
      </c>
      <c r="E39" s="1" t="s">
        <v>22</v>
      </c>
      <c r="F39" s="1" t="s">
        <v>23</v>
      </c>
      <c r="G39" s="1" t="s">
        <v>61</v>
      </c>
      <c r="I39">
        <f>IF(Table1[[#This Row],[Claim_Amount]]&lt;0,0,Table1[[#This Row],[Claim_Amount]])</f>
        <v>0</v>
      </c>
      <c r="J39" t="str">
        <f>IF(Table1[[#This Row],[Column1]]=0,"",Table1[[#This Row],[Column1]])</f>
        <v/>
      </c>
      <c r="K39" t="s">
        <v>1098</v>
      </c>
      <c r="M39" s="1" t="s">
        <v>42</v>
      </c>
      <c r="N39" s="1" t="s">
        <v>49</v>
      </c>
      <c r="P39" s="1" t="s">
        <v>27</v>
      </c>
    </row>
    <row r="40" spans="1:16" ht="15.75" customHeight="1" x14ac:dyDescent="0.35">
      <c r="A40" s="1" t="s">
        <v>62</v>
      </c>
      <c r="D40" s="1" t="s">
        <v>143</v>
      </c>
      <c r="E40" s="1" t="s">
        <v>92</v>
      </c>
      <c r="F40" s="1" t="s">
        <v>93</v>
      </c>
      <c r="G40" s="1" t="s">
        <v>61</v>
      </c>
      <c r="H40" s="1">
        <v>3620.36</v>
      </c>
      <c r="I40" s="1">
        <f>IF(Table1[[#This Row],[Claim_Amount]]&lt;0,0,Table1[[#This Row],[Claim_Amount]])</f>
        <v>3620.36</v>
      </c>
      <c r="J40" s="1">
        <f>IF(Table1[[#This Row],[Column1]]=0,"",Table1[[#This Row],[Column1]])</f>
        <v>3620.36</v>
      </c>
      <c r="K40" s="1">
        <v>3620.36</v>
      </c>
      <c r="M40" s="1" t="s">
        <v>17</v>
      </c>
      <c r="N40" s="1" t="s">
        <v>18</v>
      </c>
      <c r="P40" s="1" t="s">
        <v>37</v>
      </c>
    </row>
    <row r="41" spans="1:16" ht="15.75" customHeight="1" x14ac:dyDescent="0.35">
      <c r="A41" s="1" t="s">
        <v>38</v>
      </c>
      <c r="D41" s="1" t="s">
        <v>144</v>
      </c>
      <c r="E41" s="1" t="s">
        <v>92</v>
      </c>
      <c r="F41" s="1" t="s">
        <v>93</v>
      </c>
      <c r="G41" s="1" t="s">
        <v>41</v>
      </c>
      <c r="I41">
        <f>IF(Table1[[#This Row],[Claim_Amount]]&lt;0,0,Table1[[#This Row],[Claim_Amount]])</f>
        <v>0</v>
      </c>
      <c r="J41" t="str">
        <f>IF(Table1[[#This Row],[Column1]]=0,"",Table1[[#This Row],[Column1]])</f>
        <v/>
      </c>
      <c r="K41" t="s">
        <v>1098</v>
      </c>
      <c r="L41" s="1">
        <v>1407.84</v>
      </c>
      <c r="M41" s="1" t="s">
        <v>36</v>
      </c>
      <c r="N41" s="1" t="s">
        <v>32</v>
      </c>
      <c r="O41" s="1">
        <v>44</v>
      </c>
      <c r="P41" s="1" t="s">
        <v>37</v>
      </c>
    </row>
    <row r="42" spans="1:16" ht="15.75" customHeight="1" x14ac:dyDescent="0.35">
      <c r="A42" s="1" t="s">
        <v>108</v>
      </c>
      <c r="D42" s="1" t="s">
        <v>145</v>
      </c>
      <c r="E42" s="1" t="s">
        <v>16</v>
      </c>
      <c r="F42" s="1" t="s">
        <v>31</v>
      </c>
      <c r="G42" s="1" t="s">
        <v>48</v>
      </c>
      <c r="H42" s="1">
        <v>-26</v>
      </c>
      <c r="I42" s="1">
        <f>IF(Table1[[#This Row],[Claim_Amount]]&lt;0,0,Table1[[#This Row],[Claim_Amount]])</f>
        <v>0</v>
      </c>
      <c r="J42" s="1" t="str">
        <f>IF(Table1[[#This Row],[Column1]]=0,"",Table1[[#This Row],[Column1]])</f>
        <v/>
      </c>
      <c r="K42" s="1" t="s">
        <v>1098</v>
      </c>
      <c r="M42" s="1" t="s">
        <v>25</v>
      </c>
      <c r="N42" s="1" t="s">
        <v>18</v>
      </c>
      <c r="P42" s="1" t="s">
        <v>27</v>
      </c>
    </row>
    <row r="43" spans="1:16" ht="15.75" customHeight="1" x14ac:dyDescent="0.35">
      <c r="A43" s="1" t="s">
        <v>96</v>
      </c>
      <c r="B43" s="1" t="s">
        <v>146</v>
      </c>
      <c r="D43" s="1" t="s">
        <v>147</v>
      </c>
      <c r="E43" s="1" t="s">
        <v>22</v>
      </c>
      <c r="F43" s="1" t="s">
        <v>47</v>
      </c>
      <c r="G43" s="1" t="s">
        <v>48</v>
      </c>
      <c r="I43">
        <f>IF(Table1[[#This Row],[Claim_Amount]]&lt;0,0,Table1[[#This Row],[Claim_Amount]])</f>
        <v>0</v>
      </c>
      <c r="J43" t="str">
        <f>IF(Table1[[#This Row],[Column1]]=0,"",Table1[[#This Row],[Column1]])</f>
        <v/>
      </c>
      <c r="K43" t="s">
        <v>1098</v>
      </c>
      <c r="M43" s="1" t="s">
        <v>42</v>
      </c>
      <c r="N43" s="1" t="s">
        <v>57</v>
      </c>
      <c r="O43" s="1">
        <v>39</v>
      </c>
    </row>
    <row r="44" spans="1:16" ht="15.75" customHeight="1" x14ac:dyDescent="0.35">
      <c r="A44" s="1" t="s">
        <v>148</v>
      </c>
      <c r="B44" s="1" t="s">
        <v>149</v>
      </c>
      <c r="C44" s="1" t="s">
        <v>150</v>
      </c>
      <c r="D44" s="1" t="s">
        <v>151</v>
      </c>
      <c r="E44" s="1" t="s">
        <v>85</v>
      </c>
      <c r="F44" s="1" t="s">
        <v>93</v>
      </c>
      <c r="G44" s="1" t="s">
        <v>54</v>
      </c>
      <c r="H44" s="1">
        <v>-10</v>
      </c>
      <c r="I44" s="1">
        <f>IF(Table1[[#This Row],[Claim_Amount]]&lt;0,0,Table1[[#This Row],[Claim_Amount]])</f>
        <v>0</v>
      </c>
      <c r="J44" s="1" t="str">
        <f>IF(Table1[[#This Row],[Column1]]=0,"",Table1[[#This Row],[Column1]])</f>
        <v/>
      </c>
      <c r="K44" s="1" t="s">
        <v>1098</v>
      </c>
      <c r="M44" s="1" t="s">
        <v>121</v>
      </c>
      <c r="N44" s="1" t="s">
        <v>32</v>
      </c>
      <c r="O44" s="1">
        <v>2</v>
      </c>
      <c r="P44" s="1" t="s">
        <v>27</v>
      </c>
    </row>
    <row r="45" spans="1:16" ht="15.75" customHeight="1" x14ac:dyDescent="0.35">
      <c r="A45" s="1" t="s">
        <v>137</v>
      </c>
      <c r="C45" s="1" t="s">
        <v>152</v>
      </c>
      <c r="D45" s="1" t="s">
        <v>153</v>
      </c>
      <c r="E45" s="1" t="s">
        <v>30</v>
      </c>
      <c r="G45" s="1" t="s">
        <v>24</v>
      </c>
      <c r="I45">
        <f>IF(Table1[[#This Row],[Claim_Amount]]&lt;0,0,Table1[[#This Row],[Claim_Amount]])</f>
        <v>0</v>
      </c>
      <c r="J45" t="str">
        <f>IF(Table1[[#This Row],[Column1]]=0,"",Table1[[#This Row],[Column1]])</f>
        <v/>
      </c>
      <c r="K45" t="s">
        <v>1098</v>
      </c>
      <c r="M45" s="1" t="s">
        <v>17</v>
      </c>
      <c r="N45" s="1" t="s">
        <v>26</v>
      </c>
      <c r="O45" s="1">
        <v>3</v>
      </c>
      <c r="P45" s="1" t="s">
        <v>27</v>
      </c>
    </row>
    <row r="46" spans="1:16" ht="15.75" customHeight="1" x14ac:dyDescent="0.35">
      <c r="A46" s="1" t="s">
        <v>154</v>
      </c>
      <c r="D46" s="1" t="s">
        <v>155</v>
      </c>
      <c r="E46" s="1" t="s">
        <v>35</v>
      </c>
      <c r="F46" s="1" t="s">
        <v>53</v>
      </c>
      <c r="G46" s="1" t="s">
        <v>41</v>
      </c>
      <c r="H46" s="1">
        <v>-136</v>
      </c>
      <c r="I46" s="1">
        <f>IF(Table1[[#This Row],[Claim_Amount]]&lt;0,0,Table1[[#This Row],[Claim_Amount]])</f>
        <v>0</v>
      </c>
      <c r="J46" s="1" t="str">
        <f>IF(Table1[[#This Row],[Column1]]=0,"",Table1[[#This Row],[Column1]])</f>
        <v/>
      </c>
      <c r="K46" s="1" t="s">
        <v>1098</v>
      </c>
      <c r="L46" s="1">
        <v>448.19</v>
      </c>
      <c r="M46" s="1" t="s">
        <v>121</v>
      </c>
      <c r="N46" s="1" t="s">
        <v>32</v>
      </c>
      <c r="P46" s="1" t="s">
        <v>19</v>
      </c>
    </row>
    <row r="47" spans="1:16" ht="15.75" customHeight="1" x14ac:dyDescent="0.35">
      <c r="A47" s="1" t="s">
        <v>96</v>
      </c>
      <c r="C47" s="1" t="s">
        <v>156</v>
      </c>
      <c r="D47" s="1" t="s">
        <v>157</v>
      </c>
      <c r="E47" s="1" t="s">
        <v>22</v>
      </c>
      <c r="F47" s="1" t="s">
        <v>93</v>
      </c>
      <c r="G47" s="1" t="s">
        <v>48</v>
      </c>
      <c r="I47">
        <f>IF(Table1[[#This Row],[Claim_Amount]]&lt;0,0,Table1[[#This Row],[Claim_Amount]])</f>
        <v>0</v>
      </c>
      <c r="J47" t="str">
        <f>IF(Table1[[#This Row],[Column1]]=0,"",Table1[[#This Row],[Column1]])</f>
        <v/>
      </c>
      <c r="K47" t="s">
        <v>1098</v>
      </c>
      <c r="M47" s="1" t="s">
        <v>121</v>
      </c>
      <c r="N47" s="1" t="s">
        <v>49</v>
      </c>
      <c r="P47" s="1" t="s">
        <v>27</v>
      </c>
    </row>
    <row r="48" spans="1:16" ht="15.75" customHeight="1" x14ac:dyDescent="0.35">
      <c r="A48" s="1" t="s">
        <v>70</v>
      </c>
      <c r="C48" s="1" t="s">
        <v>158</v>
      </c>
      <c r="D48" s="1" t="s">
        <v>159</v>
      </c>
      <c r="E48" s="1" t="s">
        <v>77</v>
      </c>
      <c r="F48" s="1" t="s">
        <v>31</v>
      </c>
      <c r="H48" s="1">
        <v>4728.71</v>
      </c>
      <c r="I48" s="1">
        <f>IF(Table1[[#This Row],[Claim_Amount]]&lt;0,0,Table1[[#This Row],[Claim_Amount]])</f>
        <v>4728.71</v>
      </c>
      <c r="J48" s="1">
        <f>IF(Table1[[#This Row],[Column1]]=0,"",Table1[[#This Row],[Column1]])</f>
        <v>4728.71</v>
      </c>
      <c r="K48" s="1">
        <v>4728.71</v>
      </c>
      <c r="M48" s="1" t="s">
        <v>42</v>
      </c>
      <c r="N48" s="1" t="s">
        <v>32</v>
      </c>
    </row>
    <row r="49" spans="1:16" ht="15.75" customHeight="1" x14ac:dyDescent="0.35">
      <c r="A49" s="1" t="s">
        <v>89</v>
      </c>
      <c r="D49" s="1" t="s">
        <v>160</v>
      </c>
      <c r="E49" s="1" t="s">
        <v>30</v>
      </c>
      <c r="F49" s="1" t="s">
        <v>53</v>
      </c>
      <c r="I49">
        <f>IF(Table1[[#This Row],[Claim_Amount]]&lt;0,0,Table1[[#This Row],[Claim_Amount]])</f>
        <v>0</v>
      </c>
      <c r="J49" t="str">
        <f>IF(Table1[[#This Row],[Column1]]=0,"",Table1[[#This Row],[Column1]])</f>
        <v/>
      </c>
      <c r="K49" t="s">
        <v>1098</v>
      </c>
      <c r="L49" s="1">
        <v>1371.93</v>
      </c>
      <c r="M49" s="1" t="s">
        <v>42</v>
      </c>
      <c r="N49" s="1" t="s">
        <v>49</v>
      </c>
      <c r="P49" s="1" t="s">
        <v>37</v>
      </c>
    </row>
    <row r="50" spans="1:16" ht="15.75" customHeight="1" x14ac:dyDescent="0.35">
      <c r="A50" s="1" t="s">
        <v>55</v>
      </c>
      <c r="C50" s="1" t="s">
        <v>161</v>
      </c>
      <c r="D50" s="1" t="s">
        <v>162</v>
      </c>
      <c r="E50" s="1" t="s">
        <v>16</v>
      </c>
      <c r="F50" s="1" t="s">
        <v>47</v>
      </c>
      <c r="G50" s="1" t="s">
        <v>48</v>
      </c>
      <c r="H50" s="1">
        <v>-39</v>
      </c>
      <c r="I50" s="1">
        <f>IF(Table1[[#This Row],[Claim_Amount]]&lt;0,0,Table1[[#This Row],[Claim_Amount]])</f>
        <v>0</v>
      </c>
      <c r="J50" s="1" t="str">
        <f>IF(Table1[[#This Row],[Column1]]=0,"",Table1[[#This Row],[Column1]])</f>
        <v/>
      </c>
      <c r="K50" s="1" t="s">
        <v>1098</v>
      </c>
      <c r="M50" s="1" t="s">
        <v>17</v>
      </c>
      <c r="N50" s="1" t="s">
        <v>49</v>
      </c>
      <c r="P50" s="1" t="s">
        <v>27</v>
      </c>
    </row>
    <row r="51" spans="1:16" ht="15.75" customHeight="1" x14ac:dyDescent="0.35">
      <c r="A51" s="1" t="s">
        <v>163</v>
      </c>
      <c r="D51" s="1" t="s">
        <v>164</v>
      </c>
      <c r="E51" s="1" t="s">
        <v>85</v>
      </c>
      <c r="F51" s="1" t="s">
        <v>53</v>
      </c>
      <c r="G51" s="1" t="s">
        <v>24</v>
      </c>
      <c r="I51">
        <f>IF(Table1[[#This Row],[Claim_Amount]]&lt;0,0,Table1[[#This Row],[Claim_Amount]])</f>
        <v>0</v>
      </c>
      <c r="J51" t="str">
        <f>IF(Table1[[#This Row],[Column1]]=0,"",Table1[[#This Row],[Column1]])</f>
        <v/>
      </c>
      <c r="K51" t="s">
        <v>1098</v>
      </c>
      <c r="M51" s="1" t="s">
        <v>121</v>
      </c>
      <c r="N51" s="1" t="s">
        <v>32</v>
      </c>
      <c r="P51" s="1" t="s">
        <v>27</v>
      </c>
    </row>
    <row r="52" spans="1:16" ht="15.75" customHeight="1" x14ac:dyDescent="0.35">
      <c r="A52" s="1" t="s">
        <v>89</v>
      </c>
      <c r="D52" s="1" t="s">
        <v>165</v>
      </c>
      <c r="E52" s="1" t="s">
        <v>92</v>
      </c>
      <c r="F52" s="1" t="s">
        <v>31</v>
      </c>
      <c r="G52" s="1" t="s">
        <v>54</v>
      </c>
      <c r="H52" s="1">
        <v>-106</v>
      </c>
      <c r="I52" s="1">
        <f>IF(Table1[[#This Row],[Claim_Amount]]&lt;0,0,Table1[[#This Row],[Claim_Amount]])</f>
        <v>0</v>
      </c>
      <c r="J52" s="1" t="str">
        <f>IF(Table1[[#This Row],[Column1]]=0,"",Table1[[#This Row],[Column1]])</f>
        <v/>
      </c>
      <c r="K52" s="1" t="s">
        <v>1098</v>
      </c>
      <c r="L52" s="1">
        <v>4667.62</v>
      </c>
      <c r="M52" s="1" t="s">
        <v>17</v>
      </c>
      <c r="N52" s="1" t="s">
        <v>57</v>
      </c>
      <c r="O52" s="1">
        <v>24</v>
      </c>
      <c r="P52" s="1" t="s">
        <v>37</v>
      </c>
    </row>
    <row r="53" spans="1:16" ht="15.75" customHeight="1" x14ac:dyDescent="0.35">
      <c r="A53" s="1" t="s">
        <v>166</v>
      </c>
      <c r="D53" s="1" t="s">
        <v>167</v>
      </c>
      <c r="E53" s="1" t="s">
        <v>77</v>
      </c>
      <c r="F53" s="1" t="s">
        <v>23</v>
      </c>
      <c r="G53" s="1" t="s">
        <v>24</v>
      </c>
      <c r="I53">
        <f>IF(Table1[[#This Row],[Claim_Amount]]&lt;0,0,Table1[[#This Row],[Claim_Amount]])</f>
        <v>0</v>
      </c>
      <c r="J53" t="str">
        <f>IF(Table1[[#This Row],[Column1]]=0,"",Table1[[#This Row],[Column1]])</f>
        <v/>
      </c>
      <c r="K53" t="s">
        <v>1098</v>
      </c>
      <c r="M53" s="1" t="s">
        <v>25</v>
      </c>
      <c r="N53" s="1" t="s">
        <v>57</v>
      </c>
      <c r="P53" s="1" t="s">
        <v>19</v>
      </c>
    </row>
    <row r="54" spans="1:16" ht="15.75" customHeight="1" x14ac:dyDescent="0.35">
      <c r="A54" s="1" t="s">
        <v>168</v>
      </c>
      <c r="C54" s="1" t="s">
        <v>130</v>
      </c>
      <c r="D54" s="1" t="s">
        <v>169</v>
      </c>
      <c r="E54" s="1" t="s">
        <v>30</v>
      </c>
      <c r="G54" s="1" t="s">
        <v>48</v>
      </c>
      <c r="H54" s="1">
        <v>-94</v>
      </c>
      <c r="I54" s="1">
        <f>IF(Table1[[#This Row],[Claim_Amount]]&lt;0,0,Table1[[#This Row],[Claim_Amount]])</f>
        <v>0</v>
      </c>
      <c r="J54" s="1" t="str">
        <f>IF(Table1[[#This Row],[Column1]]=0,"",Table1[[#This Row],[Column1]])</f>
        <v/>
      </c>
      <c r="K54" s="1" t="s">
        <v>1098</v>
      </c>
      <c r="M54" s="1" t="s">
        <v>121</v>
      </c>
      <c r="N54" s="1" t="s">
        <v>57</v>
      </c>
      <c r="P54" s="1" t="s">
        <v>19</v>
      </c>
    </row>
    <row r="55" spans="1:16" ht="15.75" customHeight="1" x14ac:dyDescent="0.35">
      <c r="A55" s="1" t="s">
        <v>170</v>
      </c>
      <c r="C55" s="1" t="s">
        <v>112</v>
      </c>
      <c r="D55" s="1" t="s">
        <v>171</v>
      </c>
      <c r="E55" s="1" t="s">
        <v>35</v>
      </c>
      <c r="F55" s="1" t="s">
        <v>23</v>
      </c>
      <c r="G55" s="1" t="s">
        <v>48</v>
      </c>
      <c r="H55" s="1">
        <v>873.51</v>
      </c>
      <c r="I55" s="1">
        <f>IF(Table1[[#This Row],[Claim_Amount]]&lt;0,0,Table1[[#This Row],[Claim_Amount]])</f>
        <v>873.51</v>
      </c>
      <c r="J55" s="1">
        <f>IF(Table1[[#This Row],[Column1]]=0,"",Table1[[#This Row],[Column1]])</f>
        <v>873.51</v>
      </c>
      <c r="K55" s="1">
        <v>873.51</v>
      </c>
      <c r="L55" s="1">
        <v>277.66000000000003</v>
      </c>
      <c r="M55" s="1" t="s">
        <v>42</v>
      </c>
      <c r="N55" s="1" t="s">
        <v>32</v>
      </c>
      <c r="P55" s="1" t="s">
        <v>65</v>
      </c>
    </row>
    <row r="56" spans="1:16" ht="15.75" customHeight="1" x14ac:dyDescent="0.35">
      <c r="A56" s="1" t="s">
        <v>170</v>
      </c>
      <c r="C56" s="1" t="s">
        <v>90</v>
      </c>
      <c r="D56" s="1" t="s">
        <v>172</v>
      </c>
      <c r="E56" s="1" t="s">
        <v>22</v>
      </c>
      <c r="F56" s="1" t="s">
        <v>53</v>
      </c>
      <c r="G56" s="1" t="s">
        <v>54</v>
      </c>
      <c r="I56">
        <f>IF(Table1[[#This Row],[Claim_Amount]]&lt;0,0,Table1[[#This Row],[Claim_Amount]])</f>
        <v>0</v>
      </c>
      <c r="J56" t="str">
        <f>IF(Table1[[#This Row],[Column1]]=0,"",Table1[[#This Row],[Column1]])</f>
        <v/>
      </c>
      <c r="K56" t="s">
        <v>1098</v>
      </c>
      <c r="M56" s="1" t="s">
        <v>42</v>
      </c>
      <c r="N56" s="1" t="s">
        <v>49</v>
      </c>
      <c r="P56" s="1" t="s">
        <v>19</v>
      </c>
    </row>
    <row r="57" spans="1:16" ht="15.75" customHeight="1" x14ac:dyDescent="0.35">
      <c r="A57" s="1" t="s">
        <v>173</v>
      </c>
      <c r="C57" s="1" t="s">
        <v>174</v>
      </c>
      <c r="D57" s="1" t="s">
        <v>175</v>
      </c>
      <c r="E57" s="1" t="s">
        <v>92</v>
      </c>
      <c r="G57" s="1" t="s">
        <v>48</v>
      </c>
      <c r="I57">
        <f>IF(Table1[[#This Row],[Claim_Amount]]&lt;0,0,Table1[[#This Row],[Claim_Amount]])</f>
        <v>0</v>
      </c>
      <c r="J57" t="str">
        <f>IF(Table1[[#This Row],[Column1]]=0,"",Table1[[#This Row],[Column1]])</f>
        <v/>
      </c>
      <c r="K57" t="s">
        <v>1098</v>
      </c>
      <c r="M57" s="1" t="s">
        <v>121</v>
      </c>
      <c r="N57" s="1" t="s">
        <v>26</v>
      </c>
    </row>
    <row r="58" spans="1:16" ht="15.75" customHeight="1" x14ac:dyDescent="0.35">
      <c r="A58" s="1" t="s">
        <v>28</v>
      </c>
      <c r="D58" s="1" t="s">
        <v>176</v>
      </c>
      <c r="E58" s="1" t="s">
        <v>16</v>
      </c>
      <c r="F58" s="1" t="s">
        <v>47</v>
      </c>
      <c r="H58" s="1">
        <v>-22</v>
      </c>
      <c r="I58" s="1">
        <f>IF(Table1[[#This Row],[Claim_Amount]]&lt;0,0,Table1[[#This Row],[Claim_Amount]])</f>
        <v>0</v>
      </c>
      <c r="J58" s="1" t="str">
        <f>IF(Table1[[#This Row],[Column1]]=0,"",Table1[[#This Row],[Column1]])</f>
        <v/>
      </c>
      <c r="K58" s="1" t="s">
        <v>1098</v>
      </c>
      <c r="M58" s="1" t="s">
        <v>17</v>
      </c>
      <c r="N58" s="1" t="s">
        <v>57</v>
      </c>
      <c r="P58" s="1" t="s">
        <v>65</v>
      </c>
    </row>
    <row r="59" spans="1:16" ht="15.75" customHeight="1" x14ac:dyDescent="0.35">
      <c r="A59" s="1" t="s">
        <v>13</v>
      </c>
      <c r="C59" s="1" t="s">
        <v>177</v>
      </c>
      <c r="D59" s="1" t="s">
        <v>178</v>
      </c>
      <c r="E59" s="1" t="s">
        <v>16</v>
      </c>
      <c r="F59" s="1" t="s">
        <v>31</v>
      </c>
      <c r="G59" s="1" t="s">
        <v>48</v>
      </c>
      <c r="I59">
        <f>IF(Table1[[#This Row],[Claim_Amount]]&lt;0,0,Table1[[#This Row],[Claim_Amount]])</f>
        <v>0</v>
      </c>
      <c r="J59" t="str">
        <f>IF(Table1[[#This Row],[Column1]]=0,"",Table1[[#This Row],[Column1]])</f>
        <v/>
      </c>
      <c r="K59" t="s">
        <v>1098</v>
      </c>
      <c r="M59" s="1" t="s">
        <v>42</v>
      </c>
      <c r="N59" s="1" t="s">
        <v>49</v>
      </c>
      <c r="O59" s="1">
        <v>11</v>
      </c>
      <c r="P59" s="1" t="s">
        <v>65</v>
      </c>
    </row>
    <row r="60" spans="1:16" ht="15.75" customHeight="1" x14ac:dyDescent="0.35">
      <c r="A60" s="1" t="s">
        <v>179</v>
      </c>
      <c r="D60" s="1" t="s">
        <v>180</v>
      </c>
      <c r="E60" s="1" t="s">
        <v>35</v>
      </c>
      <c r="F60" s="1" t="s">
        <v>31</v>
      </c>
      <c r="G60" s="1" t="s">
        <v>61</v>
      </c>
      <c r="I60">
        <f>IF(Table1[[#This Row],[Claim_Amount]]&lt;0,0,Table1[[#This Row],[Claim_Amount]])</f>
        <v>0</v>
      </c>
      <c r="J60" t="str">
        <f>IF(Table1[[#This Row],[Column1]]=0,"",Table1[[#This Row],[Column1]])</f>
        <v/>
      </c>
      <c r="K60" t="s">
        <v>1098</v>
      </c>
      <c r="L60" s="1">
        <v>3783.05</v>
      </c>
      <c r="M60" s="1" t="s">
        <v>121</v>
      </c>
      <c r="N60" s="1" t="s">
        <v>57</v>
      </c>
      <c r="O60" s="1">
        <v>23</v>
      </c>
      <c r="P60" s="1" t="s">
        <v>37</v>
      </c>
    </row>
    <row r="61" spans="1:16" ht="15.75" customHeight="1" x14ac:dyDescent="0.35">
      <c r="A61" s="1" t="s">
        <v>89</v>
      </c>
      <c r="D61" s="1" t="s">
        <v>181</v>
      </c>
      <c r="E61" s="1" t="s">
        <v>30</v>
      </c>
      <c r="F61" s="1" t="s">
        <v>53</v>
      </c>
      <c r="I61">
        <f>IF(Table1[[#This Row],[Claim_Amount]]&lt;0,0,Table1[[#This Row],[Claim_Amount]])</f>
        <v>0</v>
      </c>
      <c r="J61" t="str">
        <f>IF(Table1[[#This Row],[Column1]]=0,"",Table1[[#This Row],[Column1]])</f>
        <v/>
      </c>
      <c r="K61" t="s">
        <v>1098</v>
      </c>
      <c r="M61" s="1" t="s">
        <v>36</v>
      </c>
      <c r="N61" s="1" t="s">
        <v>32</v>
      </c>
      <c r="P61" s="1" t="s">
        <v>65</v>
      </c>
    </row>
    <row r="62" spans="1:16" ht="15.75" customHeight="1" x14ac:dyDescent="0.35">
      <c r="A62" s="1" t="s">
        <v>43</v>
      </c>
      <c r="D62" s="1" t="s">
        <v>182</v>
      </c>
      <c r="E62" s="1" t="s">
        <v>16</v>
      </c>
      <c r="F62" s="1" t="s">
        <v>23</v>
      </c>
      <c r="G62" s="1" t="s">
        <v>41</v>
      </c>
      <c r="H62" s="1">
        <v>4979.84</v>
      </c>
      <c r="I62" s="1">
        <f>IF(Table1[[#This Row],[Claim_Amount]]&lt;0,0,Table1[[#This Row],[Claim_Amount]])</f>
        <v>4979.84</v>
      </c>
      <c r="J62" s="1">
        <f>IF(Table1[[#This Row],[Column1]]=0,"",Table1[[#This Row],[Column1]])</f>
        <v>4979.84</v>
      </c>
      <c r="K62" s="1">
        <v>4979.84</v>
      </c>
      <c r="M62" s="1" t="s">
        <v>17</v>
      </c>
      <c r="N62" s="1" t="s">
        <v>49</v>
      </c>
    </row>
    <row r="63" spans="1:16" ht="15.75" customHeight="1" x14ac:dyDescent="0.35">
      <c r="A63" s="1" t="s">
        <v>70</v>
      </c>
      <c r="C63" s="1" t="s">
        <v>183</v>
      </c>
      <c r="D63" s="1" t="s">
        <v>184</v>
      </c>
      <c r="E63" s="1" t="s">
        <v>30</v>
      </c>
      <c r="F63" s="1" t="s">
        <v>53</v>
      </c>
      <c r="G63" s="1" t="s">
        <v>41</v>
      </c>
      <c r="I63">
        <f>IF(Table1[[#This Row],[Claim_Amount]]&lt;0,0,Table1[[#This Row],[Claim_Amount]])</f>
        <v>0</v>
      </c>
      <c r="J63" t="str">
        <f>IF(Table1[[#This Row],[Column1]]=0,"",Table1[[#This Row],[Column1]])</f>
        <v/>
      </c>
      <c r="K63" t="s">
        <v>1098</v>
      </c>
      <c r="L63" s="1">
        <v>2244.75</v>
      </c>
      <c r="M63" s="1" t="s">
        <v>42</v>
      </c>
      <c r="N63" s="1" t="s">
        <v>26</v>
      </c>
    </row>
    <row r="64" spans="1:16" ht="15.75" customHeight="1" x14ac:dyDescent="0.35">
      <c r="A64" s="1" t="s">
        <v>43</v>
      </c>
      <c r="B64" s="1" t="s">
        <v>185</v>
      </c>
      <c r="D64" s="1" t="s">
        <v>186</v>
      </c>
      <c r="E64" s="1" t="s">
        <v>35</v>
      </c>
      <c r="F64" s="1" t="s">
        <v>93</v>
      </c>
      <c r="H64" s="1">
        <v>3215.49</v>
      </c>
      <c r="I64" s="1">
        <f>IF(Table1[[#This Row],[Claim_Amount]]&lt;0,0,Table1[[#This Row],[Claim_Amount]])</f>
        <v>3215.49</v>
      </c>
      <c r="J64" s="1">
        <f>IF(Table1[[#This Row],[Column1]]=0,"",Table1[[#This Row],[Column1]])</f>
        <v>3215.49</v>
      </c>
      <c r="K64" s="1">
        <v>3215.49</v>
      </c>
      <c r="L64" s="1">
        <v>3944.63</v>
      </c>
      <c r="M64" s="1" t="s">
        <v>17</v>
      </c>
      <c r="N64" s="1" t="s">
        <v>57</v>
      </c>
      <c r="O64" s="1">
        <v>13</v>
      </c>
    </row>
    <row r="65" spans="1:16" ht="15.75" customHeight="1" x14ac:dyDescent="0.35">
      <c r="A65" s="1" t="s">
        <v>187</v>
      </c>
      <c r="B65" s="1" t="s">
        <v>188</v>
      </c>
      <c r="D65" s="1" t="s">
        <v>189</v>
      </c>
      <c r="E65" s="1" t="s">
        <v>22</v>
      </c>
      <c r="F65" s="1" t="s">
        <v>93</v>
      </c>
      <c r="G65" s="1" t="s">
        <v>24</v>
      </c>
      <c r="H65" s="1">
        <v>2724.07</v>
      </c>
      <c r="I65" s="1">
        <f>IF(Table1[[#This Row],[Claim_Amount]]&lt;0,0,Table1[[#This Row],[Claim_Amount]])</f>
        <v>2724.07</v>
      </c>
      <c r="J65" s="1">
        <f>IF(Table1[[#This Row],[Column1]]=0,"",Table1[[#This Row],[Column1]])</f>
        <v>2724.07</v>
      </c>
      <c r="K65" s="1">
        <v>2724.07</v>
      </c>
      <c r="L65" s="1">
        <v>3322.24</v>
      </c>
      <c r="M65" s="1" t="s">
        <v>17</v>
      </c>
      <c r="N65" s="1" t="s">
        <v>26</v>
      </c>
      <c r="O65" s="1">
        <v>22</v>
      </c>
    </row>
    <row r="66" spans="1:16" ht="15.75" customHeight="1" x14ac:dyDescent="0.35">
      <c r="A66" s="1" t="s">
        <v>58</v>
      </c>
      <c r="B66" s="1" t="s">
        <v>190</v>
      </c>
      <c r="C66" s="1" t="s">
        <v>45</v>
      </c>
      <c r="D66" s="1" t="s">
        <v>191</v>
      </c>
      <c r="E66" s="1" t="s">
        <v>35</v>
      </c>
      <c r="F66" s="1" t="s">
        <v>23</v>
      </c>
      <c r="G66" s="1" t="s">
        <v>48</v>
      </c>
      <c r="H66" s="1">
        <v>2268.96</v>
      </c>
      <c r="I66" s="1">
        <f>IF(Table1[[#This Row],[Claim_Amount]]&lt;0,0,Table1[[#This Row],[Claim_Amount]])</f>
        <v>2268.96</v>
      </c>
      <c r="J66" s="1">
        <f>IF(Table1[[#This Row],[Column1]]=0,"",Table1[[#This Row],[Column1]])</f>
        <v>2268.96</v>
      </c>
      <c r="K66" s="1">
        <v>2268.96</v>
      </c>
      <c r="L66" s="1">
        <v>2287.4299999999998</v>
      </c>
      <c r="M66" s="1" t="s">
        <v>36</v>
      </c>
      <c r="N66" s="1" t="s">
        <v>26</v>
      </c>
    </row>
    <row r="67" spans="1:16" ht="15.75" customHeight="1" x14ac:dyDescent="0.35">
      <c r="A67" s="1" t="s">
        <v>192</v>
      </c>
      <c r="C67" s="1" t="s">
        <v>193</v>
      </c>
      <c r="D67" s="1" t="s">
        <v>122</v>
      </c>
      <c r="E67" s="1" t="s">
        <v>16</v>
      </c>
      <c r="F67" s="1" t="s">
        <v>53</v>
      </c>
      <c r="H67" s="1">
        <v>4553.0200000000004</v>
      </c>
      <c r="I67" s="1">
        <f>IF(Table1[[#This Row],[Claim_Amount]]&lt;0,0,Table1[[#This Row],[Claim_Amount]])</f>
        <v>4553.0200000000004</v>
      </c>
      <c r="J67" s="1">
        <f>IF(Table1[[#This Row],[Column1]]=0,"",Table1[[#This Row],[Column1]])</f>
        <v>4553.0200000000004</v>
      </c>
      <c r="K67" s="1">
        <v>4553.0200000000004</v>
      </c>
      <c r="L67" s="1">
        <v>1644.45</v>
      </c>
      <c r="M67" s="1" t="s">
        <v>25</v>
      </c>
      <c r="N67" s="1" t="s">
        <v>18</v>
      </c>
    </row>
    <row r="68" spans="1:16" ht="15.75" customHeight="1" x14ac:dyDescent="0.35">
      <c r="A68" s="1" t="s">
        <v>20</v>
      </c>
      <c r="D68" s="1" t="s">
        <v>194</v>
      </c>
      <c r="E68" s="1" t="s">
        <v>16</v>
      </c>
      <c r="G68" s="1" t="s">
        <v>61</v>
      </c>
      <c r="I68">
        <f>IF(Table1[[#This Row],[Claim_Amount]]&lt;0,0,Table1[[#This Row],[Claim_Amount]])</f>
        <v>0</v>
      </c>
      <c r="J68" t="str">
        <f>IF(Table1[[#This Row],[Column1]]=0,"",Table1[[#This Row],[Column1]])</f>
        <v/>
      </c>
      <c r="K68" t="s">
        <v>1098</v>
      </c>
      <c r="L68" s="1">
        <v>2178.85</v>
      </c>
      <c r="M68" s="1" t="s">
        <v>121</v>
      </c>
      <c r="N68" s="1" t="s">
        <v>32</v>
      </c>
      <c r="P68" s="1" t="s">
        <v>37</v>
      </c>
    </row>
    <row r="69" spans="1:16" ht="15.75" customHeight="1" x14ac:dyDescent="0.35">
      <c r="A69" s="1" t="s">
        <v>70</v>
      </c>
      <c r="B69" s="1" t="s">
        <v>195</v>
      </c>
      <c r="D69" s="1" t="s">
        <v>196</v>
      </c>
      <c r="E69" s="1" t="s">
        <v>85</v>
      </c>
      <c r="G69" s="1" t="s">
        <v>48</v>
      </c>
      <c r="H69" s="1">
        <v>382.31</v>
      </c>
      <c r="I69" s="1">
        <f>IF(Table1[[#This Row],[Claim_Amount]]&lt;0,0,Table1[[#This Row],[Claim_Amount]])</f>
        <v>382.31</v>
      </c>
      <c r="J69" s="1">
        <f>IF(Table1[[#This Row],[Column1]]=0,"",Table1[[#This Row],[Column1]])</f>
        <v>382.31</v>
      </c>
      <c r="K69" s="1">
        <v>382.31</v>
      </c>
      <c r="M69" s="1" t="s">
        <v>42</v>
      </c>
      <c r="N69" s="1" t="s">
        <v>18</v>
      </c>
      <c r="O69" s="1">
        <v>35</v>
      </c>
    </row>
    <row r="70" spans="1:16" ht="15.75" customHeight="1" x14ac:dyDescent="0.35">
      <c r="A70" s="1" t="s">
        <v>20</v>
      </c>
      <c r="C70" s="1" t="s">
        <v>158</v>
      </c>
      <c r="D70" s="1" t="s">
        <v>197</v>
      </c>
      <c r="E70" s="1" t="s">
        <v>22</v>
      </c>
      <c r="G70" s="1" t="s">
        <v>61</v>
      </c>
      <c r="I70">
        <f>IF(Table1[[#This Row],[Claim_Amount]]&lt;0,0,Table1[[#This Row],[Claim_Amount]])</f>
        <v>0</v>
      </c>
      <c r="J70" t="str">
        <f>IF(Table1[[#This Row],[Column1]]=0,"",Table1[[#This Row],[Column1]])</f>
        <v/>
      </c>
      <c r="K70" t="s">
        <v>1098</v>
      </c>
      <c r="M70" s="1" t="s">
        <v>36</v>
      </c>
      <c r="N70" s="1" t="s">
        <v>18</v>
      </c>
      <c r="P70" s="1" t="s">
        <v>37</v>
      </c>
    </row>
    <row r="71" spans="1:16" ht="15.75" customHeight="1" x14ac:dyDescent="0.35">
      <c r="A71" s="1" t="s">
        <v>198</v>
      </c>
      <c r="D71" s="1" t="s">
        <v>199</v>
      </c>
      <c r="E71" s="1" t="s">
        <v>22</v>
      </c>
      <c r="F71" s="1" t="s">
        <v>53</v>
      </c>
      <c r="G71" s="1" t="s">
        <v>54</v>
      </c>
      <c r="H71" s="1">
        <v>4874.01</v>
      </c>
      <c r="I71" s="1">
        <f>IF(Table1[[#This Row],[Claim_Amount]]&lt;0,0,Table1[[#This Row],[Claim_Amount]])</f>
        <v>4874.01</v>
      </c>
      <c r="J71" s="1">
        <f>IF(Table1[[#This Row],[Column1]]=0,"",Table1[[#This Row],[Column1]])</f>
        <v>4874.01</v>
      </c>
      <c r="K71" s="1">
        <v>4874.01</v>
      </c>
      <c r="M71" s="1" t="s">
        <v>42</v>
      </c>
      <c r="N71" s="1" t="s">
        <v>26</v>
      </c>
      <c r="P71" s="1" t="s">
        <v>27</v>
      </c>
    </row>
    <row r="72" spans="1:16" ht="15.75" customHeight="1" x14ac:dyDescent="0.35">
      <c r="A72" s="1" t="s">
        <v>114</v>
      </c>
      <c r="B72" s="1" t="s">
        <v>129</v>
      </c>
      <c r="C72" s="1" t="s">
        <v>200</v>
      </c>
      <c r="D72" s="1" t="s">
        <v>201</v>
      </c>
      <c r="E72" s="1" t="s">
        <v>85</v>
      </c>
      <c r="I72">
        <f>IF(Table1[[#This Row],[Claim_Amount]]&lt;0,0,Table1[[#This Row],[Claim_Amount]])</f>
        <v>0</v>
      </c>
      <c r="J72" t="str">
        <f>IF(Table1[[#This Row],[Column1]]=0,"",Table1[[#This Row],[Column1]])</f>
        <v/>
      </c>
      <c r="K72" t="s">
        <v>1098</v>
      </c>
      <c r="M72" s="1" t="s">
        <v>42</v>
      </c>
      <c r="N72" s="1" t="s">
        <v>18</v>
      </c>
      <c r="P72" s="1" t="s">
        <v>27</v>
      </c>
    </row>
    <row r="73" spans="1:16" ht="15.75" customHeight="1" x14ac:dyDescent="0.35">
      <c r="A73" s="1" t="s">
        <v>202</v>
      </c>
      <c r="C73" s="1" t="s">
        <v>203</v>
      </c>
      <c r="D73" s="1" t="s">
        <v>204</v>
      </c>
      <c r="E73" s="1" t="s">
        <v>35</v>
      </c>
      <c r="F73" s="1" t="s">
        <v>23</v>
      </c>
      <c r="G73" s="1" t="s">
        <v>41</v>
      </c>
      <c r="H73" s="1">
        <v>-118</v>
      </c>
      <c r="I73" s="1">
        <f>IF(Table1[[#This Row],[Claim_Amount]]&lt;0,0,Table1[[#This Row],[Claim_Amount]])</f>
        <v>0</v>
      </c>
      <c r="J73" s="1" t="str">
        <f>IF(Table1[[#This Row],[Column1]]=0,"",Table1[[#This Row],[Column1]])</f>
        <v/>
      </c>
      <c r="K73" s="1" t="s">
        <v>1098</v>
      </c>
      <c r="M73" s="1" t="s">
        <v>42</v>
      </c>
      <c r="N73" s="1" t="s">
        <v>18</v>
      </c>
      <c r="P73" s="1" t="s">
        <v>19</v>
      </c>
    </row>
    <row r="74" spans="1:16" ht="15.75" customHeight="1" x14ac:dyDescent="0.35">
      <c r="A74" s="1" t="s">
        <v>28</v>
      </c>
      <c r="B74" s="1" t="s">
        <v>205</v>
      </c>
      <c r="D74" s="1" t="s">
        <v>206</v>
      </c>
      <c r="E74" s="1" t="s">
        <v>85</v>
      </c>
      <c r="F74" s="1" t="s">
        <v>53</v>
      </c>
      <c r="G74" s="1" t="s">
        <v>54</v>
      </c>
      <c r="I74">
        <f>IF(Table1[[#This Row],[Claim_Amount]]&lt;0,0,Table1[[#This Row],[Claim_Amount]])</f>
        <v>0</v>
      </c>
      <c r="J74" t="str">
        <f>IF(Table1[[#This Row],[Column1]]=0,"",Table1[[#This Row],[Column1]])</f>
        <v/>
      </c>
      <c r="K74" t="s">
        <v>1098</v>
      </c>
      <c r="L74" s="1">
        <v>4729.3500000000004</v>
      </c>
      <c r="M74" s="1" t="s">
        <v>42</v>
      </c>
      <c r="N74" s="1" t="s">
        <v>32</v>
      </c>
      <c r="O74" s="1">
        <v>20</v>
      </c>
      <c r="P74" s="1" t="s">
        <v>19</v>
      </c>
    </row>
    <row r="75" spans="1:16" ht="15.75" customHeight="1" x14ac:dyDescent="0.35">
      <c r="A75" s="1" t="s">
        <v>117</v>
      </c>
      <c r="C75" s="1" t="s">
        <v>207</v>
      </c>
      <c r="D75" s="1" t="s">
        <v>208</v>
      </c>
      <c r="E75" s="1" t="s">
        <v>30</v>
      </c>
      <c r="F75" s="1" t="s">
        <v>47</v>
      </c>
      <c r="H75" s="1">
        <v>-28</v>
      </c>
      <c r="I75" s="1">
        <f>IF(Table1[[#This Row],[Claim_Amount]]&lt;0,0,Table1[[#This Row],[Claim_Amount]])</f>
        <v>0</v>
      </c>
      <c r="J75" s="1" t="str">
        <f>IF(Table1[[#This Row],[Column1]]=0,"",Table1[[#This Row],[Column1]])</f>
        <v/>
      </c>
      <c r="K75" s="1" t="s">
        <v>1098</v>
      </c>
      <c r="L75" s="1">
        <v>4315.7299999999996</v>
      </c>
      <c r="M75" s="1" t="s">
        <v>121</v>
      </c>
      <c r="N75" s="1" t="s">
        <v>26</v>
      </c>
      <c r="O75" s="1">
        <v>29</v>
      </c>
      <c r="P75" s="1" t="s">
        <v>27</v>
      </c>
    </row>
    <row r="76" spans="1:16" ht="15.75" customHeight="1" x14ac:dyDescent="0.35">
      <c r="A76" s="1" t="s">
        <v>209</v>
      </c>
      <c r="D76" s="1" t="s">
        <v>210</v>
      </c>
      <c r="E76" s="1" t="s">
        <v>92</v>
      </c>
      <c r="F76" s="1" t="s">
        <v>93</v>
      </c>
      <c r="G76" s="1" t="s">
        <v>54</v>
      </c>
      <c r="I76">
        <f>IF(Table1[[#This Row],[Claim_Amount]]&lt;0,0,Table1[[#This Row],[Claim_Amount]])</f>
        <v>0</v>
      </c>
      <c r="J76" t="str">
        <f>IF(Table1[[#This Row],[Column1]]=0,"",Table1[[#This Row],[Column1]])</f>
        <v/>
      </c>
      <c r="K76" t="s">
        <v>1098</v>
      </c>
      <c r="L76" s="1">
        <v>486.24</v>
      </c>
      <c r="M76" s="1" t="s">
        <v>17</v>
      </c>
      <c r="N76" s="1" t="s">
        <v>49</v>
      </c>
    </row>
    <row r="77" spans="1:16" ht="15.75" customHeight="1" x14ac:dyDescent="0.35">
      <c r="A77" s="1" t="s">
        <v>96</v>
      </c>
      <c r="D77" s="1" t="s">
        <v>211</v>
      </c>
      <c r="E77" s="1" t="s">
        <v>30</v>
      </c>
      <c r="G77" s="1" t="s">
        <v>61</v>
      </c>
      <c r="I77">
        <f>IF(Table1[[#This Row],[Claim_Amount]]&lt;0,0,Table1[[#This Row],[Claim_Amount]])</f>
        <v>0</v>
      </c>
      <c r="J77" t="str">
        <f>IF(Table1[[#This Row],[Column1]]=0,"",Table1[[#This Row],[Column1]])</f>
        <v/>
      </c>
      <c r="K77" t="s">
        <v>1098</v>
      </c>
      <c r="M77" s="1" t="s">
        <v>17</v>
      </c>
      <c r="N77" s="1" t="s">
        <v>18</v>
      </c>
      <c r="O77" s="1">
        <v>6</v>
      </c>
      <c r="P77" s="1" t="s">
        <v>27</v>
      </c>
    </row>
    <row r="78" spans="1:16" ht="15.75" customHeight="1" x14ac:dyDescent="0.35">
      <c r="A78" s="1" t="s">
        <v>212</v>
      </c>
      <c r="C78" s="1" t="s">
        <v>213</v>
      </c>
      <c r="D78" s="1" t="s">
        <v>214</v>
      </c>
      <c r="E78" s="1" t="s">
        <v>22</v>
      </c>
      <c r="F78" s="1" t="s">
        <v>47</v>
      </c>
      <c r="G78" s="1" t="s">
        <v>54</v>
      </c>
      <c r="I78">
        <f>IF(Table1[[#This Row],[Claim_Amount]]&lt;0,0,Table1[[#This Row],[Claim_Amount]])</f>
        <v>0</v>
      </c>
      <c r="J78" t="str">
        <f>IF(Table1[[#This Row],[Column1]]=0,"",Table1[[#This Row],[Column1]])</f>
        <v/>
      </c>
      <c r="K78" t="s">
        <v>1098</v>
      </c>
      <c r="M78" s="1" t="s">
        <v>42</v>
      </c>
      <c r="N78" s="1" t="s">
        <v>18</v>
      </c>
      <c r="O78" s="1">
        <v>28</v>
      </c>
      <c r="P78" s="1" t="s">
        <v>37</v>
      </c>
    </row>
    <row r="79" spans="1:16" ht="15.75" customHeight="1" x14ac:dyDescent="0.35">
      <c r="A79" s="1" t="s">
        <v>215</v>
      </c>
      <c r="C79" s="1" t="s">
        <v>97</v>
      </c>
      <c r="D79" s="1" t="s">
        <v>216</v>
      </c>
      <c r="E79" s="1" t="s">
        <v>77</v>
      </c>
      <c r="F79" s="1" t="s">
        <v>53</v>
      </c>
      <c r="G79" s="1" t="s">
        <v>61</v>
      </c>
      <c r="H79" s="1">
        <v>331.61</v>
      </c>
      <c r="I79" s="1">
        <f>IF(Table1[[#This Row],[Claim_Amount]]&lt;0,0,Table1[[#This Row],[Claim_Amount]])</f>
        <v>331.61</v>
      </c>
      <c r="J79" s="1">
        <f>IF(Table1[[#This Row],[Column1]]=0,"",Table1[[#This Row],[Column1]])</f>
        <v>331.61</v>
      </c>
      <c r="K79" s="1">
        <v>331.61</v>
      </c>
      <c r="L79" s="1">
        <v>3241.1</v>
      </c>
      <c r="M79" s="1" t="s">
        <v>36</v>
      </c>
      <c r="N79" s="1" t="s">
        <v>57</v>
      </c>
      <c r="P79" s="1" t="s">
        <v>37</v>
      </c>
    </row>
    <row r="80" spans="1:16" ht="15.75" customHeight="1" x14ac:dyDescent="0.35">
      <c r="A80" s="1" t="s">
        <v>66</v>
      </c>
      <c r="D80" s="1" t="s">
        <v>217</v>
      </c>
      <c r="E80" s="1" t="s">
        <v>30</v>
      </c>
      <c r="F80" s="1" t="s">
        <v>53</v>
      </c>
      <c r="G80" s="1" t="s">
        <v>54</v>
      </c>
      <c r="H80" s="1">
        <v>-25</v>
      </c>
      <c r="I80" s="1">
        <f>IF(Table1[[#This Row],[Claim_Amount]]&lt;0,0,Table1[[#This Row],[Claim_Amount]])</f>
        <v>0</v>
      </c>
      <c r="J80" s="1" t="str">
        <f>IF(Table1[[#This Row],[Column1]]=0,"",Table1[[#This Row],[Column1]])</f>
        <v/>
      </c>
      <c r="K80" s="1" t="s">
        <v>1098</v>
      </c>
      <c r="M80" s="1" t="s">
        <v>25</v>
      </c>
      <c r="N80" s="1" t="s">
        <v>57</v>
      </c>
      <c r="O80" s="1">
        <v>41</v>
      </c>
      <c r="P80" s="1" t="s">
        <v>19</v>
      </c>
    </row>
    <row r="81" spans="1:16" ht="15.75" customHeight="1" x14ac:dyDescent="0.35">
      <c r="A81" s="1" t="s">
        <v>170</v>
      </c>
      <c r="C81" s="1" t="s">
        <v>218</v>
      </c>
      <c r="D81" s="1" t="s">
        <v>219</v>
      </c>
      <c r="E81" s="1" t="s">
        <v>77</v>
      </c>
      <c r="F81" s="1" t="s">
        <v>31</v>
      </c>
      <c r="I81">
        <f>IF(Table1[[#This Row],[Claim_Amount]]&lt;0,0,Table1[[#This Row],[Claim_Amount]])</f>
        <v>0</v>
      </c>
      <c r="J81" t="str">
        <f>IF(Table1[[#This Row],[Column1]]=0,"",Table1[[#This Row],[Column1]])</f>
        <v/>
      </c>
      <c r="K81" t="s">
        <v>1098</v>
      </c>
      <c r="L81" s="1">
        <v>376.26</v>
      </c>
      <c r="M81" s="1" t="s">
        <v>36</v>
      </c>
      <c r="N81" s="1" t="s">
        <v>49</v>
      </c>
    </row>
    <row r="82" spans="1:16" ht="15.75" customHeight="1" x14ac:dyDescent="0.35">
      <c r="A82" s="1" t="s">
        <v>50</v>
      </c>
      <c r="B82" s="1" t="s">
        <v>220</v>
      </c>
      <c r="C82" s="1" t="s">
        <v>221</v>
      </c>
      <c r="D82" s="1" t="s">
        <v>222</v>
      </c>
      <c r="E82" s="1" t="s">
        <v>35</v>
      </c>
      <c r="F82" s="1" t="s">
        <v>53</v>
      </c>
      <c r="G82" s="1" t="s">
        <v>24</v>
      </c>
      <c r="I82">
        <f>IF(Table1[[#This Row],[Claim_Amount]]&lt;0,0,Table1[[#This Row],[Claim_Amount]])</f>
        <v>0</v>
      </c>
      <c r="J82" t="str">
        <f>IF(Table1[[#This Row],[Column1]]=0,"",Table1[[#This Row],[Column1]])</f>
        <v/>
      </c>
      <c r="K82" t="s">
        <v>1098</v>
      </c>
      <c r="M82" s="1" t="s">
        <v>42</v>
      </c>
      <c r="N82" s="1" t="s">
        <v>18</v>
      </c>
    </row>
    <row r="83" spans="1:16" ht="15.75" customHeight="1" x14ac:dyDescent="0.35">
      <c r="A83" s="1" t="s">
        <v>96</v>
      </c>
      <c r="D83" s="1" t="s">
        <v>223</v>
      </c>
      <c r="E83" s="1" t="s">
        <v>85</v>
      </c>
      <c r="F83" s="1" t="s">
        <v>31</v>
      </c>
      <c r="G83" s="1" t="s">
        <v>48</v>
      </c>
      <c r="I83">
        <f>IF(Table1[[#This Row],[Claim_Amount]]&lt;0,0,Table1[[#This Row],[Claim_Amount]])</f>
        <v>0</v>
      </c>
      <c r="J83" t="str">
        <f>IF(Table1[[#This Row],[Column1]]=0,"",Table1[[#This Row],[Column1]])</f>
        <v/>
      </c>
      <c r="K83" t="s">
        <v>1098</v>
      </c>
      <c r="L83" s="1">
        <v>431.97</v>
      </c>
      <c r="M83" s="1" t="s">
        <v>36</v>
      </c>
      <c r="N83" s="1" t="s">
        <v>57</v>
      </c>
    </row>
    <row r="84" spans="1:16" ht="15.75" customHeight="1" x14ac:dyDescent="0.35">
      <c r="A84" s="1" t="s">
        <v>166</v>
      </c>
      <c r="C84" s="1" t="s">
        <v>224</v>
      </c>
      <c r="D84" s="1" t="s">
        <v>225</v>
      </c>
      <c r="E84" s="1" t="s">
        <v>85</v>
      </c>
      <c r="G84" s="1" t="s">
        <v>54</v>
      </c>
      <c r="H84" s="1">
        <v>-52</v>
      </c>
      <c r="I84" s="1">
        <f>IF(Table1[[#This Row],[Claim_Amount]]&lt;0,0,Table1[[#This Row],[Claim_Amount]])</f>
        <v>0</v>
      </c>
      <c r="J84" s="1" t="str">
        <f>IF(Table1[[#This Row],[Column1]]=0,"",Table1[[#This Row],[Column1]])</f>
        <v/>
      </c>
      <c r="K84" s="1" t="s">
        <v>1098</v>
      </c>
      <c r="M84" s="1" t="s">
        <v>17</v>
      </c>
      <c r="N84" s="1" t="s">
        <v>49</v>
      </c>
      <c r="P84" s="1" t="s">
        <v>37</v>
      </c>
    </row>
    <row r="85" spans="1:16" ht="15.75" customHeight="1" x14ac:dyDescent="0.35">
      <c r="A85" s="1" t="s">
        <v>198</v>
      </c>
      <c r="B85" s="1" t="s">
        <v>226</v>
      </c>
      <c r="D85" s="1" t="s">
        <v>227</v>
      </c>
      <c r="E85" s="1" t="s">
        <v>77</v>
      </c>
      <c r="F85" s="1" t="s">
        <v>53</v>
      </c>
      <c r="G85" s="1" t="s">
        <v>41</v>
      </c>
      <c r="H85" s="1">
        <v>-138</v>
      </c>
      <c r="I85" s="1">
        <f>IF(Table1[[#This Row],[Claim_Amount]]&lt;0,0,Table1[[#This Row],[Claim_Amount]])</f>
        <v>0</v>
      </c>
      <c r="J85" s="1" t="str">
        <f>IF(Table1[[#This Row],[Column1]]=0,"",Table1[[#This Row],[Column1]])</f>
        <v/>
      </c>
      <c r="K85" s="1" t="s">
        <v>1098</v>
      </c>
      <c r="L85" s="1">
        <v>4833.03</v>
      </c>
      <c r="M85" s="1" t="s">
        <v>36</v>
      </c>
      <c r="N85" s="1" t="s">
        <v>18</v>
      </c>
      <c r="P85" s="1" t="s">
        <v>19</v>
      </c>
    </row>
    <row r="86" spans="1:16" ht="15.75" customHeight="1" x14ac:dyDescent="0.35">
      <c r="A86" s="1" t="s">
        <v>43</v>
      </c>
      <c r="C86" s="1" t="s">
        <v>228</v>
      </c>
      <c r="D86" s="1" t="s">
        <v>229</v>
      </c>
      <c r="E86" s="1" t="s">
        <v>16</v>
      </c>
      <c r="F86" s="1" t="s">
        <v>93</v>
      </c>
      <c r="G86" s="1" t="s">
        <v>41</v>
      </c>
      <c r="I86">
        <f>IF(Table1[[#This Row],[Claim_Amount]]&lt;0,0,Table1[[#This Row],[Claim_Amount]])</f>
        <v>0</v>
      </c>
      <c r="J86" t="str">
        <f>IF(Table1[[#This Row],[Column1]]=0,"",Table1[[#This Row],[Column1]])</f>
        <v/>
      </c>
      <c r="K86" t="s">
        <v>1098</v>
      </c>
      <c r="L86" s="1">
        <v>4163.68</v>
      </c>
      <c r="M86" s="1" t="s">
        <v>17</v>
      </c>
      <c r="N86" s="1" t="s">
        <v>49</v>
      </c>
      <c r="P86" s="1" t="s">
        <v>19</v>
      </c>
    </row>
    <row r="87" spans="1:16" ht="15.75" customHeight="1" x14ac:dyDescent="0.35">
      <c r="A87" s="1" t="s">
        <v>70</v>
      </c>
      <c r="D87" s="1" t="s">
        <v>230</v>
      </c>
      <c r="E87" s="1" t="s">
        <v>85</v>
      </c>
      <c r="F87" s="1" t="s">
        <v>23</v>
      </c>
      <c r="G87" s="1" t="s">
        <v>41</v>
      </c>
      <c r="I87">
        <f>IF(Table1[[#This Row],[Claim_Amount]]&lt;0,0,Table1[[#This Row],[Claim_Amount]])</f>
        <v>0</v>
      </c>
      <c r="J87" t="str">
        <f>IF(Table1[[#This Row],[Column1]]=0,"",Table1[[#This Row],[Column1]])</f>
        <v/>
      </c>
      <c r="K87" t="s">
        <v>1098</v>
      </c>
      <c r="L87" s="1">
        <v>3967.33</v>
      </c>
      <c r="M87" s="1" t="s">
        <v>25</v>
      </c>
      <c r="N87" s="1" t="s">
        <v>32</v>
      </c>
      <c r="P87" s="1" t="s">
        <v>65</v>
      </c>
    </row>
    <row r="88" spans="1:16" ht="15.75" customHeight="1" x14ac:dyDescent="0.35">
      <c r="A88" s="1" t="s">
        <v>231</v>
      </c>
      <c r="C88" s="1" t="s">
        <v>232</v>
      </c>
      <c r="D88" s="1" t="s">
        <v>233</v>
      </c>
      <c r="E88" s="1" t="s">
        <v>22</v>
      </c>
      <c r="F88" s="1" t="s">
        <v>93</v>
      </c>
      <c r="G88" s="1" t="s">
        <v>54</v>
      </c>
      <c r="H88" s="1">
        <v>-165</v>
      </c>
      <c r="I88" s="1">
        <f>IF(Table1[[#This Row],[Claim_Amount]]&lt;0,0,Table1[[#This Row],[Claim_Amount]])</f>
        <v>0</v>
      </c>
      <c r="J88" s="1" t="str">
        <f>IF(Table1[[#This Row],[Column1]]=0,"",Table1[[#This Row],[Column1]])</f>
        <v/>
      </c>
      <c r="K88" s="1" t="s">
        <v>1098</v>
      </c>
      <c r="M88" s="1" t="s">
        <v>17</v>
      </c>
      <c r="N88" s="1" t="s">
        <v>32</v>
      </c>
      <c r="O88" s="1">
        <v>7</v>
      </c>
      <c r="P88" s="1" t="s">
        <v>65</v>
      </c>
    </row>
    <row r="89" spans="1:16" ht="15.75" customHeight="1" x14ac:dyDescent="0.35">
      <c r="A89" s="1" t="s">
        <v>70</v>
      </c>
      <c r="C89" s="1" t="s">
        <v>152</v>
      </c>
      <c r="D89" s="1" t="s">
        <v>234</v>
      </c>
      <c r="E89" s="1" t="s">
        <v>16</v>
      </c>
      <c r="G89" s="1" t="s">
        <v>54</v>
      </c>
      <c r="I89">
        <f>IF(Table1[[#This Row],[Claim_Amount]]&lt;0,0,Table1[[#This Row],[Claim_Amount]])</f>
        <v>0</v>
      </c>
      <c r="J89" t="str">
        <f>IF(Table1[[#This Row],[Column1]]=0,"",Table1[[#This Row],[Column1]])</f>
        <v/>
      </c>
      <c r="K89" t="s">
        <v>1098</v>
      </c>
      <c r="L89" s="1">
        <v>1491.8</v>
      </c>
      <c r="M89" s="1" t="s">
        <v>36</v>
      </c>
      <c r="N89" s="1" t="s">
        <v>32</v>
      </c>
      <c r="P89" s="1" t="s">
        <v>37</v>
      </c>
    </row>
    <row r="90" spans="1:16" ht="15.75" customHeight="1" x14ac:dyDescent="0.35">
      <c r="A90" s="1" t="s">
        <v>102</v>
      </c>
      <c r="D90" s="1" t="s">
        <v>235</v>
      </c>
      <c r="E90" s="1" t="s">
        <v>22</v>
      </c>
      <c r="F90" s="1" t="s">
        <v>47</v>
      </c>
      <c r="G90" s="1" t="s">
        <v>54</v>
      </c>
      <c r="H90" s="1">
        <v>150.65</v>
      </c>
      <c r="I90" s="1">
        <f>IF(Table1[[#This Row],[Claim_Amount]]&lt;0,0,Table1[[#This Row],[Claim_Amount]])</f>
        <v>150.65</v>
      </c>
      <c r="J90" s="1">
        <f>IF(Table1[[#This Row],[Column1]]=0,"",Table1[[#This Row],[Column1]])</f>
        <v>150.65</v>
      </c>
      <c r="K90" s="1">
        <v>150.65</v>
      </c>
      <c r="M90" s="1" t="s">
        <v>42</v>
      </c>
      <c r="N90" s="1" t="s">
        <v>26</v>
      </c>
      <c r="O90" s="1">
        <v>22</v>
      </c>
      <c r="P90" s="1" t="s">
        <v>27</v>
      </c>
    </row>
    <row r="91" spans="1:16" ht="15.75" customHeight="1" x14ac:dyDescent="0.35">
      <c r="A91" s="1" t="s">
        <v>170</v>
      </c>
      <c r="C91" s="1" t="s">
        <v>150</v>
      </c>
      <c r="D91" s="1" t="s">
        <v>236</v>
      </c>
      <c r="E91" s="1" t="s">
        <v>92</v>
      </c>
      <c r="F91" s="1" t="s">
        <v>47</v>
      </c>
      <c r="G91" s="1" t="s">
        <v>41</v>
      </c>
      <c r="H91" s="1">
        <v>-54</v>
      </c>
      <c r="I91" s="1">
        <f>IF(Table1[[#This Row],[Claim_Amount]]&lt;0,0,Table1[[#This Row],[Claim_Amount]])</f>
        <v>0</v>
      </c>
      <c r="J91" s="1" t="str">
        <f>IF(Table1[[#This Row],[Column1]]=0,"",Table1[[#This Row],[Column1]])</f>
        <v/>
      </c>
      <c r="K91" s="1" t="s">
        <v>1098</v>
      </c>
      <c r="M91" s="1" t="s">
        <v>17</v>
      </c>
      <c r="N91" s="1" t="s">
        <v>18</v>
      </c>
      <c r="P91" s="1" t="s">
        <v>37</v>
      </c>
    </row>
    <row r="92" spans="1:16" ht="15.75" customHeight="1" x14ac:dyDescent="0.35">
      <c r="A92" s="1" t="s">
        <v>166</v>
      </c>
      <c r="B92" s="1" t="s">
        <v>237</v>
      </c>
      <c r="C92" s="1" t="s">
        <v>238</v>
      </c>
      <c r="D92" s="1" t="s">
        <v>239</v>
      </c>
      <c r="E92" s="1" t="s">
        <v>77</v>
      </c>
      <c r="F92" s="1" t="s">
        <v>47</v>
      </c>
      <c r="G92" s="1" t="s">
        <v>48</v>
      </c>
      <c r="I92">
        <f>IF(Table1[[#This Row],[Claim_Amount]]&lt;0,0,Table1[[#This Row],[Claim_Amount]])</f>
        <v>0</v>
      </c>
      <c r="J92" t="str">
        <f>IF(Table1[[#This Row],[Column1]]=0,"",Table1[[#This Row],[Column1]])</f>
        <v/>
      </c>
      <c r="K92" t="s">
        <v>1098</v>
      </c>
      <c r="L92" s="1">
        <v>1466.25</v>
      </c>
      <c r="M92" s="1" t="s">
        <v>42</v>
      </c>
      <c r="N92" s="1" t="s">
        <v>32</v>
      </c>
      <c r="P92" s="1" t="s">
        <v>37</v>
      </c>
    </row>
    <row r="93" spans="1:16" ht="15.75" customHeight="1" x14ac:dyDescent="0.35">
      <c r="A93" s="1" t="s">
        <v>78</v>
      </c>
      <c r="D93" s="1" t="s">
        <v>240</v>
      </c>
      <c r="E93" s="1" t="s">
        <v>92</v>
      </c>
      <c r="F93" s="1" t="s">
        <v>47</v>
      </c>
      <c r="G93" s="1" t="s">
        <v>41</v>
      </c>
      <c r="H93" s="1">
        <v>-196</v>
      </c>
      <c r="I93" s="1">
        <f>IF(Table1[[#This Row],[Claim_Amount]]&lt;0,0,Table1[[#This Row],[Claim_Amount]])</f>
        <v>0</v>
      </c>
      <c r="J93" s="1" t="str">
        <f>IF(Table1[[#This Row],[Column1]]=0,"",Table1[[#This Row],[Column1]])</f>
        <v/>
      </c>
      <c r="K93" s="1" t="s">
        <v>1098</v>
      </c>
      <c r="M93" s="1" t="s">
        <v>17</v>
      </c>
      <c r="N93" s="1" t="s">
        <v>57</v>
      </c>
      <c r="P93" s="1" t="s">
        <v>19</v>
      </c>
    </row>
    <row r="94" spans="1:16" ht="15.75" customHeight="1" x14ac:dyDescent="0.35">
      <c r="A94" s="1" t="s">
        <v>96</v>
      </c>
      <c r="D94" s="1" t="s">
        <v>241</v>
      </c>
      <c r="E94" s="1" t="s">
        <v>35</v>
      </c>
      <c r="F94" s="1" t="s">
        <v>53</v>
      </c>
      <c r="G94" s="1" t="s">
        <v>41</v>
      </c>
      <c r="I94">
        <f>IF(Table1[[#This Row],[Claim_Amount]]&lt;0,0,Table1[[#This Row],[Claim_Amount]])</f>
        <v>0</v>
      </c>
      <c r="J94" t="str">
        <f>IF(Table1[[#This Row],[Column1]]=0,"",Table1[[#This Row],[Column1]])</f>
        <v/>
      </c>
      <c r="K94" t="s">
        <v>1098</v>
      </c>
      <c r="M94" s="1" t="s">
        <v>42</v>
      </c>
      <c r="N94" s="1" t="s">
        <v>26</v>
      </c>
      <c r="P94" s="1" t="s">
        <v>37</v>
      </c>
    </row>
    <row r="95" spans="1:16" ht="15.75" customHeight="1" x14ac:dyDescent="0.35">
      <c r="A95" s="1" t="s">
        <v>242</v>
      </c>
      <c r="C95" s="1" t="s">
        <v>243</v>
      </c>
      <c r="D95" s="1" t="s">
        <v>244</v>
      </c>
      <c r="E95" s="1" t="s">
        <v>22</v>
      </c>
      <c r="F95" s="1" t="s">
        <v>53</v>
      </c>
      <c r="G95" s="1" t="s">
        <v>61</v>
      </c>
      <c r="I95">
        <f>IF(Table1[[#This Row],[Claim_Amount]]&lt;0,0,Table1[[#This Row],[Claim_Amount]])</f>
        <v>0</v>
      </c>
      <c r="J95" t="str">
        <f>IF(Table1[[#This Row],[Column1]]=0,"",Table1[[#This Row],[Column1]])</f>
        <v/>
      </c>
      <c r="K95" t="s">
        <v>1098</v>
      </c>
      <c r="M95" s="1" t="s">
        <v>25</v>
      </c>
      <c r="N95" s="1" t="s">
        <v>57</v>
      </c>
      <c r="P95" s="1" t="s">
        <v>37</v>
      </c>
    </row>
    <row r="96" spans="1:16" ht="15.75" customHeight="1" x14ac:dyDescent="0.35">
      <c r="A96" s="1" t="s">
        <v>242</v>
      </c>
      <c r="C96" s="1" t="s">
        <v>245</v>
      </c>
      <c r="D96" s="1" t="s">
        <v>246</v>
      </c>
      <c r="E96" s="1" t="s">
        <v>77</v>
      </c>
      <c r="F96" s="1" t="s">
        <v>31</v>
      </c>
      <c r="H96" s="1">
        <v>1429.51</v>
      </c>
      <c r="I96" s="1">
        <f>IF(Table1[[#This Row],[Claim_Amount]]&lt;0,0,Table1[[#This Row],[Claim_Amount]])</f>
        <v>1429.51</v>
      </c>
      <c r="J96" s="1">
        <f>IF(Table1[[#This Row],[Column1]]=0,"",Table1[[#This Row],[Column1]])</f>
        <v>1429.51</v>
      </c>
      <c r="K96" s="1">
        <v>1429.51</v>
      </c>
      <c r="M96" s="1" t="s">
        <v>36</v>
      </c>
      <c r="N96" s="1" t="s">
        <v>49</v>
      </c>
      <c r="P96" s="1" t="s">
        <v>19</v>
      </c>
    </row>
    <row r="97" spans="1:16" ht="15.75" customHeight="1" x14ac:dyDescent="0.35">
      <c r="A97" s="1" t="s">
        <v>247</v>
      </c>
      <c r="D97" s="1" t="s">
        <v>248</v>
      </c>
      <c r="E97" s="1" t="s">
        <v>77</v>
      </c>
      <c r="F97" s="1" t="s">
        <v>93</v>
      </c>
      <c r="G97" s="1" t="s">
        <v>61</v>
      </c>
      <c r="H97" s="1">
        <v>-28</v>
      </c>
      <c r="I97" s="1">
        <f>IF(Table1[[#This Row],[Claim_Amount]]&lt;0,0,Table1[[#This Row],[Claim_Amount]])</f>
        <v>0</v>
      </c>
      <c r="J97" s="1" t="str">
        <f>IF(Table1[[#This Row],[Column1]]=0,"",Table1[[#This Row],[Column1]])</f>
        <v/>
      </c>
      <c r="K97" s="1" t="s">
        <v>1098</v>
      </c>
      <c r="M97" s="1" t="s">
        <v>121</v>
      </c>
      <c r="N97" s="1" t="s">
        <v>26</v>
      </c>
      <c r="P97" s="1" t="s">
        <v>27</v>
      </c>
    </row>
    <row r="98" spans="1:16" ht="15.75" customHeight="1" x14ac:dyDescent="0.35">
      <c r="A98" s="1" t="s">
        <v>249</v>
      </c>
      <c r="D98" s="1" t="s">
        <v>250</v>
      </c>
      <c r="E98" s="1" t="s">
        <v>35</v>
      </c>
      <c r="G98" s="1" t="s">
        <v>24</v>
      </c>
      <c r="I98">
        <f>IF(Table1[[#This Row],[Claim_Amount]]&lt;0,0,Table1[[#This Row],[Claim_Amount]])</f>
        <v>0</v>
      </c>
      <c r="J98" t="str">
        <f>IF(Table1[[#This Row],[Column1]]=0,"",Table1[[#This Row],[Column1]])</f>
        <v/>
      </c>
      <c r="K98" t="s">
        <v>1098</v>
      </c>
      <c r="L98" s="1">
        <v>650.74</v>
      </c>
      <c r="M98" s="1" t="s">
        <v>17</v>
      </c>
      <c r="N98" s="1" t="s">
        <v>18</v>
      </c>
      <c r="P98" s="1" t="s">
        <v>19</v>
      </c>
    </row>
    <row r="99" spans="1:16" ht="15.75" customHeight="1" x14ac:dyDescent="0.35">
      <c r="A99" s="1" t="s">
        <v>242</v>
      </c>
      <c r="D99" s="1" t="s">
        <v>251</v>
      </c>
      <c r="E99" s="1" t="s">
        <v>16</v>
      </c>
      <c r="F99" s="1" t="s">
        <v>31</v>
      </c>
      <c r="G99" s="1" t="s">
        <v>48</v>
      </c>
      <c r="H99" s="1">
        <v>-194</v>
      </c>
      <c r="I99" s="1">
        <f>IF(Table1[[#This Row],[Claim_Amount]]&lt;0,0,Table1[[#This Row],[Claim_Amount]])</f>
        <v>0</v>
      </c>
      <c r="J99" s="1" t="str">
        <f>IF(Table1[[#This Row],[Column1]]=0,"",Table1[[#This Row],[Column1]])</f>
        <v/>
      </c>
      <c r="K99" s="1" t="s">
        <v>1098</v>
      </c>
      <c r="M99" s="1" t="s">
        <v>36</v>
      </c>
      <c r="N99" s="1" t="s">
        <v>26</v>
      </c>
      <c r="P99" s="1" t="s">
        <v>19</v>
      </c>
    </row>
    <row r="100" spans="1:16" ht="15.75" customHeight="1" x14ac:dyDescent="0.35">
      <c r="A100" s="1" t="s">
        <v>215</v>
      </c>
      <c r="D100" s="1" t="s">
        <v>252</v>
      </c>
      <c r="E100" s="1" t="s">
        <v>85</v>
      </c>
      <c r="F100" s="1" t="s">
        <v>93</v>
      </c>
      <c r="G100" s="1" t="s">
        <v>48</v>
      </c>
      <c r="H100" s="1">
        <v>2539.1799999999998</v>
      </c>
      <c r="I100" s="1">
        <f>IF(Table1[[#This Row],[Claim_Amount]]&lt;0,0,Table1[[#This Row],[Claim_Amount]])</f>
        <v>2539.1799999999998</v>
      </c>
      <c r="J100" s="1">
        <f>IF(Table1[[#This Row],[Column1]]=0,"",Table1[[#This Row],[Column1]])</f>
        <v>2539.1799999999998</v>
      </c>
      <c r="K100" s="1">
        <v>2539.1799999999998</v>
      </c>
      <c r="M100" s="1" t="s">
        <v>17</v>
      </c>
      <c r="N100" s="1" t="s">
        <v>18</v>
      </c>
      <c r="P100" s="1" t="s">
        <v>65</v>
      </c>
    </row>
    <row r="101" spans="1:16" ht="15.75" customHeight="1" x14ac:dyDescent="0.35">
      <c r="A101" s="1" t="s">
        <v>28</v>
      </c>
      <c r="D101" s="1" t="s">
        <v>253</v>
      </c>
      <c r="E101" s="1" t="s">
        <v>85</v>
      </c>
      <c r="G101" s="1" t="s">
        <v>41</v>
      </c>
      <c r="I101">
        <f>IF(Table1[[#This Row],[Claim_Amount]]&lt;0,0,Table1[[#This Row],[Claim_Amount]])</f>
        <v>0</v>
      </c>
      <c r="J101" t="str">
        <f>IF(Table1[[#This Row],[Column1]]=0,"",Table1[[#This Row],[Column1]])</f>
        <v/>
      </c>
      <c r="K101" t="s">
        <v>1098</v>
      </c>
      <c r="M101" s="1" t="s">
        <v>17</v>
      </c>
      <c r="N101" s="1" t="s">
        <v>18</v>
      </c>
    </row>
    <row r="102" spans="1:16" ht="15.75" customHeight="1" x14ac:dyDescent="0.35">
      <c r="A102" s="1" t="s">
        <v>114</v>
      </c>
      <c r="B102" s="1" t="s">
        <v>254</v>
      </c>
      <c r="C102" s="1" t="s">
        <v>193</v>
      </c>
      <c r="D102" s="1" t="s">
        <v>255</v>
      </c>
      <c r="E102" s="1" t="s">
        <v>35</v>
      </c>
      <c r="F102" s="1" t="s">
        <v>93</v>
      </c>
      <c r="G102" s="1" t="s">
        <v>54</v>
      </c>
      <c r="H102" s="1">
        <v>2112.1</v>
      </c>
      <c r="I102" s="1">
        <f>IF(Table1[[#This Row],[Claim_Amount]]&lt;0,0,Table1[[#This Row],[Claim_Amount]])</f>
        <v>2112.1</v>
      </c>
      <c r="J102" s="1">
        <f>IF(Table1[[#This Row],[Column1]]=0,"",Table1[[#This Row],[Column1]])</f>
        <v>2112.1</v>
      </c>
      <c r="K102" s="1">
        <v>2112.1</v>
      </c>
      <c r="M102" s="1" t="s">
        <v>36</v>
      </c>
      <c r="N102" s="1" t="s">
        <v>32</v>
      </c>
      <c r="P102" s="1" t="s">
        <v>37</v>
      </c>
    </row>
    <row r="103" spans="1:16" ht="15.75" customHeight="1" x14ac:dyDescent="0.35">
      <c r="A103" s="1" t="s">
        <v>170</v>
      </c>
      <c r="D103" s="1" t="s">
        <v>256</v>
      </c>
      <c r="E103" s="1" t="s">
        <v>77</v>
      </c>
      <c r="F103" s="1" t="s">
        <v>53</v>
      </c>
      <c r="G103" s="1" t="s">
        <v>48</v>
      </c>
      <c r="I103">
        <f>IF(Table1[[#This Row],[Claim_Amount]]&lt;0,0,Table1[[#This Row],[Claim_Amount]])</f>
        <v>0</v>
      </c>
      <c r="J103" t="str">
        <f>IF(Table1[[#This Row],[Column1]]=0,"",Table1[[#This Row],[Column1]])</f>
        <v/>
      </c>
      <c r="K103" t="s">
        <v>1098</v>
      </c>
      <c r="M103" s="1" t="s">
        <v>42</v>
      </c>
      <c r="N103" s="1" t="s">
        <v>32</v>
      </c>
      <c r="O103" s="1">
        <v>25</v>
      </c>
      <c r="P103" s="1" t="s">
        <v>27</v>
      </c>
    </row>
    <row r="104" spans="1:16" ht="15.75" customHeight="1" x14ac:dyDescent="0.35">
      <c r="A104" s="1" t="s">
        <v>163</v>
      </c>
      <c r="B104" s="1" t="s">
        <v>257</v>
      </c>
      <c r="C104" s="1" t="s">
        <v>258</v>
      </c>
      <c r="D104" s="1" t="s">
        <v>259</v>
      </c>
      <c r="E104" s="1" t="s">
        <v>85</v>
      </c>
      <c r="F104" s="1" t="s">
        <v>93</v>
      </c>
      <c r="G104" s="1" t="s">
        <v>61</v>
      </c>
      <c r="H104" s="1">
        <v>-108</v>
      </c>
      <c r="I104" s="1">
        <f>IF(Table1[[#This Row],[Claim_Amount]]&lt;0,0,Table1[[#This Row],[Claim_Amount]])</f>
        <v>0</v>
      </c>
      <c r="J104" s="1" t="str">
        <f>IF(Table1[[#This Row],[Column1]]=0,"",Table1[[#This Row],[Column1]])</f>
        <v/>
      </c>
      <c r="K104" s="1" t="s">
        <v>1098</v>
      </c>
      <c r="L104" s="1">
        <v>1278.94</v>
      </c>
      <c r="M104" s="1" t="s">
        <v>42</v>
      </c>
      <c r="N104" s="1" t="s">
        <v>57</v>
      </c>
      <c r="P104" s="1" t="s">
        <v>65</v>
      </c>
    </row>
    <row r="105" spans="1:16" ht="15.75" customHeight="1" x14ac:dyDescent="0.35">
      <c r="A105" s="1" t="s">
        <v>231</v>
      </c>
      <c r="D105" s="1" t="s">
        <v>260</v>
      </c>
      <c r="E105" s="1" t="s">
        <v>16</v>
      </c>
      <c r="F105" s="1" t="s">
        <v>53</v>
      </c>
      <c r="G105" s="1" t="s">
        <v>54</v>
      </c>
      <c r="I105">
        <f>IF(Table1[[#This Row],[Claim_Amount]]&lt;0,0,Table1[[#This Row],[Claim_Amount]])</f>
        <v>0</v>
      </c>
      <c r="J105" t="str">
        <f>IF(Table1[[#This Row],[Column1]]=0,"",Table1[[#This Row],[Column1]])</f>
        <v/>
      </c>
      <c r="K105" t="s">
        <v>1098</v>
      </c>
      <c r="L105" s="1">
        <v>2937.55</v>
      </c>
      <c r="M105" s="1" t="s">
        <v>25</v>
      </c>
      <c r="N105" s="1" t="s">
        <v>32</v>
      </c>
      <c r="P105" s="1" t="s">
        <v>37</v>
      </c>
    </row>
    <row r="106" spans="1:16" ht="15.75" customHeight="1" x14ac:dyDescent="0.35">
      <c r="A106" s="1" t="s">
        <v>261</v>
      </c>
      <c r="B106" s="1" t="s">
        <v>262</v>
      </c>
      <c r="D106" s="1" t="s">
        <v>81</v>
      </c>
      <c r="E106" s="1" t="s">
        <v>92</v>
      </c>
      <c r="F106" s="1" t="s">
        <v>23</v>
      </c>
      <c r="G106" s="1" t="s">
        <v>48</v>
      </c>
      <c r="I106">
        <f>IF(Table1[[#This Row],[Claim_Amount]]&lt;0,0,Table1[[#This Row],[Claim_Amount]])</f>
        <v>0</v>
      </c>
      <c r="J106" t="str">
        <f>IF(Table1[[#This Row],[Column1]]=0,"",Table1[[#This Row],[Column1]])</f>
        <v/>
      </c>
      <c r="K106" t="s">
        <v>1098</v>
      </c>
      <c r="M106" s="1" t="s">
        <v>25</v>
      </c>
      <c r="N106" s="1" t="s">
        <v>49</v>
      </c>
    </row>
    <row r="107" spans="1:16" ht="15.75" customHeight="1" x14ac:dyDescent="0.35">
      <c r="A107" s="1" t="s">
        <v>38</v>
      </c>
      <c r="C107" s="1" t="s">
        <v>263</v>
      </c>
      <c r="D107" s="1" t="s">
        <v>264</v>
      </c>
      <c r="E107" s="1" t="s">
        <v>22</v>
      </c>
      <c r="F107" s="1" t="s">
        <v>31</v>
      </c>
      <c r="G107" s="1" t="s">
        <v>54</v>
      </c>
      <c r="I107">
        <f>IF(Table1[[#This Row],[Claim_Amount]]&lt;0,0,Table1[[#This Row],[Claim_Amount]])</f>
        <v>0</v>
      </c>
      <c r="J107" t="str">
        <f>IF(Table1[[#This Row],[Column1]]=0,"",Table1[[#This Row],[Column1]])</f>
        <v/>
      </c>
      <c r="K107" t="s">
        <v>1098</v>
      </c>
      <c r="M107" s="1" t="s">
        <v>36</v>
      </c>
      <c r="N107" s="1" t="s">
        <v>26</v>
      </c>
      <c r="O107" s="1">
        <v>2</v>
      </c>
      <c r="P107" s="1" t="s">
        <v>65</v>
      </c>
    </row>
    <row r="108" spans="1:16" ht="15.75" customHeight="1" x14ac:dyDescent="0.35">
      <c r="A108" s="1" t="s">
        <v>137</v>
      </c>
      <c r="D108" s="1" t="s">
        <v>265</v>
      </c>
      <c r="E108" s="1" t="s">
        <v>92</v>
      </c>
      <c r="F108" s="1" t="s">
        <v>47</v>
      </c>
      <c r="G108" s="1" t="s">
        <v>41</v>
      </c>
      <c r="I108">
        <f>IF(Table1[[#This Row],[Claim_Amount]]&lt;0,0,Table1[[#This Row],[Claim_Amount]])</f>
        <v>0</v>
      </c>
      <c r="J108" t="str">
        <f>IF(Table1[[#This Row],[Column1]]=0,"",Table1[[#This Row],[Column1]])</f>
        <v/>
      </c>
      <c r="K108" t="s">
        <v>1098</v>
      </c>
      <c r="M108" s="1" t="s">
        <v>36</v>
      </c>
      <c r="N108" s="1" t="s">
        <v>57</v>
      </c>
    </row>
    <row r="109" spans="1:16" ht="15.75" customHeight="1" x14ac:dyDescent="0.35">
      <c r="A109" s="1" t="s">
        <v>192</v>
      </c>
      <c r="B109" s="1" t="s">
        <v>266</v>
      </c>
      <c r="D109" s="1" t="s">
        <v>267</v>
      </c>
      <c r="E109" s="1" t="s">
        <v>92</v>
      </c>
      <c r="H109" s="1">
        <v>-162</v>
      </c>
      <c r="I109" s="1">
        <f>IF(Table1[[#This Row],[Claim_Amount]]&lt;0,0,Table1[[#This Row],[Claim_Amount]])</f>
        <v>0</v>
      </c>
      <c r="J109" s="1" t="str">
        <f>IF(Table1[[#This Row],[Column1]]=0,"",Table1[[#This Row],[Column1]])</f>
        <v/>
      </c>
      <c r="K109" s="1" t="s">
        <v>1098</v>
      </c>
      <c r="M109" s="1" t="s">
        <v>36</v>
      </c>
      <c r="N109" s="1" t="s">
        <v>57</v>
      </c>
      <c r="P109" s="1" t="s">
        <v>19</v>
      </c>
    </row>
    <row r="110" spans="1:16" ht="15.75" customHeight="1" x14ac:dyDescent="0.35">
      <c r="A110" s="1" t="s">
        <v>66</v>
      </c>
      <c r="B110" s="1" t="s">
        <v>268</v>
      </c>
      <c r="D110" s="1" t="s">
        <v>269</v>
      </c>
      <c r="E110" s="1" t="s">
        <v>30</v>
      </c>
      <c r="G110" s="1" t="s">
        <v>61</v>
      </c>
      <c r="I110">
        <f>IF(Table1[[#This Row],[Claim_Amount]]&lt;0,0,Table1[[#This Row],[Claim_Amount]])</f>
        <v>0</v>
      </c>
      <c r="J110" t="str">
        <f>IF(Table1[[#This Row],[Column1]]=0,"",Table1[[#This Row],[Column1]])</f>
        <v/>
      </c>
      <c r="K110" t="s">
        <v>1098</v>
      </c>
      <c r="M110" s="1" t="s">
        <v>17</v>
      </c>
      <c r="N110" s="1" t="s">
        <v>49</v>
      </c>
      <c r="P110" s="1" t="s">
        <v>37</v>
      </c>
    </row>
    <row r="111" spans="1:16" ht="15.75" customHeight="1" x14ac:dyDescent="0.35">
      <c r="A111" s="1" t="s">
        <v>148</v>
      </c>
      <c r="B111" s="1" t="s">
        <v>270</v>
      </c>
      <c r="C111" s="1" t="s">
        <v>271</v>
      </c>
      <c r="D111" s="1" t="s">
        <v>272</v>
      </c>
      <c r="E111" s="1" t="s">
        <v>35</v>
      </c>
      <c r="F111" s="1" t="s">
        <v>53</v>
      </c>
      <c r="G111" s="1" t="s">
        <v>54</v>
      </c>
      <c r="H111" s="1">
        <v>-54</v>
      </c>
      <c r="I111" s="1">
        <f>IF(Table1[[#This Row],[Claim_Amount]]&lt;0,0,Table1[[#This Row],[Claim_Amount]])</f>
        <v>0</v>
      </c>
      <c r="J111" s="1" t="str">
        <f>IF(Table1[[#This Row],[Column1]]=0,"",Table1[[#This Row],[Column1]])</f>
        <v/>
      </c>
      <c r="K111" s="1" t="s">
        <v>1098</v>
      </c>
      <c r="M111" s="1" t="s">
        <v>36</v>
      </c>
      <c r="N111" s="1" t="s">
        <v>32</v>
      </c>
      <c r="P111" s="1" t="s">
        <v>27</v>
      </c>
    </row>
    <row r="112" spans="1:16" ht="15.75" customHeight="1" x14ac:dyDescent="0.35">
      <c r="A112" s="1" t="s">
        <v>110</v>
      </c>
      <c r="B112" s="1" t="s">
        <v>273</v>
      </c>
      <c r="D112" s="1" t="s">
        <v>274</v>
      </c>
      <c r="E112" s="1" t="s">
        <v>22</v>
      </c>
      <c r="F112" s="1" t="s">
        <v>31</v>
      </c>
      <c r="H112" s="1">
        <v>-190</v>
      </c>
      <c r="I112" s="1">
        <f>IF(Table1[[#This Row],[Claim_Amount]]&lt;0,0,Table1[[#This Row],[Claim_Amount]])</f>
        <v>0</v>
      </c>
      <c r="J112" s="1" t="str">
        <f>IF(Table1[[#This Row],[Column1]]=0,"",Table1[[#This Row],[Column1]])</f>
        <v/>
      </c>
      <c r="K112" s="1" t="s">
        <v>1098</v>
      </c>
      <c r="M112" s="1" t="s">
        <v>36</v>
      </c>
      <c r="N112" s="1" t="s">
        <v>32</v>
      </c>
      <c r="O112" s="1">
        <v>18</v>
      </c>
    </row>
    <row r="113" spans="1:16" ht="15.75" customHeight="1" x14ac:dyDescent="0.35">
      <c r="A113" s="1" t="s">
        <v>275</v>
      </c>
      <c r="D113" s="1" t="s">
        <v>276</v>
      </c>
      <c r="E113" s="1" t="s">
        <v>35</v>
      </c>
      <c r="F113" s="1" t="s">
        <v>23</v>
      </c>
      <c r="G113" s="1" t="s">
        <v>41</v>
      </c>
      <c r="I113">
        <f>IF(Table1[[#This Row],[Claim_Amount]]&lt;0,0,Table1[[#This Row],[Claim_Amount]])</f>
        <v>0</v>
      </c>
      <c r="J113" t="str">
        <f>IF(Table1[[#This Row],[Column1]]=0,"",Table1[[#This Row],[Column1]])</f>
        <v/>
      </c>
      <c r="K113" t="s">
        <v>1098</v>
      </c>
      <c r="L113" s="1">
        <v>3749.33</v>
      </c>
      <c r="M113" s="1" t="s">
        <v>17</v>
      </c>
      <c r="N113" s="1" t="s">
        <v>57</v>
      </c>
      <c r="P113" s="1" t="s">
        <v>27</v>
      </c>
    </row>
    <row r="114" spans="1:16" ht="15.75" customHeight="1" x14ac:dyDescent="0.35">
      <c r="A114" s="1" t="s">
        <v>277</v>
      </c>
      <c r="C114" s="1" t="s">
        <v>278</v>
      </c>
      <c r="D114" s="1" t="s">
        <v>279</v>
      </c>
      <c r="E114" s="1" t="s">
        <v>85</v>
      </c>
      <c r="G114" s="1" t="s">
        <v>24</v>
      </c>
      <c r="I114">
        <f>IF(Table1[[#This Row],[Claim_Amount]]&lt;0,0,Table1[[#This Row],[Claim_Amount]])</f>
        <v>0</v>
      </c>
      <c r="J114" t="str">
        <f>IF(Table1[[#This Row],[Column1]]=0,"",Table1[[#This Row],[Column1]])</f>
        <v/>
      </c>
      <c r="K114" t="s">
        <v>1098</v>
      </c>
      <c r="L114" s="1">
        <v>3600.92</v>
      </c>
      <c r="M114" s="1" t="s">
        <v>17</v>
      </c>
      <c r="N114" s="1" t="s">
        <v>26</v>
      </c>
      <c r="O114" s="1">
        <v>35</v>
      </c>
      <c r="P114" s="1" t="s">
        <v>37</v>
      </c>
    </row>
    <row r="115" spans="1:16" ht="15.75" customHeight="1" x14ac:dyDescent="0.35">
      <c r="A115" s="1" t="s">
        <v>43</v>
      </c>
      <c r="C115" s="1" t="s">
        <v>130</v>
      </c>
      <c r="D115" s="1" t="s">
        <v>248</v>
      </c>
      <c r="E115" s="1" t="s">
        <v>16</v>
      </c>
      <c r="F115" s="1" t="s">
        <v>23</v>
      </c>
      <c r="H115" s="1">
        <v>2891.96</v>
      </c>
      <c r="I115" s="1">
        <f>IF(Table1[[#This Row],[Claim_Amount]]&lt;0,0,Table1[[#This Row],[Claim_Amount]])</f>
        <v>2891.96</v>
      </c>
      <c r="J115" s="1">
        <f>IF(Table1[[#This Row],[Column1]]=0,"",Table1[[#This Row],[Column1]])</f>
        <v>2891.96</v>
      </c>
      <c r="K115" s="1">
        <v>2891.96</v>
      </c>
      <c r="L115" s="1">
        <v>4570.49</v>
      </c>
      <c r="M115" s="1" t="s">
        <v>121</v>
      </c>
      <c r="N115" s="1" t="s">
        <v>18</v>
      </c>
      <c r="O115" s="1">
        <v>59</v>
      </c>
      <c r="P115" s="1" t="s">
        <v>37</v>
      </c>
    </row>
    <row r="116" spans="1:16" ht="15.75" customHeight="1" x14ac:dyDescent="0.35">
      <c r="A116" s="1" t="s">
        <v>179</v>
      </c>
      <c r="B116" s="1" t="s">
        <v>280</v>
      </c>
      <c r="D116" s="1" t="s">
        <v>281</v>
      </c>
      <c r="E116" s="1" t="s">
        <v>30</v>
      </c>
      <c r="F116" s="1" t="s">
        <v>23</v>
      </c>
      <c r="G116" s="1" t="s">
        <v>41</v>
      </c>
      <c r="H116" s="1">
        <v>-174</v>
      </c>
      <c r="I116" s="1">
        <f>IF(Table1[[#This Row],[Claim_Amount]]&lt;0,0,Table1[[#This Row],[Claim_Amount]])</f>
        <v>0</v>
      </c>
      <c r="J116" s="1" t="str">
        <f>IF(Table1[[#This Row],[Column1]]=0,"",Table1[[#This Row],[Column1]])</f>
        <v/>
      </c>
      <c r="K116" s="1" t="s">
        <v>1098</v>
      </c>
      <c r="L116" s="1">
        <v>4451.84</v>
      </c>
      <c r="M116" s="1" t="s">
        <v>36</v>
      </c>
      <c r="N116" s="1" t="s">
        <v>49</v>
      </c>
      <c r="O116" s="1">
        <v>17</v>
      </c>
      <c r="P116" s="1" t="s">
        <v>19</v>
      </c>
    </row>
    <row r="117" spans="1:16" ht="15.75" customHeight="1" x14ac:dyDescent="0.35">
      <c r="A117" s="1" t="s">
        <v>114</v>
      </c>
      <c r="D117" s="1" t="s">
        <v>282</v>
      </c>
      <c r="E117" s="1" t="s">
        <v>30</v>
      </c>
      <c r="G117" s="1" t="s">
        <v>24</v>
      </c>
      <c r="H117" s="1">
        <v>-173</v>
      </c>
      <c r="I117" s="1">
        <f>IF(Table1[[#This Row],[Claim_Amount]]&lt;0,0,Table1[[#This Row],[Claim_Amount]])</f>
        <v>0</v>
      </c>
      <c r="J117" s="1" t="str">
        <f>IF(Table1[[#This Row],[Column1]]=0,"",Table1[[#This Row],[Column1]])</f>
        <v/>
      </c>
      <c r="K117" s="1" t="s">
        <v>1098</v>
      </c>
      <c r="M117" s="1" t="s">
        <v>42</v>
      </c>
      <c r="N117" s="1" t="s">
        <v>26</v>
      </c>
      <c r="P117" s="1" t="s">
        <v>19</v>
      </c>
    </row>
    <row r="118" spans="1:16" ht="15.75" customHeight="1" x14ac:dyDescent="0.35">
      <c r="A118" s="1" t="s">
        <v>102</v>
      </c>
      <c r="C118" s="1" t="s">
        <v>139</v>
      </c>
      <c r="D118" s="1" t="s">
        <v>283</v>
      </c>
      <c r="E118" s="1" t="s">
        <v>77</v>
      </c>
      <c r="F118" s="1" t="s">
        <v>31</v>
      </c>
      <c r="G118" s="1" t="s">
        <v>41</v>
      </c>
      <c r="H118" s="1">
        <v>1544.63</v>
      </c>
      <c r="I118" s="1">
        <f>IF(Table1[[#This Row],[Claim_Amount]]&lt;0,0,Table1[[#This Row],[Claim_Amount]])</f>
        <v>1544.63</v>
      </c>
      <c r="J118" s="1">
        <f>IF(Table1[[#This Row],[Column1]]=0,"",Table1[[#This Row],[Column1]])</f>
        <v>1544.63</v>
      </c>
      <c r="K118" s="1">
        <v>1544.63</v>
      </c>
      <c r="M118" s="1" t="s">
        <v>17</v>
      </c>
      <c r="N118" s="1" t="s">
        <v>26</v>
      </c>
      <c r="O118" s="1">
        <v>42</v>
      </c>
      <c r="P118" s="1" t="s">
        <v>37</v>
      </c>
    </row>
    <row r="119" spans="1:16" ht="15.75" customHeight="1" x14ac:dyDescent="0.35">
      <c r="A119" s="1" t="s">
        <v>192</v>
      </c>
      <c r="D119" s="1" t="s">
        <v>284</v>
      </c>
      <c r="E119" s="1" t="s">
        <v>92</v>
      </c>
      <c r="F119" s="1" t="s">
        <v>47</v>
      </c>
      <c r="G119" s="1" t="s">
        <v>24</v>
      </c>
      <c r="H119" s="1">
        <v>-44</v>
      </c>
      <c r="I119" s="1">
        <f>IF(Table1[[#This Row],[Claim_Amount]]&lt;0,0,Table1[[#This Row],[Claim_Amount]])</f>
        <v>0</v>
      </c>
      <c r="J119" s="1" t="str">
        <f>IF(Table1[[#This Row],[Column1]]=0,"",Table1[[#This Row],[Column1]])</f>
        <v/>
      </c>
      <c r="K119" s="1" t="s">
        <v>1098</v>
      </c>
      <c r="M119" s="1" t="s">
        <v>36</v>
      </c>
      <c r="N119" s="1" t="s">
        <v>32</v>
      </c>
    </row>
    <row r="120" spans="1:16" ht="15.75" customHeight="1" x14ac:dyDescent="0.35">
      <c r="A120" s="1" t="s">
        <v>285</v>
      </c>
      <c r="C120" s="1" t="s">
        <v>158</v>
      </c>
      <c r="D120" s="1" t="s">
        <v>286</v>
      </c>
      <c r="E120" s="1" t="s">
        <v>30</v>
      </c>
      <c r="F120" s="1" t="s">
        <v>53</v>
      </c>
      <c r="G120" s="1" t="s">
        <v>54</v>
      </c>
      <c r="H120" s="1">
        <v>3533.64</v>
      </c>
      <c r="I120" s="1">
        <f>IF(Table1[[#This Row],[Claim_Amount]]&lt;0,0,Table1[[#This Row],[Claim_Amount]])</f>
        <v>3533.64</v>
      </c>
      <c r="J120" s="1">
        <f>IF(Table1[[#This Row],[Column1]]=0,"",Table1[[#This Row],[Column1]])</f>
        <v>3533.64</v>
      </c>
      <c r="K120" s="1">
        <v>3533.64</v>
      </c>
      <c r="M120" s="1" t="s">
        <v>36</v>
      </c>
      <c r="N120" s="1" t="s">
        <v>18</v>
      </c>
      <c r="P120" s="1" t="s">
        <v>65</v>
      </c>
    </row>
    <row r="121" spans="1:16" ht="15.75" customHeight="1" x14ac:dyDescent="0.35">
      <c r="A121" s="1" t="s">
        <v>132</v>
      </c>
      <c r="C121" s="1" t="s">
        <v>218</v>
      </c>
      <c r="D121" s="1" t="s">
        <v>287</v>
      </c>
      <c r="E121" s="1" t="s">
        <v>16</v>
      </c>
      <c r="F121" s="1" t="s">
        <v>47</v>
      </c>
      <c r="G121" s="1" t="s">
        <v>48</v>
      </c>
      <c r="I121">
        <f>IF(Table1[[#This Row],[Claim_Amount]]&lt;0,0,Table1[[#This Row],[Claim_Amount]])</f>
        <v>0</v>
      </c>
      <c r="J121" t="str">
        <f>IF(Table1[[#This Row],[Column1]]=0,"",Table1[[#This Row],[Column1]])</f>
        <v/>
      </c>
      <c r="K121" t="s">
        <v>1098</v>
      </c>
      <c r="M121" s="1" t="s">
        <v>36</v>
      </c>
      <c r="N121" s="1" t="s">
        <v>26</v>
      </c>
      <c r="P121" s="1" t="s">
        <v>27</v>
      </c>
    </row>
    <row r="122" spans="1:16" ht="15.75" customHeight="1" x14ac:dyDescent="0.35">
      <c r="A122" s="1" t="s">
        <v>168</v>
      </c>
      <c r="C122" s="1" t="s">
        <v>177</v>
      </c>
      <c r="D122" s="1" t="s">
        <v>288</v>
      </c>
      <c r="E122" s="1" t="s">
        <v>77</v>
      </c>
      <c r="F122" s="1" t="s">
        <v>31</v>
      </c>
      <c r="H122" s="1">
        <v>365.61</v>
      </c>
      <c r="I122" s="1">
        <f>IF(Table1[[#This Row],[Claim_Amount]]&lt;0,0,Table1[[#This Row],[Claim_Amount]])</f>
        <v>365.61</v>
      </c>
      <c r="J122" s="1">
        <f>IF(Table1[[#This Row],[Column1]]=0,"",Table1[[#This Row],[Column1]])</f>
        <v>365.61</v>
      </c>
      <c r="K122" s="1">
        <v>365.61</v>
      </c>
      <c r="M122" s="1" t="s">
        <v>25</v>
      </c>
      <c r="N122" s="1" t="s">
        <v>32</v>
      </c>
      <c r="O122" s="1">
        <v>26</v>
      </c>
      <c r="P122" s="1" t="s">
        <v>65</v>
      </c>
    </row>
    <row r="123" spans="1:16" ht="15.75" customHeight="1" x14ac:dyDescent="0.35">
      <c r="A123" s="1" t="s">
        <v>202</v>
      </c>
      <c r="D123" s="1" t="s">
        <v>289</v>
      </c>
      <c r="E123" s="1" t="s">
        <v>77</v>
      </c>
      <c r="F123" s="1" t="s">
        <v>23</v>
      </c>
      <c r="I123">
        <f>IF(Table1[[#This Row],[Claim_Amount]]&lt;0,0,Table1[[#This Row],[Claim_Amount]])</f>
        <v>0</v>
      </c>
      <c r="J123" t="str">
        <f>IF(Table1[[#This Row],[Column1]]=0,"",Table1[[#This Row],[Column1]])</f>
        <v/>
      </c>
      <c r="K123" t="s">
        <v>1098</v>
      </c>
      <c r="M123" s="1" t="s">
        <v>25</v>
      </c>
      <c r="N123" s="1" t="s">
        <v>18</v>
      </c>
    </row>
    <row r="124" spans="1:16" ht="15.75" customHeight="1" x14ac:dyDescent="0.35">
      <c r="A124" s="1" t="s">
        <v>277</v>
      </c>
      <c r="B124" s="1" t="s">
        <v>270</v>
      </c>
      <c r="C124" s="1" t="s">
        <v>290</v>
      </c>
      <c r="D124" s="1" t="s">
        <v>291</v>
      </c>
      <c r="E124" s="1" t="s">
        <v>30</v>
      </c>
      <c r="F124" s="1" t="s">
        <v>53</v>
      </c>
      <c r="G124" s="1" t="s">
        <v>54</v>
      </c>
      <c r="I124">
        <f>IF(Table1[[#This Row],[Claim_Amount]]&lt;0,0,Table1[[#This Row],[Claim_Amount]])</f>
        <v>0</v>
      </c>
      <c r="J124" t="str">
        <f>IF(Table1[[#This Row],[Column1]]=0,"",Table1[[#This Row],[Column1]])</f>
        <v/>
      </c>
      <c r="K124" t="s">
        <v>1098</v>
      </c>
      <c r="L124" s="1">
        <v>2330.1</v>
      </c>
      <c r="M124" s="1" t="s">
        <v>42</v>
      </c>
      <c r="N124" s="1" t="s">
        <v>18</v>
      </c>
      <c r="P124" s="1" t="s">
        <v>19</v>
      </c>
    </row>
    <row r="125" spans="1:16" ht="15.75" customHeight="1" x14ac:dyDescent="0.35">
      <c r="A125" s="1" t="s">
        <v>166</v>
      </c>
      <c r="C125" s="1" t="s">
        <v>263</v>
      </c>
      <c r="D125" s="1" t="s">
        <v>292</v>
      </c>
      <c r="E125" s="1" t="s">
        <v>30</v>
      </c>
      <c r="F125" s="1" t="s">
        <v>23</v>
      </c>
      <c r="G125" s="1" t="s">
        <v>48</v>
      </c>
      <c r="H125" s="1">
        <v>3009.04</v>
      </c>
      <c r="I125" s="1">
        <f>IF(Table1[[#This Row],[Claim_Amount]]&lt;0,0,Table1[[#This Row],[Claim_Amount]])</f>
        <v>3009.04</v>
      </c>
      <c r="J125" s="1">
        <f>IF(Table1[[#This Row],[Column1]]=0,"",Table1[[#This Row],[Column1]])</f>
        <v>3009.04</v>
      </c>
      <c r="K125" s="1">
        <v>3009.04</v>
      </c>
      <c r="L125" s="1">
        <v>1261.43</v>
      </c>
      <c r="M125" s="1" t="s">
        <v>121</v>
      </c>
      <c r="N125" s="1" t="s">
        <v>49</v>
      </c>
      <c r="P125" s="1" t="s">
        <v>65</v>
      </c>
    </row>
    <row r="126" spans="1:16" ht="15.75" customHeight="1" x14ac:dyDescent="0.35">
      <c r="A126" s="1" t="s">
        <v>231</v>
      </c>
      <c r="B126" s="1" t="s">
        <v>293</v>
      </c>
      <c r="D126" s="1" t="s">
        <v>294</v>
      </c>
      <c r="E126" s="1" t="s">
        <v>30</v>
      </c>
      <c r="G126" s="1" t="s">
        <v>41</v>
      </c>
      <c r="I126">
        <f>IF(Table1[[#This Row],[Claim_Amount]]&lt;0,0,Table1[[#This Row],[Claim_Amount]])</f>
        <v>0</v>
      </c>
      <c r="J126" t="str">
        <f>IF(Table1[[#This Row],[Column1]]=0,"",Table1[[#This Row],[Column1]])</f>
        <v/>
      </c>
      <c r="K126" t="s">
        <v>1098</v>
      </c>
      <c r="M126" s="1" t="s">
        <v>25</v>
      </c>
      <c r="N126" s="1" t="s">
        <v>57</v>
      </c>
      <c r="P126" s="1" t="s">
        <v>65</v>
      </c>
    </row>
    <row r="127" spans="1:16" ht="15.75" customHeight="1" x14ac:dyDescent="0.35">
      <c r="A127" s="1" t="s">
        <v>13</v>
      </c>
      <c r="D127" s="1" t="s">
        <v>295</v>
      </c>
      <c r="E127" s="1" t="s">
        <v>77</v>
      </c>
      <c r="F127" s="1" t="s">
        <v>47</v>
      </c>
      <c r="G127" s="1" t="s">
        <v>41</v>
      </c>
      <c r="I127">
        <f>IF(Table1[[#This Row],[Claim_Amount]]&lt;0,0,Table1[[#This Row],[Claim_Amount]])</f>
        <v>0</v>
      </c>
      <c r="J127" t="str">
        <f>IF(Table1[[#This Row],[Column1]]=0,"",Table1[[#This Row],[Column1]])</f>
        <v/>
      </c>
      <c r="K127" t="s">
        <v>1098</v>
      </c>
      <c r="L127" s="1">
        <v>1534.45</v>
      </c>
      <c r="M127" s="1" t="s">
        <v>36</v>
      </c>
      <c r="N127" s="1" t="s">
        <v>49</v>
      </c>
      <c r="O127" s="1">
        <v>15</v>
      </c>
      <c r="P127" s="1" t="s">
        <v>27</v>
      </c>
    </row>
    <row r="128" spans="1:16" ht="15.75" customHeight="1" x14ac:dyDescent="0.35">
      <c r="A128" s="1" t="s">
        <v>137</v>
      </c>
      <c r="D128" s="1" t="s">
        <v>296</v>
      </c>
      <c r="E128" s="1" t="s">
        <v>77</v>
      </c>
      <c r="F128" s="1" t="s">
        <v>93</v>
      </c>
      <c r="G128" s="1" t="s">
        <v>41</v>
      </c>
      <c r="H128" s="1">
        <v>1056.52</v>
      </c>
      <c r="I128" s="1">
        <f>IF(Table1[[#This Row],[Claim_Amount]]&lt;0,0,Table1[[#This Row],[Claim_Amount]])</f>
        <v>1056.52</v>
      </c>
      <c r="J128" s="1">
        <f>IF(Table1[[#This Row],[Column1]]=0,"",Table1[[#This Row],[Column1]])</f>
        <v>1056.52</v>
      </c>
      <c r="K128" s="1">
        <v>1056.52</v>
      </c>
      <c r="M128" s="1" t="s">
        <v>25</v>
      </c>
      <c r="N128" s="1" t="s">
        <v>57</v>
      </c>
      <c r="O128" s="1">
        <v>46</v>
      </c>
      <c r="P128" s="1" t="s">
        <v>19</v>
      </c>
    </row>
    <row r="129" spans="1:16" ht="15.75" customHeight="1" x14ac:dyDescent="0.35">
      <c r="A129" s="1" t="s">
        <v>38</v>
      </c>
      <c r="C129" s="1" t="s">
        <v>161</v>
      </c>
      <c r="D129" s="1" t="s">
        <v>297</v>
      </c>
      <c r="E129" s="1" t="s">
        <v>35</v>
      </c>
      <c r="F129" s="1" t="s">
        <v>47</v>
      </c>
      <c r="G129" s="1" t="s">
        <v>24</v>
      </c>
      <c r="I129">
        <f>IF(Table1[[#This Row],[Claim_Amount]]&lt;0,0,Table1[[#This Row],[Claim_Amount]])</f>
        <v>0</v>
      </c>
      <c r="J129" t="str">
        <f>IF(Table1[[#This Row],[Column1]]=0,"",Table1[[#This Row],[Column1]])</f>
        <v/>
      </c>
      <c r="K129" t="s">
        <v>1098</v>
      </c>
      <c r="L129" s="1">
        <v>4787.25</v>
      </c>
      <c r="M129" s="1" t="s">
        <v>17</v>
      </c>
      <c r="N129" s="1" t="s">
        <v>18</v>
      </c>
      <c r="O129" s="1">
        <v>47</v>
      </c>
      <c r="P129" s="1" t="s">
        <v>37</v>
      </c>
    </row>
    <row r="130" spans="1:16" ht="15.75" customHeight="1" x14ac:dyDescent="0.35">
      <c r="A130" s="1" t="s">
        <v>170</v>
      </c>
      <c r="C130" s="1" t="s">
        <v>271</v>
      </c>
      <c r="D130" s="1" t="s">
        <v>298</v>
      </c>
      <c r="E130" s="1" t="s">
        <v>22</v>
      </c>
      <c r="F130" s="1" t="s">
        <v>31</v>
      </c>
      <c r="G130" s="1" t="s">
        <v>48</v>
      </c>
      <c r="I130">
        <f>IF(Table1[[#This Row],[Claim_Amount]]&lt;0,0,Table1[[#This Row],[Claim_Amount]])</f>
        <v>0</v>
      </c>
      <c r="J130" t="str">
        <f>IF(Table1[[#This Row],[Column1]]=0,"",Table1[[#This Row],[Column1]])</f>
        <v/>
      </c>
      <c r="K130" t="s">
        <v>1098</v>
      </c>
      <c r="M130" s="1" t="s">
        <v>36</v>
      </c>
      <c r="N130" s="1" t="s">
        <v>49</v>
      </c>
      <c r="O130" s="1">
        <v>29</v>
      </c>
      <c r="P130" s="1" t="s">
        <v>37</v>
      </c>
    </row>
    <row r="131" spans="1:16" ht="15.75" customHeight="1" x14ac:dyDescent="0.35">
      <c r="A131" s="1" t="s">
        <v>231</v>
      </c>
      <c r="B131" s="1" t="s">
        <v>299</v>
      </c>
      <c r="D131" s="1" t="s">
        <v>300</v>
      </c>
      <c r="E131" s="1" t="s">
        <v>35</v>
      </c>
      <c r="F131" s="1" t="s">
        <v>93</v>
      </c>
      <c r="G131" s="1" t="s">
        <v>61</v>
      </c>
      <c r="H131" s="1">
        <v>-159</v>
      </c>
      <c r="I131" s="1">
        <f>IF(Table1[[#This Row],[Claim_Amount]]&lt;0,0,Table1[[#This Row],[Claim_Amount]])</f>
        <v>0</v>
      </c>
      <c r="J131" s="1" t="str">
        <f>IF(Table1[[#This Row],[Column1]]=0,"",Table1[[#This Row],[Column1]])</f>
        <v/>
      </c>
      <c r="K131" s="1" t="s">
        <v>1098</v>
      </c>
      <c r="L131" s="1">
        <v>1511.2</v>
      </c>
      <c r="M131" s="1" t="s">
        <v>42</v>
      </c>
      <c r="N131" s="1" t="s">
        <v>18</v>
      </c>
      <c r="P131" s="1" t="s">
        <v>65</v>
      </c>
    </row>
    <row r="132" spans="1:16" ht="15.75" customHeight="1" x14ac:dyDescent="0.35">
      <c r="A132" s="1" t="s">
        <v>117</v>
      </c>
      <c r="D132" s="1" t="s">
        <v>301</v>
      </c>
      <c r="E132" s="1" t="s">
        <v>77</v>
      </c>
      <c r="F132" s="1" t="s">
        <v>53</v>
      </c>
      <c r="G132" s="1" t="s">
        <v>24</v>
      </c>
      <c r="I132">
        <f>IF(Table1[[#This Row],[Claim_Amount]]&lt;0,0,Table1[[#This Row],[Claim_Amount]])</f>
        <v>0</v>
      </c>
      <c r="J132" t="str">
        <f>IF(Table1[[#This Row],[Column1]]=0,"",Table1[[#This Row],[Column1]])</f>
        <v/>
      </c>
      <c r="K132" t="s">
        <v>1098</v>
      </c>
      <c r="M132" s="1" t="s">
        <v>121</v>
      </c>
      <c r="N132" s="1" t="s">
        <v>18</v>
      </c>
      <c r="P132" s="1" t="s">
        <v>19</v>
      </c>
    </row>
    <row r="133" spans="1:16" ht="15.75" customHeight="1" x14ac:dyDescent="0.35">
      <c r="A133" s="1" t="s">
        <v>302</v>
      </c>
      <c r="B133" s="1" t="s">
        <v>303</v>
      </c>
      <c r="C133" s="1" t="s">
        <v>158</v>
      </c>
      <c r="D133" s="1" t="s">
        <v>304</v>
      </c>
      <c r="E133" s="1" t="s">
        <v>85</v>
      </c>
      <c r="F133" s="1" t="s">
        <v>23</v>
      </c>
      <c r="H133" s="1">
        <v>-65</v>
      </c>
      <c r="I133" s="1">
        <f>IF(Table1[[#This Row],[Claim_Amount]]&lt;0,0,Table1[[#This Row],[Claim_Amount]])</f>
        <v>0</v>
      </c>
      <c r="J133" s="1" t="str">
        <f>IF(Table1[[#This Row],[Column1]]=0,"",Table1[[#This Row],[Column1]])</f>
        <v/>
      </c>
      <c r="K133" s="1" t="s">
        <v>1098</v>
      </c>
      <c r="M133" s="1" t="s">
        <v>36</v>
      </c>
      <c r="N133" s="1" t="s">
        <v>49</v>
      </c>
      <c r="P133" s="1" t="s">
        <v>19</v>
      </c>
    </row>
    <row r="134" spans="1:16" ht="15.75" customHeight="1" x14ac:dyDescent="0.35">
      <c r="A134" s="1" t="s">
        <v>89</v>
      </c>
      <c r="C134" s="1" t="s">
        <v>305</v>
      </c>
      <c r="D134" s="1" t="s">
        <v>306</v>
      </c>
      <c r="E134" s="1" t="s">
        <v>92</v>
      </c>
      <c r="F134" s="1" t="s">
        <v>23</v>
      </c>
      <c r="G134" s="1" t="s">
        <v>54</v>
      </c>
      <c r="H134" s="1">
        <v>-182</v>
      </c>
      <c r="I134" s="1">
        <f>IF(Table1[[#This Row],[Claim_Amount]]&lt;0,0,Table1[[#This Row],[Claim_Amount]])</f>
        <v>0</v>
      </c>
      <c r="J134" s="1" t="str">
        <f>IF(Table1[[#This Row],[Column1]]=0,"",Table1[[#This Row],[Column1]])</f>
        <v/>
      </c>
      <c r="K134" s="1" t="s">
        <v>1098</v>
      </c>
      <c r="L134" s="1">
        <v>4040.53</v>
      </c>
      <c r="M134" s="1" t="s">
        <v>25</v>
      </c>
      <c r="N134" s="1" t="s">
        <v>26</v>
      </c>
      <c r="O134" s="1">
        <v>33</v>
      </c>
      <c r="P134" s="1" t="s">
        <v>65</v>
      </c>
    </row>
    <row r="135" spans="1:16" ht="15.75" customHeight="1" x14ac:dyDescent="0.35">
      <c r="A135" s="1" t="s">
        <v>212</v>
      </c>
      <c r="D135" s="1" t="s">
        <v>307</v>
      </c>
      <c r="E135" s="1" t="s">
        <v>77</v>
      </c>
      <c r="F135" s="1" t="s">
        <v>53</v>
      </c>
      <c r="G135" s="1" t="s">
        <v>54</v>
      </c>
      <c r="I135">
        <f>IF(Table1[[#This Row],[Claim_Amount]]&lt;0,0,Table1[[#This Row],[Claim_Amount]])</f>
        <v>0</v>
      </c>
      <c r="J135" t="str">
        <f>IF(Table1[[#This Row],[Column1]]=0,"",Table1[[#This Row],[Column1]])</f>
        <v/>
      </c>
      <c r="K135" t="s">
        <v>1098</v>
      </c>
      <c r="L135" s="1">
        <v>1534.87</v>
      </c>
      <c r="M135" s="1" t="s">
        <v>25</v>
      </c>
      <c r="N135" s="1" t="s">
        <v>26</v>
      </c>
      <c r="P135" s="1" t="s">
        <v>37</v>
      </c>
    </row>
    <row r="136" spans="1:16" ht="15.75" customHeight="1" x14ac:dyDescent="0.35">
      <c r="A136" s="1" t="s">
        <v>20</v>
      </c>
      <c r="B136" s="1" t="s">
        <v>266</v>
      </c>
      <c r="C136" s="1" t="s">
        <v>308</v>
      </c>
      <c r="D136" s="1" t="s">
        <v>309</v>
      </c>
      <c r="E136" s="1" t="s">
        <v>22</v>
      </c>
      <c r="F136" s="1" t="s">
        <v>53</v>
      </c>
      <c r="H136" s="1">
        <v>3932.66</v>
      </c>
      <c r="I136" s="1">
        <f>IF(Table1[[#This Row],[Claim_Amount]]&lt;0,0,Table1[[#This Row],[Claim_Amount]])</f>
        <v>3932.66</v>
      </c>
      <c r="J136" s="1">
        <f>IF(Table1[[#This Row],[Column1]]=0,"",Table1[[#This Row],[Column1]])</f>
        <v>3932.66</v>
      </c>
      <c r="K136" s="1">
        <v>3932.66</v>
      </c>
      <c r="L136" s="1">
        <v>4479.22</v>
      </c>
      <c r="M136" s="1" t="s">
        <v>17</v>
      </c>
      <c r="N136" s="1" t="s">
        <v>18</v>
      </c>
    </row>
    <row r="137" spans="1:16" ht="15.75" customHeight="1" x14ac:dyDescent="0.35">
      <c r="A137" s="1" t="s">
        <v>285</v>
      </c>
      <c r="B137" s="1" t="s">
        <v>310</v>
      </c>
      <c r="D137" s="1" t="s">
        <v>311</v>
      </c>
      <c r="E137" s="1" t="s">
        <v>85</v>
      </c>
      <c r="F137" s="1" t="s">
        <v>31</v>
      </c>
      <c r="G137" s="1" t="s">
        <v>61</v>
      </c>
      <c r="I137">
        <f>IF(Table1[[#This Row],[Claim_Amount]]&lt;0,0,Table1[[#This Row],[Claim_Amount]])</f>
        <v>0</v>
      </c>
      <c r="J137" t="str">
        <f>IF(Table1[[#This Row],[Column1]]=0,"",Table1[[#This Row],[Column1]])</f>
        <v/>
      </c>
      <c r="K137" t="s">
        <v>1098</v>
      </c>
      <c r="M137" s="1" t="s">
        <v>121</v>
      </c>
      <c r="N137" s="1" t="s">
        <v>26</v>
      </c>
      <c r="O137" s="1">
        <v>19</v>
      </c>
    </row>
    <row r="138" spans="1:16" ht="15.75" customHeight="1" x14ac:dyDescent="0.35">
      <c r="A138" s="1" t="s">
        <v>170</v>
      </c>
      <c r="D138" s="1" t="s">
        <v>312</v>
      </c>
      <c r="E138" s="1" t="s">
        <v>16</v>
      </c>
      <c r="F138" s="1" t="s">
        <v>47</v>
      </c>
      <c r="H138" s="1">
        <v>4872.8999999999996</v>
      </c>
      <c r="I138" s="1">
        <f>IF(Table1[[#This Row],[Claim_Amount]]&lt;0,0,Table1[[#This Row],[Claim_Amount]])</f>
        <v>4872.8999999999996</v>
      </c>
      <c r="J138" s="1">
        <f>IF(Table1[[#This Row],[Column1]]=0,"",Table1[[#This Row],[Column1]])</f>
        <v>4872.8999999999996</v>
      </c>
      <c r="K138" s="1">
        <v>4872.8999999999996</v>
      </c>
      <c r="L138" s="1">
        <v>2213.59</v>
      </c>
      <c r="M138" s="1" t="s">
        <v>42</v>
      </c>
      <c r="N138" s="1" t="s">
        <v>57</v>
      </c>
    </row>
    <row r="139" spans="1:16" ht="15.75" customHeight="1" x14ac:dyDescent="0.35">
      <c r="A139" s="1" t="s">
        <v>78</v>
      </c>
      <c r="D139" s="1" t="s">
        <v>313</v>
      </c>
      <c r="E139" s="1" t="s">
        <v>30</v>
      </c>
      <c r="F139" s="1" t="s">
        <v>53</v>
      </c>
      <c r="G139" s="1" t="s">
        <v>48</v>
      </c>
      <c r="H139" s="1">
        <v>-159</v>
      </c>
      <c r="I139" s="1">
        <f>IF(Table1[[#This Row],[Claim_Amount]]&lt;0,0,Table1[[#This Row],[Claim_Amount]])</f>
        <v>0</v>
      </c>
      <c r="J139" s="1" t="str">
        <f>IF(Table1[[#This Row],[Column1]]=0,"",Table1[[#This Row],[Column1]])</f>
        <v/>
      </c>
      <c r="K139" s="1" t="s">
        <v>1098</v>
      </c>
      <c r="M139" s="1" t="s">
        <v>42</v>
      </c>
      <c r="N139" s="1" t="s">
        <v>18</v>
      </c>
      <c r="O139" s="1">
        <v>45</v>
      </c>
      <c r="P139" s="1" t="s">
        <v>19</v>
      </c>
    </row>
    <row r="140" spans="1:16" ht="15.75" customHeight="1" x14ac:dyDescent="0.35">
      <c r="A140" s="1" t="s">
        <v>38</v>
      </c>
      <c r="C140" s="1" t="s">
        <v>314</v>
      </c>
      <c r="D140" s="1" t="s">
        <v>315</v>
      </c>
      <c r="E140" s="1" t="s">
        <v>16</v>
      </c>
      <c r="F140" s="1" t="s">
        <v>23</v>
      </c>
      <c r="G140" s="1" t="s">
        <v>41</v>
      </c>
      <c r="H140" s="1">
        <v>2251.44</v>
      </c>
      <c r="I140" s="1">
        <f>IF(Table1[[#This Row],[Claim_Amount]]&lt;0,0,Table1[[#This Row],[Claim_Amount]])</f>
        <v>2251.44</v>
      </c>
      <c r="J140" s="1">
        <f>IF(Table1[[#This Row],[Column1]]=0,"",Table1[[#This Row],[Column1]])</f>
        <v>2251.44</v>
      </c>
      <c r="K140" s="1">
        <v>2251.44</v>
      </c>
      <c r="L140" s="1">
        <v>705.91</v>
      </c>
      <c r="M140" s="1" t="s">
        <v>121</v>
      </c>
      <c r="N140" s="1" t="s">
        <v>49</v>
      </c>
    </row>
    <row r="141" spans="1:16" ht="15.75" customHeight="1" x14ac:dyDescent="0.35">
      <c r="A141" s="1" t="s">
        <v>70</v>
      </c>
      <c r="B141" s="1" t="s">
        <v>316</v>
      </c>
      <c r="D141" s="1" t="s">
        <v>234</v>
      </c>
      <c r="E141" s="1" t="s">
        <v>22</v>
      </c>
      <c r="F141" s="1" t="s">
        <v>31</v>
      </c>
      <c r="G141" s="1" t="s">
        <v>48</v>
      </c>
      <c r="H141" s="1">
        <v>-115</v>
      </c>
      <c r="I141" s="1">
        <f>IF(Table1[[#This Row],[Claim_Amount]]&lt;0,0,Table1[[#This Row],[Claim_Amount]])</f>
        <v>0</v>
      </c>
      <c r="J141" s="1" t="str">
        <f>IF(Table1[[#This Row],[Column1]]=0,"",Table1[[#This Row],[Column1]])</f>
        <v/>
      </c>
      <c r="K141" s="1" t="s">
        <v>1098</v>
      </c>
      <c r="M141" s="1" t="s">
        <v>36</v>
      </c>
      <c r="N141" s="1" t="s">
        <v>18</v>
      </c>
      <c r="P141" s="1" t="s">
        <v>65</v>
      </c>
    </row>
    <row r="142" spans="1:16" ht="15.75" customHeight="1" x14ac:dyDescent="0.35">
      <c r="A142" s="1" t="s">
        <v>275</v>
      </c>
      <c r="B142" s="1" t="s">
        <v>317</v>
      </c>
      <c r="D142" s="1" t="s">
        <v>318</v>
      </c>
      <c r="E142" s="1" t="s">
        <v>16</v>
      </c>
      <c r="F142" s="1" t="s">
        <v>93</v>
      </c>
      <c r="G142" s="1" t="s">
        <v>48</v>
      </c>
      <c r="H142" s="1">
        <v>-86</v>
      </c>
      <c r="I142" s="1">
        <f>IF(Table1[[#This Row],[Claim_Amount]]&lt;0,0,Table1[[#This Row],[Claim_Amount]])</f>
        <v>0</v>
      </c>
      <c r="J142" s="1" t="str">
        <f>IF(Table1[[#This Row],[Column1]]=0,"",Table1[[#This Row],[Column1]])</f>
        <v/>
      </c>
      <c r="K142" s="1" t="s">
        <v>1098</v>
      </c>
      <c r="M142" s="1" t="s">
        <v>42</v>
      </c>
      <c r="N142" s="1" t="s">
        <v>18</v>
      </c>
      <c r="P142" s="1" t="s">
        <v>37</v>
      </c>
    </row>
    <row r="143" spans="1:16" ht="15.75" customHeight="1" x14ac:dyDescent="0.35">
      <c r="A143" s="1" t="s">
        <v>154</v>
      </c>
      <c r="B143" s="1" t="s">
        <v>319</v>
      </c>
      <c r="C143" s="1" t="s">
        <v>152</v>
      </c>
      <c r="D143" s="1" t="s">
        <v>320</v>
      </c>
      <c r="E143" s="1" t="s">
        <v>92</v>
      </c>
      <c r="F143" s="1" t="s">
        <v>47</v>
      </c>
      <c r="G143" s="1" t="s">
        <v>48</v>
      </c>
      <c r="H143" s="1">
        <v>-94</v>
      </c>
      <c r="I143" s="1">
        <f>IF(Table1[[#This Row],[Claim_Amount]]&lt;0,0,Table1[[#This Row],[Claim_Amount]])</f>
        <v>0</v>
      </c>
      <c r="J143" s="1" t="str">
        <f>IF(Table1[[#This Row],[Column1]]=0,"",Table1[[#This Row],[Column1]])</f>
        <v/>
      </c>
      <c r="K143" s="1" t="s">
        <v>1098</v>
      </c>
      <c r="M143" s="1" t="s">
        <v>36</v>
      </c>
      <c r="N143" s="1" t="s">
        <v>18</v>
      </c>
    </row>
    <row r="144" spans="1:16" ht="15.75" customHeight="1" x14ac:dyDescent="0.35">
      <c r="A144" s="1" t="s">
        <v>321</v>
      </c>
      <c r="C144" s="1" t="s">
        <v>258</v>
      </c>
      <c r="D144" s="1" t="s">
        <v>322</v>
      </c>
      <c r="E144" s="1" t="s">
        <v>35</v>
      </c>
      <c r="G144" s="1" t="s">
        <v>48</v>
      </c>
      <c r="I144">
        <f>IF(Table1[[#This Row],[Claim_Amount]]&lt;0,0,Table1[[#This Row],[Claim_Amount]])</f>
        <v>0</v>
      </c>
      <c r="J144" t="str">
        <f>IF(Table1[[#This Row],[Column1]]=0,"",Table1[[#This Row],[Column1]])</f>
        <v/>
      </c>
      <c r="K144" t="s">
        <v>1098</v>
      </c>
      <c r="M144" s="1" t="s">
        <v>42</v>
      </c>
      <c r="N144" s="1" t="s">
        <v>26</v>
      </c>
      <c r="P144" s="1" t="s">
        <v>65</v>
      </c>
    </row>
    <row r="145" spans="1:16" ht="15.75" customHeight="1" x14ac:dyDescent="0.35">
      <c r="A145" s="1" t="s">
        <v>66</v>
      </c>
      <c r="B145" s="1" t="s">
        <v>323</v>
      </c>
      <c r="C145" s="1" t="s">
        <v>135</v>
      </c>
      <c r="D145" s="1" t="s">
        <v>324</v>
      </c>
      <c r="E145" s="1" t="s">
        <v>22</v>
      </c>
      <c r="F145" s="1" t="s">
        <v>31</v>
      </c>
      <c r="H145" s="1">
        <v>-114</v>
      </c>
      <c r="I145" s="1">
        <f>IF(Table1[[#This Row],[Claim_Amount]]&lt;0,0,Table1[[#This Row],[Claim_Amount]])</f>
        <v>0</v>
      </c>
      <c r="J145" s="1" t="str">
        <f>IF(Table1[[#This Row],[Column1]]=0,"",Table1[[#This Row],[Column1]])</f>
        <v/>
      </c>
      <c r="K145" s="1" t="s">
        <v>1098</v>
      </c>
      <c r="M145" s="1" t="s">
        <v>17</v>
      </c>
      <c r="N145" s="1" t="s">
        <v>32</v>
      </c>
      <c r="O145" s="1">
        <v>42</v>
      </c>
      <c r="P145" s="1" t="s">
        <v>37</v>
      </c>
    </row>
    <row r="146" spans="1:16" ht="15.75" customHeight="1" x14ac:dyDescent="0.35">
      <c r="A146" s="1" t="s">
        <v>179</v>
      </c>
      <c r="B146" s="1" t="s">
        <v>325</v>
      </c>
      <c r="D146" s="1" t="s">
        <v>326</v>
      </c>
      <c r="E146" s="1" t="s">
        <v>22</v>
      </c>
      <c r="G146" s="1" t="s">
        <v>48</v>
      </c>
      <c r="H146" s="1">
        <v>2741.04</v>
      </c>
      <c r="I146" s="1">
        <f>IF(Table1[[#This Row],[Claim_Amount]]&lt;0,0,Table1[[#This Row],[Claim_Amount]])</f>
        <v>2741.04</v>
      </c>
      <c r="J146" s="1">
        <f>IF(Table1[[#This Row],[Column1]]=0,"",Table1[[#This Row],[Column1]])</f>
        <v>2741.04</v>
      </c>
      <c r="K146" s="1">
        <v>2741.04</v>
      </c>
      <c r="L146" s="1">
        <v>591.38</v>
      </c>
      <c r="M146" s="1" t="s">
        <v>42</v>
      </c>
      <c r="N146" s="1" t="s">
        <v>18</v>
      </c>
      <c r="P146" s="1" t="s">
        <v>19</v>
      </c>
    </row>
    <row r="147" spans="1:16" ht="15.75" customHeight="1" x14ac:dyDescent="0.35">
      <c r="A147" s="1" t="s">
        <v>209</v>
      </c>
      <c r="D147" s="1" t="s">
        <v>327</v>
      </c>
      <c r="E147" s="1" t="s">
        <v>16</v>
      </c>
      <c r="F147" s="1" t="s">
        <v>31</v>
      </c>
      <c r="G147" s="1" t="s">
        <v>24</v>
      </c>
      <c r="I147">
        <f>IF(Table1[[#This Row],[Claim_Amount]]&lt;0,0,Table1[[#This Row],[Claim_Amount]])</f>
        <v>0</v>
      </c>
      <c r="J147" t="str">
        <f>IF(Table1[[#This Row],[Column1]]=0,"",Table1[[#This Row],[Column1]])</f>
        <v/>
      </c>
      <c r="K147" t="s">
        <v>1098</v>
      </c>
      <c r="M147" s="1" t="s">
        <v>121</v>
      </c>
      <c r="N147" s="1" t="s">
        <v>57</v>
      </c>
      <c r="P147" s="1" t="s">
        <v>65</v>
      </c>
    </row>
    <row r="148" spans="1:16" ht="15.75" customHeight="1" x14ac:dyDescent="0.35">
      <c r="A148" s="1" t="s">
        <v>28</v>
      </c>
      <c r="D148" s="1" t="s">
        <v>328</v>
      </c>
      <c r="E148" s="1" t="s">
        <v>85</v>
      </c>
      <c r="F148" s="1" t="s">
        <v>31</v>
      </c>
      <c r="G148" s="1" t="s">
        <v>41</v>
      </c>
      <c r="H148" s="1">
        <v>-62</v>
      </c>
      <c r="I148" s="1">
        <f>IF(Table1[[#This Row],[Claim_Amount]]&lt;0,0,Table1[[#This Row],[Claim_Amount]])</f>
        <v>0</v>
      </c>
      <c r="J148" s="1" t="str">
        <f>IF(Table1[[#This Row],[Column1]]=0,"",Table1[[#This Row],[Column1]])</f>
        <v/>
      </c>
      <c r="K148" s="1" t="s">
        <v>1098</v>
      </c>
      <c r="L148" s="1">
        <v>1774.09</v>
      </c>
      <c r="M148" s="1" t="s">
        <v>121</v>
      </c>
      <c r="N148" s="1" t="s">
        <v>49</v>
      </c>
      <c r="O148" s="1">
        <v>20</v>
      </c>
      <c r="P148" s="1" t="s">
        <v>27</v>
      </c>
    </row>
    <row r="149" spans="1:16" ht="15.75" customHeight="1" x14ac:dyDescent="0.35">
      <c r="A149" s="1" t="s">
        <v>166</v>
      </c>
      <c r="B149" s="1" t="s">
        <v>329</v>
      </c>
      <c r="D149" s="1" t="s">
        <v>330</v>
      </c>
      <c r="E149" s="1" t="s">
        <v>35</v>
      </c>
      <c r="F149" s="1" t="s">
        <v>93</v>
      </c>
      <c r="G149" s="1" t="s">
        <v>54</v>
      </c>
      <c r="I149">
        <f>IF(Table1[[#This Row],[Claim_Amount]]&lt;0,0,Table1[[#This Row],[Claim_Amount]])</f>
        <v>0</v>
      </c>
      <c r="J149" t="str">
        <f>IF(Table1[[#This Row],[Column1]]=0,"",Table1[[#This Row],[Column1]])</f>
        <v/>
      </c>
      <c r="K149" t="s">
        <v>1098</v>
      </c>
      <c r="M149" s="1" t="s">
        <v>17</v>
      </c>
      <c r="N149" s="1" t="s">
        <v>49</v>
      </c>
      <c r="O149" s="1">
        <v>40</v>
      </c>
      <c r="P149" s="1" t="s">
        <v>65</v>
      </c>
    </row>
    <row r="150" spans="1:16" ht="15.75" customHeight="1" x14ac:dyDescent="0.35">
      <c r="A150" s="1" t="s">
        <v>13</v>
      </c>
      <c r="C150" s="1" t="s">
        <v>331</v>
      </c>
      <c r="D150" s="1" t="s">
        <v>332</v>
      </c>
      <c r="E150" s="1" t="s">
        <v>77</v>
      </c>
      <c r="F150" s="1" t="s">
        <v>53</v>
      </c>
      <c r="G150" s="1" t="s">
        <v>61</v>
      </c>
      <c r="I150">
        <f>IF(Table1[[#This Row],[Claim_Amount]]&lt;0,0,Table1[[#This Row],[Claim_Amount]])</f>
        <v>0</v>
      </c>
      <c r="J150" t="str">
        <f>IF(Table1[[#This Row],[Column1]]=0,"",Table1[[#This Row],[Column1]])</f>
        <v/>
      </c>
      <c r="K150" t="s">
        <v>1098</v>
      </c>
      <c r="L150" s="1">
        <v>3774.01</v>
      </c>
      <c r="M150" s="1" t="s">
        <v>36</v>
      </c>
      <c r="N150" s="1" t="s">
        <v>26</v>
      </c>
      <c r="P150" s="1" t="s">
        <v>65</v>
      </c>
    </row>
    <row r="151" spans="1:16" ht="15.75" customHeight="1" x14ac:dyDescent="0.35">
      <c r="A151" s="1" t="s">
        <v>242</v>
      </c>
      <c r="B151" s="1" t="s">
        <v>333</v>
      </c>
      <c r="C151" s="1" t="s">
        <v>152</v>
      </c>
      <c r="D151" s="1" t="s">
        <v>334</v>
      </c>
      <c r="E151" s="1" t="s">
        <v>35</v>
      </c>
      <c r="F151" s="1" t="s">
        <v>31</v>
      </c>
      <c r="G151" s="1" t="s">
        <v>54</v>
      </c>
      <c r="H151" s="1">
        <v>1973.76</v>
      </c>
      <c r="I151" s="1">
        <f>IF(Table1[[#This Row],[Claim_Amount]]&lt;0,0,Table1[[#This Row],[Claim_Amount]])</f>
        <v>1973.76</v>
      </c>
      <c r="J151" s="1">
        <f>IF(Table1[[#This Row],[Column1]]=0,"",Table1[[#This Row],[Column1]])</f>
        <v>1973.76</v>
      </c>
      <c r="K151" s="1">
        <v>1973.76</v>
      </c>
      <c r="M151" s="1" t="s">
        <v>36</v>
      </c>
      <c r="N151" s="1" t="s">
        <v>18</v>
      </c>
      <c r="P151" s="1" t="s">
        <v>27</v>
      </c>
    </row>
    <row r="152" spans="1:16" ht="15.75" customHeight="1" x14ac:dyDescent="0.35">
      <c r="A152" s="1" t="s">
        <v>110</v>
      </c>
      <c r="B152" s="1" t="s">
        <v>335</v>
      </c>
      <c r="C152" s="1" t="s">
        <v>243</v>
      </c>
      <c r="D152" s="1" t="s">
        <v>284</v>
      </c>
      <c r="E152" s="1" t="s">
        <v>16</v>
      </c>
      <c r="F152" s="1" t="s">
        <v>93</v>
      </c>
      <c r="G152" s="1" t="s">
        <v>41</v>
      </c>
      <c r="H152" s="1">
        <v>-140</v>
      </c>
      <c r="I152" s="1">
        <f>IF(Table1[[#This Row],[Claim_Amount]]&lt;0,0,Table1[[#This Row],[Claim_Amount]])</f>
        <v>0</v>
      </c>
      <c r="J152" s="1" t="str">
        <f>IF(Table1[[#This Row],[Column1]]=0,"",Table1[[#This Row],[Column1]])</f>
        <v/>
      </c>
      <c r="K152" s="1" t="s">
        <v>1098</v>
      </c>
      <c r="L152" s="1">
        <v>2120.2800000000002</v>
      </c>
      <c r="M152" s="1" t="s">
        <v>36</v>
      </c>
      <c r="N152" s="1" t="s">
        <v>49</v>
      </c>
      <c r="O152" s="1">
        <v>27</v>
      </c>
      <c r="P152" s="1" t="s">
        <v>37</v>
      </c>
    </row>
    <row r="153" spans="1:16" ht="15.75" customHeight="1" x14ac:dyDescent="0.35">
      <c r="A153" s="1" t="s">
        <v>13</v>
      </c>
      <c r="C153" s="1" t="s">
        <v>336</v>
      </c>
      <c r="D153" s="1" t="s">
        <v>337</v>
      </c>
      <c r="E153" s="1" t="s">
        <v>85</v>
      </c>
      <c r="F153" s="1" t="s">
        <v>93</v>
      </c>
      <c r="G153" s="1" t="s">
        <v>41</v>
      </c>
      <c r="H153" s="1">
        <v>4217.83</v>
      </c>
      <c r="I153" s="1">
        <f>IF(Table1[[#This Row],[Claim_Amount]]&lt;0,0,Table1[[#This Row],[Claim_Amount]])</f>
        <v>4217.83</v>
      </c>
      <c r="J153" s="1">
        <f>IF(Table1[[#This Row],[Column1]]=0,"",Table1[[#This Row],[Column1]])</f>
        <v>4217.83</v>
      </c>
      <c r="K153" s="1">
        <v>4217.83</v>
      </c>
      <c r="L153" s="1">
        <v>4334.34</v>
      </c>
      <c r="M153" s="1" t="s">
        <v>121</v>
      </c>
      <c r="N153" s="1" t="s">
        <v>18</v>
      </c>
    </row>
    <row r="154" spans="1:16" ht="15.75" customHeight="1" x14ac:dyDescent="0.35">
      <c r="A154" s="1" t="s">
        <v>163</v>
      </c>
      <c r="D154" s="1" t="s">
        <v>338</v>
      </c>
      <c r="E154" s="1" t="s">
        <v>85</v>
      </c>
      <c r="F154" s="1" t="s">
        <v>23</v>
      </c>
      <c r="G154" s="1" t="s">
        <v>54</v>
      </c>
      <c r="I154">
        <f>IF(Table1[[#This Row],[Claim_Amount]]&lt;0,0,Table1[[#This Row],[Claim_Amount]])</f>
        <v>0</v>
      </c>
      <c r="J154" t="str">
        <f>IF(Table1[[#This Row],[Column1]]=0,"",Table1[[#This Row],[Column1]])</f>
        <v/>
      </c>
      <c r="K154" t="s">
        <v>1098</v>
      </c>
      <c r="L154" s="1">
        <v>211.84</v>
      </c>
      <c r="M154" s="1" t="s">
        <v>36</v>
      </c>
      <c r="N154" s="1" t="s">
        <v>32</v>
      </c>
    </row>
    <row r="155" spans="1:16" ht="15.75" customHeight="1" x14ac:dyDescent="0.35">
      <c r="A155" s="1" t="s">
        <v>148</v>
      </c>
      <c r="C155" s="1" t="s">
        <v>228</v>
      </c>
      <c r="D155" s="1" t="s">
        <v>339</v>
      </c>
      <c r="E155" s="1" t="s">
        <v>22</v>
      </c>
      <c r="F155" s="1" t="s">
        <v>31</v>
      </c>
      <c r="G155" s="1" t="s">
        <v>54</v>
      </c>
      <c r="H155" s="1">
        <v>-20</v>
      </c>
      <c r="I155" s="1">
        <f>IF(Table1[[#This Row],[Claim_Amount]]&lt;0,0,Table1[[#This Row],[Claim_Amount]])</f>
        <v>0</v>
      </c>
      <c r="J155" s="1" t="str">
        <f>IF(Table1[[#This Row],[Column1]]=0,"",Table1[[#This Row],[Column1]])</f>
        <v/>
      </c>
      <c r="K155" s="1" t="s">
        <v>1098</v>
      </c>
      <c r="M155" s="1" t="s">
        <v>25</v>
      </c>
      <c r="N155" s="1" t="s">
        <v>18</v>
      </c>
      <c r="O155" s="1">
        <v>19</v>
      </c>
      <c r="P155" s="1" t="s">
        <v>37</v>
      </c>
    </row>
    <row r="156" spans="1:16" ht="15.75" customHeight="1" x14ac:dyDescent="0.35">
      <c r="A156" s="1" t="s">
        <v>247</v>
      </c>
      <c r="B156" s="1" t="s">
        <v>340</v>
      </c>
      <c r="C156" s="1" t="s">
        <v>218</v>
      </c>
      <c r="D156" s="1" t="s">
        <v>341</v>
      </c>
      <c r="E156" s="1" t="s">
        <v>92</v>
      </c>
      <c r="G156" s="1" t="s">
        <v>54</v>
      </c>
      <c r="I156">
        <f>IF(Table1[[#This Row],[Claim_Amount]]&lt;0,0,Table1[[#This Row],[Claim_Amount]])</f>
        <v>0</v>
      </c>
      <c r="J156" t="str">
        <f>IF(Table1[[#This Row],[Column1]]=0,"",Table1[[#This Row],[Column1]])</f>
        <v/>
      </c>
      <c r="K156" t="s">
        <v>1098</v>
      </c>
      <c r="L156" s="1">
        <v>3935</v>
      </c>
      <c r="M156" s="1" t="s">
        <v>25</v>
      </c>
      <c r="N156" s="1" t="s">
        <v>57</v>
      </c>
      <c r="P156" s="1" t="s">
        <v>27</v>
      </c>
    </row>
    <row r="157" spans="1:16" ht="15.75" customHeight="1" x14ac:dyDescent="0.35">
      <c r="A157" s="1" t="s">
        <v>154</v>
      </c>
      <c r="B157" s="1" t="s">
        <v>342</v>
      </c>
      <c r="D157" s="1" t="s">
        <v>343</v>
      </c>
      <c r="E157" s="1" t="s">
        <v>35</v>
      </c>
      <c r="F157" s="1" t="s">
        <v>23</v>
      </c>
      <c r="G157" s="1" t="s">
        <v>24</v>
      </c>
      <c r="H157" s="1">
        <v>4815.72</v>
      </c>
      <c r="I157" s="1">
        <f>IF(Table1[[#This Row],[Claim_Amount]]&lt;0,0,Table1[[#This Row],[Claim_Amount]])</f>
        <v>4815.72</v>
      </c>
      <c r="J157" s="1">
        <f>IF(Table1[[#This Row],[Column1]]=0,"",Table1[[#This Row],[Column1]])</f>
        <v>4815.72</v>
      </c>
      <c r="K157" s="1">
        <v>4815.72</v>
      </c>
      <c r="M157" s="1" t="s">
        <v>17</v>
      </c>
      <c r="N157" s="1" t="s">
        <v>18</v>
      </c>
      <c r="O157" s="1">
        <v>15</v>
      </c>
      <c r="P157" s="1" t="s">
        <v>27</v>
      </c>
    </row>
    <row r="158" spans="1:16" ht="15.75" customHeight="1" x14ac:dyDescent="0.35">
      <c r="A158" s="1" t="s">
        <v>170</v>
      </c>
      <c r="D158" s="1" t="s">
        <v>344</v>
      </c>
      <c r="E158" s="1" t="s">
        <v>35</v>
      </c>
      <c r="F158" s="1" t="s">
        <v>53</v>
      </c>
      <c r="G158" s="1" t="s">
        <v>48</v>
      </c>
      <c r="H158" s="1">
        <v>2287.36</v>
      </c>
      <c r="I158" s="1">
        <f>IF(Table1[[#This Row],[Claim_Amount]]&lt;0,0,Table1[[#This Row],[Claim_Amount]])</f>
        <v>2287.36</v>
      </c>
      <c r="J158" s="1">
        <f>IF(Table1[[#This Row],[Column1]]=0,"",Table1[[#This Row],[Column1]])</f>
        <v>2287.36</v>
      </c>
      <c r="K158" s="1">
        <v>2287.36</v>
      </c>
      <c r="M158" s="1" t="s">
        <v>42</v>
      </c>
      <c r="N158" s="1" t="s">
        <v>32</v>
      </c>
      <c r="P158" s="1" t="s">
        <v>27</v>
      </c>
    </row>
    <row r="159" spans="1:16" ht="15.75" customHeight="1" x14ac:dyDescent="0.35">
      <c r="A159" s="1" t="s">
        <v>66</v>
      </c>
      <c r="D159" s="1" t="s">
        <v>196</v>
      </c>
      <c r="E159" s="1" t="s">
        <v>22</v>
      </c>
      <c r="F159" s="1" t="s">
        <v>23</v>
      </c>
      <c r="G159" s="1" t="s">
        <v>54</v>
      </c>
      <c r="I159">
        <f>IF(Table1[[#This Row],[Claim_Amount]]&lt;0,0,Table1[[#This Row],[Claim_Amount]])</f>
        <v>0</v>
      </c>
      <c r="J159" t="str">
        <f>IF(Table1[[#This Row],[Column1]]=0,"",Table1[[#This Row],[Column1]])</f>
        <v/>
      </c>
      <c r="K159" t="s">
        <v>1098</v>
      </c>
      <c r="M159" s="1" t="s">
        <v>42</v>
      </c>
      <c r="N159" s="1" t="s">
        <v>32</v>
      </c>
      <c r="P159" s="1" t="s">
        <v>65</v>
      </c>
    </row>
    <row r="160" spans="1:16" ht="15.75" customHeight="1" x14ac:dyDescent="0.35">
      <c r="A160" s="1" t="s">
        <v>209</v>
      </c>
      <c r="C160" s="1" t="s">
        <v>135</v>
      </c>
      <c r="D160" s="1" t="s">
        <v>345</v>
      </c>
      <c r="E160" s="1" t="s">
        <v>16</v>
      </c>
      <c r="F160" s="1" t="s">
        <v>23</v>
      </c>
      <c r="G160" s="1" t="s">
        <v>24</v>
      </c>
      <c r="H160" s="1">
        <v>-10</v>
      </c>
      <c r="I160" s="1">
        <f>IF(Table1[[#This Row],[Claim_Amount]]&lt;0,0,Table1[[#This Row],[Claim_Amount]])</f>
        <v>0</v>
      </c>
      <c r="J160" s="1" t="str">
        <f>IF(Table1[[#This Row],[Column1]]=0,"",Table1[[#This Row],[Column1]])</f>
        <v/>
      </c>
      <c r="K160" s="1" t="s">
        <v>1098</v>
      </c>
      <c r="M160" s="1" t="s">
        <v>17</v>
      </c>
      <c r="N160" s="1" t="s">
        <v>32</v>
      </c>
      <c r="P160" s="1" t="s">
        <v>19</v>
      </c>
    </row>
    <row r="161" spans="1:16" ht="15.75" customHeight="1" x14ac:dyDescent="0.35">
      <c r="A161" s="1" t="s">
        <v>43</v>
      </c>
      <c r="D161" s="1" t="s">
        <v>346</v>
      </c>
      <c r="E161" s="1" t="s">
        <v>77</v>
      </c>
      <c r="G161" s="1" t="s">
        <v>41</v>
      </c>
      <c r="H161" s="1">
        <v>-69</v>
      </c>
      <c r="I161" s="1">
        <f>IF(Table1[[#This Row],[Claim_Amount]]&lt;0,0,Table1[[#This Row],[Claim_Amount]])</f>
        <v>0</v>
      </c>
      <c r="J161" s="1" t="str">
        <f>IF(Table1[[#This Row],[Column1]]=0,"",Table1[[#This Row],[Column1]])</f>
        <v/>
      </c>
      <c r="K161" s="1" t="s">
        <v>1098</v>
      </c>
      <c r="M161" s="1" t="s">
        <v>25</v>
      </c>
      <c r="N161" s="1" t="s">
        <v>26</v>
      </c>
      <c r="P161" s="1" t="s">
        <v>19</v>
      </c>
    </row>
    <row r="162" spans="1:16" ht="15.75" customHeight="1" x14ac:dyDescent="0.35">
      <c r="A162" s="1" t="s">
        <v>277</v>
      </c>
      <c r="B162" s="1" t="s">
        <v>347</v>
      </c>
      <c r="D162" s="1" t="s">
        <v>348</v>
      </c>
      <c r="E162" s="1" t="s">
        <v>22</v>
      </c>
      <c r="F162" s="1" t="s">
        <v>23</v>
      </c>
      <c r="G162" s="1" t="s">
        <v>48</v>
      </c>
      <c r="H162" s="1">
        <v>3485.45</v>
      </c>
      <c r="I162" s="1">
        <f>IF(Table1[[#This Row],[Claim_Amount]]&lt;0,0,Table1[[#This Row],[Claim_Amount]])</f>
        <v>3485.45</v>
      </c>
      <c r="J162" s="1">
        <f>IF(Table1[[#This Row],[Column1]]=0,"",Table1[[#This Row],[Column1]])</f>
        <v>3485.45</v>
      </c>
      <c r="K162" s="1">
        <v>3485.45</v>
      </c>
      <c r="L162" s="1">
        <v>1183.29</v>
      </c>
      <c r="M162" s="1" t="s">
        <v>25</v>
      </c>
      <c r="N162" s="1" t="s">
        <v>26</v>
      </c>
      <c r="P162" s="1" t="s">
        <v>27</v>
      </c>
    </row>
    <row r="163" spans="1:16" ht="15.75" customHeight="1" x14ac:dyDescent="0.35">
      <c r="A163" s="1" t="s">
        <v>277</v>
      </c>
      <c r="B163" s="1" t="s">
        <v>349</v>
      </c>
      <c r="C163" s="1" t="s">
        <v>336</v>
      </c>
      <c r="D163" s="1" t="s">
        <v>350</v>
      </c>
      <c r="E163" s="1" t="s">
        <v>30</v>
      </c>
      <c r="G163" s="1" t="s">
        <v>24</v>
      </c>
      <c r="I163">
        <f>IF(Table1[[#This Row],[Claim_Amount]]&lt;0,0,Table1[[#This Row],[Claim_Amount]])</f>
        <v>0</v>
      </c>
      <c r="J163" t="str">
        <f>IF(Table1[[#This Row],[Column1]]=0,"",Table1[[#This Row],[Column1]])</f>
        <v/>
      </c>
      <c r="K163" t="s">
        <v>1098</v>
      </c>
      <c r="L163" s="1">
        <v>3159</v>
      </c>
      <c r="M163" s="1" t="s">
        <v>121</v>
      </c>
      <c r="N163" s="1" t="s">
        <v>57</v>
      </c>
      <c r="P163" s="1" t="s">
        <v>65</v>
      </c>
    </row>
    <row r="164" spans="1:16" ht="15.75" customHeight="1" x14ac:dyDescent="0.35">
      <c r="A164" s="1" t="s">
        <v>96</v>
      </c>
      <c r="B164" s="1" t="s">
        <v>351</v>
      </c>
      <c r="C164" s="1" t="s">
        <v>63</v>
      </c>
      <c r="D164" s="1" t="s">
        <v>352</v>
      </c>
      <c r="E164" s="1" t="s">
        <v>92</v>
      </c>
      <c r="F164" s="1" t="s">
        <v>93</v>
      </c>
      <c r="G164" s="1" t="s">
        <v>24</v>
      </c>
      <c r="I164">
        <f>IF(Table1[[#This Row],[Claim_Amount]]&lt;0,0,Table1[[#This Row],[Claim_Amount]])</f>
        <v>0</v>
      </c>
      <c r="J164" t="str">
        <f>IF(Table1[[#This Row],[Column1]]=0,"",Table1[[#This Row],[Column1]])</f>
        <v/>
      </c>
      <c r="K164" t="s">
        <v>1098</v>
      </c>
      <c r="M164" s="1" t="s">
        <v>36</v>
      </c>
      <c r="N164" s="1" t="s">
        <v>32</v>
      </c>
      <c r="P164" s="1" t="s">
        <v>19</v>
      </c>
    </row>
    <row r="165" spans="1:16" ht="15.75" customHeight="1" x14ac:dyDescent="0.35">
      <c r="A165" s="1" t="s">
        <v>249</v>
      </c>
      <c r="B165" s="1" t="s">
        <v>353</v>
      </c>
      <c r="C165" s="1" t="s">
        <v>354</v>
      </c>
      <c r="D165" s="1" t="s">
        <v>355</v>
      </c>
      <c r="E165" s="1" t="s">
        <v>22</v>
      </c>
      <c r="F165" s="1" t="s">
        <v>93</v>
      </c>
      <c r="G165" s="1" t="s">
        <v>48</v>
      </c>
      <c r="H165" s="1">
        <v>-71</v>
      </c>
      <c r="I165" s="1">
        <f>IF(Table1[[#This Row],[Claim_Amount]]&lt;0,0,Table1[[#This Row],[Claim_Amount]])</f>
        <v>0</v>
      </c>
      <c r="J165" s="1" t="str">
        <f>IF(Table1[[#This Row],[Column1]]=0,"",Table1[[#This Row],[Column1]])</f>
        <v/>
      </c>
      <c r="K165" s="1" t="s">
        <v>1098</v>
      </c>
      <c r="L165" s="1">
        <v>3208.51</v>
      </c>
      <c r="M165" s="1" t="s">
        <v>36</v>
      </c>
      <c r="N165" s="1" t="s">
        <v>26</v>
      </c>
      <c r="P165" s="1" t="s">
        <v>65</v>
      </c>
    </row>
    <row r="166" spans="1:16" ht="15.75" customHeight="1" x14ac:dyDescent="0.35">
      <c r="A166" s="1" t="s">
        <v>33</v>
      </c>
      <c r="C166" s="1" t="s">
        <v>356</v>
      </c>
      <c r="D166" s="1" t="s">
        <v>357</v>
      </c>
      <c r="E166" s="1" t="s">
        <v>16</v>
      </c>
      <c r="F166" s="1" t="s">
        <v>23</v>
      </c>
      <c r="G166" s="1" t="s">
        <v>41</v>
      </c>
      <c r="H166" s="1">
        <v>-25</v>
      </c>
      <c r="I166" s="1">
        <f>IF(Table1[[#This Row],[Claim_Amount]]&lt;0,0,Table1[[#This Row],[Claim_Amount]])</f>
        <v>0</v>
      </c>
      <c r="J166" s="1" t="str">
        <f>IF(Table1[[#This Row],[Column1]]=0,"",Table1[[#This Row],[Column1]])</f>
        <v/>
      </c>
      <c r="K166" s="1" t="s">
        <v>1098</v>
      </c>
      <c r="M166" s="1" t="s">
        <v>36</v>
      </c>
      <c r="N166" s="1" t="s">
        <v>49</v>
      </c>
      <c r="P166" s="1" t="s">
        <v>37</v>
      </c>
    </row>
    <row r="167" spans="1:16" ht="15.75" customHeight="1" x14ac:dyDescent="0.35">
      <c r="A167" s="1" t="s">
        <v>96</v>
      </c>
      <c r="C167" s="1" t="s">
        <v>358</v>
      </c>
      <c r="D167" s="1" t="s">
        <v>76</v>
      </c>
      <c r="E167" s="1" t="s">
        <v>30</v>
      </c>
      <c r="F167" s="1" t="s">
        <v>93</v>
      </c>
      <c r="G167" s="1" t="s">
        <v>24</v>
      </c>
      <c r="H167" s="1">
        <v>2705.13</v>
      </c>
      <c r="I167" s="1">
        <f>IF(Table1[[#This Row],[Claim_Amount]]&lt;0,0,Table1[[#This Row],[Claim_Amount]])</f>
        <v>2705.13</v>
      </c>
      <c r="J167" s="1">
        <f>IF(Table1[[#This Row],[Column1]]=0,"",Table1[[#This Row],[Column1]])</f>
        <v>2705.13</v>
      </c>
      <c r="K167" s="1">
        <v>2705.13</v>
      </c>
      <c r="M167" s="1" t="s">
        <v>17</v>
      </c>
      <c r="N167" s="1" t="s">
        <v>26</v>
      </c>
      <c r="O167" s="1">
        <v>15</v>
      </c>
      <c r="P167" s="1" t="s">
        <v>37</v>
      </c>
    </row>
    <row r="168" spans="1:16" ht="15.75" customHeight="1" x14ac:dyDescent="0.35">
      <c r="A168" s="1" t="s">
        <v>55</v>
      </c>
      <c r="C168" s="1" t="s">
        <v>161</v>
      </c>
      <c r="D168" s="1" t="s">
        <v>359</v>
      </c>
      <c r="E168" s="1" t="s">
        <v>85</v>
      </c>
      <c r="F168" s="1" t="s">
        <v>23</v>
      </c>
      <c r="G168" s="1" t="s">
        <v>61</v>
      </c>
      <c r="H168" s="1">
        <v>3554.11</v>
      </c>
      <c r="I168" s="1">
        <f>IF(Table1[[#This Row],[Claim_Amount]]&lt;0,0,Table1[[#This Row],[Claim_Amount]])</f>
        <v>3554.11</v>
      </c>
      <c r="J168" s="1">
        <f>IF(Table1[[#This Row],[Column1]]=0,"",Table1[[#This Row],[Column1]])</f>
        <v>3554.11</v>
      </c>
      <c r="K168" s="1">
        <v>3554.11</v>
      </c>
      <c r="M168" s="1" t="s">
        <v>36</v>
      </c>
      <c r="N168" s="1" t="s">
        <v>57</v>
      </c>
      <c r="P168" s="1" t="s">
        <v>27</v>
      </c>
    </row>
    <row r="169" spans="1:16" ht="15.75" customHeight="1" x14ac:dyDescent="0.35">
      <c r="A169" s="1" t="s">
        <v>132</v>
      </c>
      <c r="B169" s="1" t="s">
        <v>360</v>
      </c>
      <c r="D169" s="1" t="s">
        <v>361</v>
      </c>
      <c r="E169" s="1" t="s">
        <v>92</v>
      </c>
      <c r="F169" s="1" t="s">
        <v>47</v>
      </c>
      <c r="G169" s="1" t="s">
        <v>61</v>
      </c>
      <c r="H169" s="1">
        <v>1351.6</v>
      </c>
      <c r="I169" s="1">
        <f>IF(Table1[[#This Row],[Claim_Amount]]&lt;0,0,Table1[[#This Row],[Claim_Amount]])</f>
        <v>1351.6</v>
      </c>
      <c r="J169" s="1">
        <f>IF(Table1[[#This Row],[Column1]]=0,"",Table1[[#This Row],[Column1]])</f>
        <v>1351.6</v>
      </c>
      <c r="K169" s="1">
        <v>1351.6</v>
      </c>
      <c r="M169" s="1" t="s">
        <v>42</v>
      </c>
      <c r="N169" s="1" t="s">
        <v>26</v>
      </c>
      <c r="P169" s="1" t="s">
        <v>65</v>
      </c>
    </row>
    <row r="170" spans="1:16" ht="15.75" customHeight="1" x14ac:dyDescent="0.35">
      <c r="A170" s="1" t="s">
        <v>242</v>
      </c>
      <c r="C170" s="1" t="s">
        <v>224</v>
      </c>
      <c r="D170" s="1" t="s">
        <v>362</v>
      </c>
      <c r="E170" s="1" t="s">
        <v>35</v>
      </c>
      <c r="F170" s="1" t="s">
        <v>47</v>
      </c>
      <c r="G170" s="1" t="s">
        <v>61</v>
      </c>
      <c r="I170">
        <f>IF(Table1[[#This Row],[Claim_Amount]]&lt;0,0,Table1[[#This Row],[Claim_Amount]])</f>
        <v>0</v>
      </c>
      <c r="J170" t="str">
        <f>IF(Table1[[#This Row],[Column1]]=0,"",Table1[[#This Row],[Column1]])</f>
        <v/>
      </c>
      <c r="K170" t="s">
        <v>1098</v>
      </c>
      <c r="M170" s="1" t="s">
        <v>121</v>
      </c>
      <c r="N170" s="1" t="s">
        <v>18</v>
      </c>
      <c r="O170" s="1">
        <v>11</v>
      </c>
    </row>
    <row r="171" spans="1:16" ht="15.75" customHeight="1" x14ac:dyDescent="0.35">
      <c r="A171" s="1" t="s">
        <v>137</v>
      </c>
      <c r="C171" s="1" t="s">
        <v>363</v>
      </c>
      <c r="D171" s="1" t="s">
        <v>267</v>
      </c>
      <c r="E171" s="1" t="s">
        <v>92</v>
      </c>
      <c r="F171" s="1" t="s">
        <v>31</v>
      </c>
      <c r="G171" s="1" t="s">
        <v>61</v>
      </c>
      <c r="H171" s="1">
        <v>2879.1</v>
      </c>
      <c r="I171" s="1">
        <f>IF(Table1[[#This Row],[Claim_Amount]]&lt;0,0,Table1[[#This Row],[Claim_Amount]])</f>
        <v>2879.1</v>
      </c>
      <c r="J171" s="1">
        <f>IF(Table1[[#This Row],[Column1]]=0,"",Table1[[#This Row],[Column1]])</f>
        <v>2879.1</v>
      </c>
      <c r="K171" s="1">
        <v>2879.1</v>
      </c>
      <c r="M171" s="1" t="s">
        <v>25</v>
      </c>
      <c r="N171" s="1" t="s">
        <v>49</v>
      </c>
      <c r="P171" s="1" t="s">
        <v>27</v>
      </c>
    </row>
    <row r="172" spans="1:16" ht="15.75" customHeight="1" x14ac:dyDescent="0.35">
      <c r="A172" s="1" t="s">
        <v>202</v>
      </c>
      <c r="D172" s="1" t="s">
        <v>364</v>
      </c>
      <c r="E172" s="1" t="s">
        <v>30</v>
      </c>
      <c r="F172" s="1" t="s">
        <v>31</v>
      </c>
      <c r="I172">
        <f>IF(Table1[[#This Row],[Claim_Amount]]&lt;0,0,Table1[[#This Row],[Claim_Amount]])</f>
        <v>0</v>
      </c>
      <c r="J172" t="str">
        <f>IF(Table1[[#This Row],[Column1]]=0,"",Table1[[#This Row],[Column1]])</f>
        <v/>
      </c>
      <c r="K172" t="s">
        <v>1098</v>
      </c>
      <c r="M172" s="1" t="s">
        <v>17</v>
      </c>
      <c r="N172" s="1" t="s">
        <v>57</v>
      </c>
      <c r="O172" s="1">
        <v>48</v>
      </c>
      <c r="P172" s="1" t="s">
        <v>65</v>
      </c>
    </row>
    <row r="173" spans="1:16" ht="15.75" customHeight="1" x14ac:dyDescent="0.35">
      <c r="A173" s="1" t="s">
        <v>89</v>
      </c>
      <c r="B173" s="1" t="s">
        <v>365</v>
      </c>
      <c r="D173" s="1" t="s">
        <v>366</v>
      </c>
      <c r="E173" s="1" t="s">
        <v>16</v>
      </c>
      <c r="G173" s="1" t="s">
        <v>48</v>
      </c>
      <c r="I173">
        <f>IF(Table1[[#This Row],[Claim_Amount]]&lt;0,0,Table1[[#This Row],[Claim_Amount]])</f>
        <v>0</v>
      </c>
      <c r="J173" t="str">
        <f>IF(Table1[[#This Row],[Column1]]=0,"",Table1[[#This Row],[Column1]])</f>
        <v/>
      </c>
      <c r="K173" t="s">
        <v>1098</v>
      </c>
      <c r="M173" s="1" t="s">
        <v>17</v>
      </c>
      <c r="N173" s="1" t="s">
        <v>49</v>
      </c>
      <c r="O173" s="1">
        <v>31</v>
      </c>
      <c r="P173" s="1" t="s">
        <v>65</v>
      </c>
    </row>
    <row r="174" spans="1:16" ht="15.75" customHeight="1" x14ac:dyDescent="0.35">
      <c r="A174" s="1" t="s">
        <v>137</v>
      </c>
      <c r="B174" s="1" t="s">
        <v>367</v>
      </c>
      <c r="C174" s="1" t="s">
        <v>238</v>
      </c>
      <c r="D174" s="1" t="s">
        <v>368</v>
      </c>
      <c r="E174" s="1" t="s">
        <v>77</v>
      </c>
      <c r="G174" s="1" t="s">
        <v>61</v>
      </c>
      <c r="I174">
        <f>IF(Table1[[#This Row],[Claim_Amount]]&lt;0,0,Table1[[#This Row],[Claim_Amount]])</f>
        <v>0</v>
      </c>
      <c r="J174" t="str">
        <f>IF(Table1[[#This Row],[Column1]]=0,"",Table1[[#This Row],[Column1]])</f>
        <v/>
      </c>
      <c r="K174" t="s">
        <v>1098</v>
      </c>
      <c r="M174" s="1" t="s">
        <v>25</v>
      </c>
      <c r="N174" s="1" t="s">
        <v>57</v>
      </c>
      <c r="O174" s="1">
        <v>36</v>
      </c>
      <c r="P174" s="1" t="s">
        <v>37</v>
      </c>
    </row>
    <row r="175" spans="1:16" ht="15.75" customHeight="1" x14ac:dyDescent="0.35">
      <c r="A175" s="1" t="s">
        <v>249</v>
      </c>
      <c r="B175" s="1" t="s">
        <v>369</v>
      </c>
      <c r="D175" s="1" t="s">
        <v>370</v>
      </c>
      <c r="E175" s="1" t="s">
        <v>92</v>
      </c>
      <c r="F175" s="1" t="s">
        <v>31</v>
      </c>
      <c r="G175" s="1" t="s">
        <v>48</v>
      </c>
      <c r="I175">
        <f>IF(Table1[[#This Row],[Claim_Amount]]&lt;0,0,Table1[[#This Row],[Claim_Amount]])</f>
        <v>0</v>
      </c>
      <c r="J175" t="str">
        <f>IF(Table1[[#This Row],[Column1]]=0,"",Table1[[#This Row],[Column1]])</f>
        <v/>
      </c>
      <c r="K175" t="s">
        <v>1098</v>
      </c>
      <c r="M175" s="1" t="s">
        <v>25</v>
      </c>
      <c r="N175" s="1" t="s">
        <v>18</v>
      </c>
      <c r="O175" s="1">
        <v>6</v>
      </c>
      <c r="P175" s="1" t="s">
        <v>37</v>
      </c>
    </row>
    <row r="176" spans="1:16" ht="15.75" customHeight="1" x14ac:dyDescent="0.35">
      <c r="A176" s="1" t="s">
        <v>173</v>
      </c>
      <c r="D176" s="1" t="s">
        <v>371</v>
      </c>
      <c r="E176" s="1" t="s">
        <v>92</v>
      </c>
      <c r="F176" s="1" t="s">
        <v>23</v>
      </c>
      <c r="G176" s="1" t="s">
        <v>61</v>
      </c>
      <c r="I176">
        <f>IF(Table1[[#This Row],[Claim_Amount]]&lt;0,0,Table1[[#This Row],[Claim_Amount]])</f>
        <v>0</v>
      </c>
      <c r="J176" t="str">
        <f>IF(Table1[[#This Row],[Column1]]=0,"",Table1[[#This Row],[Column1]])</f>
        <v/>
      </c>
      <c r="K176" t="s">
        <v>1098</v>
      </c>
      <c r="M176" s="1" t="s">
        <v>36</v>
      </c>
      <c r="N176" s="1" t="s">
        <v>26</v>
      </c>
      <c r="P176" s="1" t="s">
        <v>65</v>
      </c>
    </row>
    <row r="177" spans="1:16" ht="15.75" customHeight="1" x14ac:dyDescent="0.35">
      <c r="A177" s="1" t="s">
        <v>96</v>
      </c>
      <c r="B177" s="1" t="s">
        <v>372</v>
      </c>
      <c r="D177" s="1" t="s">
        <v>128</v>
      </c>
      <c r="E177" s="1" t="s">
        <v>92</v>
      </c>
      <c r="F177" s="1" t="s">
        <v>93</v>
      </c>
      <c r="G177" s="1" t="s">
        <v>61</v>
      </c>
      <c r="I177">
        <f>IF(Table1[[#This Row],[Claim_Amount]]&lt;0,0,Table1[[#This Row],[Claim_Amount]])</f>
        <v>0</v>
      </c>
      <c r="J177" t="str">
        <f>IF(Table1[[#This Row],[Column1]]=0,"",Table1[[#This Row],[Column1]])</f>
        <v/>
      </c>
      <c r="K177" t="s">
        <v>1098</v>
      </c>
      <c r="L177" s="1">
        <v>518.89</v>
      </c>
      <c r="M177" s="1" t="s">
        <v>17</v>
      </c>
      <c r="N177" s="1" t="s">
        <v>26</v>
      </c>
      <c r="O177" s="1">
        <v>0</v>
      </c>
      <c r="P177" s="1" t="s">
        <v>65</v>
      </c>
    </row>
    <row r="178" spans="1:16" ht="15.75" customHeight="1" x14ac:dyDescent="0.35">
      <c r="A178" s="1" t="s">
        <v>277</v>
      </c>
      <c r="C178" s="1" t="s">
        <v>373</v>
      </c>
      <c r="D178" s="1" t="s">
        <v>374</v>
      </c>
      <c r="E178" s="1" t="s">
        <v>16</v>
      </c>
      <c r="F178" s="1" t="s">
        <v>23</v>
      </c>
      <c r="G178" s="1" t="s">
        <v>24</v>
      </c>
      <c r="I178">
        <f>IF(Table1[[#This Row],[Claim_Amount]]&lt;0,0,Table1[[#This Row],[Claim_Amount]])</f>
        <v>0</v>
      </c>
      <c r="J178" t="str">
        <f>IF(Table1[[#This Row],[Column1]]=0,"",Table1[[#This Row],[Column1]])</f>
        <v/>
      </c>
      <c r="K178" t="s">
        <v>1098</v>
      </c>
      <c r="M178" s="1" t="s">
        <v>25</v>
      </c>
      <c r="N178" s="1" t="s">
        <v>26</v>
      </c>
      <c r="P178" s="1" t="s">
        <v>19</v>
      </c>
    </row>
    <row r="179" spans="1:16" ht="15.75" customHeight="1" x14ac:dyDescent="0.35">
      <c r="A179" s="1" t="s">
        <v>132</v>
      </c>
      <c r="D179" s="1" t="s">
        <v>375</v>
      </c>
      <c r="E179" s="1" t="s">
        <v>77</v>
      </c>
      <c r="F179" s="1" t="s">
        <v>93</v>
      </c>
      <c r="G179" s="1" t="s">
        <v>41</v>
      </c>
      <c r="I179">
        <f>IF(Table1[[#This Row],[Claim_Amount]]&lt;0,0,Table1[[#This Row],[Claim_Amount]])</f>
        <v>0</v>
      </c>
      <c r="J179" t="str">
        <f>IF(Table1[[#This Row],[Column1]]=0,"",Table1[[#This Row],[Column1]])</f>
        <v/>
      </c>
      <c r="K179" t="s">
        <v>1098</v>
      </c>
      <c r="L179" s="1">
        <v>1435.28</v>
      </c>
      <c r="M179" s="1" t="s">
        <v>25</v>
      </c>
      <c r="N179" s="1" t="s">
        <v>57</v>
      </c>
      <c r="P179" s="1" t="s">
        <v>65</v>
      </c>
    </row>
    <row r="180" spans="1:16" ht="15.75" customHeight="1" x14ac:dyDescent="0.35">
      <c r="A180" s="1" t="s">
        <v>43</v>
      </c>
      <c r="D180" s="1" t="s">
        <v>376</v>
      </c>
      <c r="E180" s="1" t="s">
        <v>85</v>
      </c>
      <c r="F180" s="1" t="s">
        <v>53</v>
      </c>
      <c r="G180" s="1" t="s">
        <v>24</v>
      </c>
      <c r="I180">
        <f>IF(Table1[[#This Row],[Claim_Amount]]&lt;0,0,Table1[[#This Row],[Claim_Amount]])</f>
        <v>0</v>
      </c>
      <c r="J180" t="str">
        <f>IF(Table1[[#This Row],[Column1]]=0,"",Table1[[#This Row],[Column1]])</f>
        <v/>
      </c>
      <c r="K180" t="s">
        <v>1098</v>
      </c>
      <c r="M180" s="1" t="s">
        <v>25</v>
      </c>
      <c r="N180" s="1" t="s">
        <v>49</v>
      </c>
      <c r="P180" s="1" t="s">
        <v>27</v>
      </c>
    </row>
    <row r="181" spans="1:16" ht="15.75" customHeight="1" x14ac:dyDescent="0.35">
      <c r="A181" s="1" t="s">
        <v>285</v>
      </c>
      <c r="D181" s="1" t="s">
        <v>377</v>
      </c>
      <c r="E181" s="1" t="s">
        <v>92</v>
      </c>
      <c r="F181" s="1" t="s">
        <v>47</v>
      </c>
      <c r="G181" s="1" t="s">
        <v>24</v>
      </c>
      <c r="H181" s="1">
        <v>195.05</v>
      </c>
      <c r="I181" s="1">
        <f>IF(Table1[[#This Row],[Claim_Amount]]&lt;0,0,Table1[[#This Row],[Claim_Amount]])</f>
        <v>195.05</v>
      </c>
      <c r="J181" s="1">
        <f>IF(Table1[[#This Row],[Column1]]=0,"",Table1[[#This Row],[Column1]])</f>
        <v>195.05</v>
      </c>
      <c r="K181" s="1">
        <v>195.05</v>
      </c>
      <c r="M181" s="1" t="s">
        <v>36</v>
      </c>
      <c r="N181" s="1" t="s">
        <v>32</v>
      </c>
      <c r="P181" s="1" t="s">
        <v>65</v>
      </c>
    </row>
    <row r="182" spans="1:16" ht="15.75" customHeight="1" x14ac:dyDescent="0.35">
      <c r="A182" s="1" t="s">
        <v>132</v>
      </c>
      <c r="B182" s="1" t="s">
        <v>351</v>
      </c>
      <c r="C182" s="1" t="s">
        <v>378</v>
      </c>
      <c r="D182" s="1" t="s">
        <v>379</v>
      </c>
      <c r="E182" s="1" t="s">
        <v>30</v>
      </c>
      <c r="F182" s="1" t="s">
        <v>53</v>
      </c>
      <c r="G182" s="1" t="s">
        <v>41</v>
      </c>
      <c r="I182">
        <f>IF(Table1[[#This Row],[Claim_Amount]]&lt;0,0,Table1[[#This Row],[Claim_Amount]])</f>
        <v>0</v>
      </c>
      <c r="J182" t="str">
        <f>IF(Table1[[#This Row],[Column1]]=0,"",Table1[[#This Row],[Column1]])</f>
        <v/>
      </c>
      <c r="K182" t="s">
        <v>1098</v>
      </c>
      <c r="M182" s="1" t="s">
        <v>42</v>
      </c>
      <c r="N182" s="1" t="s">
        <v>57</v>
      </c>
      <c r="P182" s="1" t="s">
        <v>27</v>
      </c>
    </row>
    <row r="183" spans="1:16" ht="15.75" customHeight="1" x14ac:dyDescent="0.35">
      <c r="A183" s="1" t="s">
        <v>209</v>
      </c>
      <c r="B183" s="1" t="s">
        <v>254</v>
      </c>
      <c r="C183" s="1" t="s">
        <v>90</v>
      </c>
      <c r="D183" s="1" t="s">
        <v>380</v>
      </c>
      <c r="E183" s="1" t="s">
        <v>77</v>
      </c>
      <c r="F183" s="1" t="s">
        <v>23</v>
      </c>
      <c r="G183" s="1" t="s">
        <v>61</v>
      </c>
      <c r="I183">
        <f>IF(Table1[[#This Row],[Claim_Amount]]&lt;0,0,Table1[[#This Row],[Claim_Amount]])</f>
        <v>0</v>
      </c>
      <c r="J183" t="str">
        <f>IF(Table1[[#This Row],[Column1]]=0,"",Table1[[#This Row],[Column1]])</f>
        <v/>
      </c>
      <c r="K183" t="s">
        <v>1098</v>
      </c>
      <c r="M183" s="1" t="s">
        <v>25</v>
      </c>
      <c r="N183" s="1" t="s">
        <v>32</v>
      </c>
      <c r="P183" s="1" t="s">
        <v>65</v>
      </c>
    </row>
    <row r="184" spans="1:16" ht="15.75" customHeight="1" x14ac:dyDescent="0.35">
      <c r="A184" s="1" t="s">
        <v>277</v>
      </c>
      <c r="D184" s="1" t="s">
        <v>381</v>
      </c>
      <c r="E184" s="1" t="s">
        <v>35</v>
      </c>
      <c r="F184" s="1" t="s">
        <v>93</v>
      </c>
      <c r="G184" s="1" t="s">
        <v>61</v>
      </c>
      <c r="H184" s="1">
        <v>4240.08</v>
      </c>
      <c r="I184" s="1">
        <f>IF(Table1[[#This Row],[Claim_Amount]]&lt;0,0,Table1[[#This Row],[Claim_Amount]])</f>
        <v>4240.08</v>
      </c>
      <c r="J184" s="1">
        <f>IF(Table1[[#This Row],[Column1]]=0,"",Table1[[#This Row],[Column1]])</f>
        <v>4240.08</v>
      </c>
      <c r="K184" s="1">
        <v>4240.08</v>
      </c>
      <c r="M184" s="1" t="s">
        <v>121</v>
      </c>
      <c r="N184" s="1" t="s">
        <v>57</v>
      </c>
      <c r="P184" s="1" t="s">
        <v>27</v>
      </c>
    </row>
    <row r="185" spans="1:16" ht="15.75" customHeight="1" x14ac:dyDescent="0.35">
      <c r="A185" s="1" t="s">
        <v>58</v>
      </c>
      <c r="B185" s="1" t="s">
        <v>382</v>
      </c>
      <c r="D185" s="1" t="s">
        <v>383</v>
      </c>
      <c r="E185" s="1" t="s">
        <v>85</v>
      </c>
      <c r="G185" s="1" t="s">
        <v>54</v>
      </c>
      <c r="I185">
        <f>IF(Table1[[#This Row],[Claim_Amount]]&lt;0,0,Table1[[#This Row],[Claim_Amount]])</f>
        <v>0</v>
      </c>
      <c r="J185" t="str">
        <f>IF(Table1[[#This Row],[Column1]]=0,"",Table1[[#This Row],[Column1]])</f>
        <v/>
      </c>
      <c r="K185" t="s">
        <v>1098</v>
      </c>
      <c r="M185" s="1" t="s">
        <v>17</v>
      </c>
      <c r="N185" s="1" t="s">
        <v>49</v>
      </c>
      <c r="P185" s="1" t="s">
        <v>27</v>
      </c>
    </row>
    <row r="186" spans="1:16" ht="15.75" customHeight="1" x14ac:dyDescent="0.35">
      <c r="A186" s="1" t="s">
        <v>277</v>
      </c>
      <c r="D186" s="1" t="s">
        <v>384</v>
      </c>
      <c r="E186" s="1" t="s">
        <v>92</v>
      </c>
      <c r="F186" s="1" t="s">
        <v>47</v>
      </c>
      <c r="G186" s="1" t="s">
        <v>24</v>
      </c>
      <c r="H186" s="1">
        <v>-36</v>
      </c>
      <c r="I186" s="1">
        <f>IF(Table1[[#This Row],[Claim_Amount]]&lt;0,0,Table1[[#This Row],[Claim_Amount]])</f>
        <v>0</v>
      </c>
      <c r="J186" s="1" t="str">
        <f>IF(Table1[[#This Row],[Column1]]=0,"",Table1[[#This Row],[Column1]])</f>
        <v/>
      </c>
      <c r="K186" s="1" t="s">
        <v>1098</v>
      </c>
      <c r="M186" s="1" t="s">
        <v>25</v>
      </c>
      <c r="N186" s="1" t="s">
        <v>18</v>
      </c>
      <c r="P186" s="1" t="s">
        <v>65</v>
      </c>
    </row>
    <row r="187" spans="1:16" ht="15.75" customHeight="1" x14ac:dyDescent="0.35">
      <c r="A187" s="1" t="s">
        <v>13</v>
      </c>
      <c r="D187" s="1" t="s">
        <v>241</v>
      </c>
      <c r="E187" s="1" t="s">
        <v>85</v>
      </c>
      <c r="G187" s="1" t="s">
        <v>61</v>
      </c>
      <c r="H187" s="1">
        <v>1784.88</v>
      </c>
      <c r="I187" s="1">
        <f>IF(Table1[[#This Row],[Claim_Amount]]&lt;0,0,Table1[[#This Row],[Claim_Amount]])</f>
        <v>1784.88</v>
      </c>
      <c r="J187" s="1">
        <f>IF(Table1[[#This Row],[Column1]]=0,"",Table1[[#This Row],[Column1]])</f>
        <v>1784.88</v>
      </c>
      <c r="K187" s="1">
        <v>1784.88</v>
      </c>
      <c r="M187" s="1" t="s">
        <v>121</v>
      </c>
      <c r="N187" s="1" t="s">
        <v>18</v>
      </c>
      <c r="P187" s="1" t="s">
        <v>37</v>
      </c>
    </row>
    <row r="188" spans="1:16" ht="15.75" customHeight="1" x14ac:dyDescent="0.35">
      <c r="A188" s="1" t="s">
        <v>33</v>
      </c>
      <c r="C188" s="1" t="s">
        <v>80</v>
      </c>
      <c r="D188" s="1" t="s">
        <v>385</v>
      </c>
      <c r="E188" s="1" t="s">
        <v>85</v>
      </c>
      <c r="F188" s="1" t="s">
        <v>93</v>
      </c>
      <c r="G188" s="1" t="s">
        <v>48</v>
      </c>
      <c r="I188">
        <f>IF(Table1[[#This Row],[Claim_Amount]]&lt;0,0,Table1[[#This Row],[Claim_Amount]])</f>
        <v>0</v>
      </c>
      <c r="J188" t="str">
        <f>IF(Table1[[#This Row],[Column1]]=0,"",Table1[[#This Row],[Column1]])</f>
        <v/>
      </c>
      <c r="K188" t="s">
        <v>1098</v>
      </c>
      <c r="M188" s="1" t="s">
        <v>25</v>
      </c>
      <c r="N188" s="1" t="s">
        <v>26</v>
      </c>
      <c r="O188" s="1">
        <v>21</v>
      </c>
      <c r="P188" s="1" t="s">
        <v>37</v>
      </c>
    </row>
    <row r="189" spans="1:16" ht="15.75" customHeight="1" x14ac:dyDescent="0.35">
      <c r="A189" s="1" t="s">
        <v>132</v>
      </c>
      <c r="B189" s="1" t="s">
        <v>386</v>
      </c>
      <c r="C189" s="1" t="s">
        <v>228</v>
      </c>
      <c r="D189" s="1" t="s">
        <v>387</v>
      </c>
      <c r="E189" s="1" t="s">
        <v>35</v>
      </c>
      <c r="F189" s="1" t="s">
        <v>23</v>
      </c>
      <c r="G189" s="1" t="s">
        <v>48</v>
      </c>
      <c r="H189" s="1">
        <v>-52</v>
      </c>
      <c r="I189" s="1">
        <f>IF(Table1[[#This Row],[Claim_Amount]]&lt;0,0,Table1[[#This Row],[Claim_Amount]])</f>
        <v>0</v>
      </c>
      <c r="J189" s="1" t="str">
        <f>IF(Table1[[#This Row],[Column1]]=0,"",Table1[[#This Row],[Column1]])</f>
        <v/>
      </c>
      <c r="K189" s="1" t="s">
        <v>1098</v>
      </c>
      <c r="L189" s="1">
        <v>827.66</v>
      </c>
      <c r="M189" s="1" t="s">
        <v>42</v>
      </c>
      <c r="N189" s="1" t="s">
        <v>18</v>
      </c>
    </row>
    <row r="190" spans="1:16" ht="15.75" customHeight="1" x14ac:dyDescent="0.35">
      <c r="A190" s="1" t="s">
        <v>168</v>
      </c>
      <c r="D190" s="1" t="s">
        <v>388</v>
      </c>
      <c r="E190" s="1" t="s">
        <v>77</v>
      </c>
      <c r="F190" s="1" t="s">
        <v>47</v>
      </c>
      <c r="G190" s="1" t="s">
        <v>54</v>
      </c>
      <c r="H190" s="1">
        <v>4207.28</v>
      </c>
      <c r="I190" s="1">
        <f>IF(Table1[[#This Row],[Claim_Amount]]&lt;0,0,Table1[[#This Row],[Claim_Amount]])</f>
        <v>4207.28</v>
      </c>
      <c r="J190" s="1">
        <f>IF(Table1[[#This Row],[Column1]]=0,"",Table1[[#This Row],[Column1]])</f>
        <v>4207.28</v>
      </c>
      <c r="K190" s="1">
        <v>4207.28</v>
      </c>
      <c r="M190" s="1" t="s">
        <v>25</v>
      </c>
      <c r="N190" s="1" t="s">
        <v>32</v>
      </c>
    </row>
    <row r="191" spans="1:16" ht="15.75" customHeight="1" x14ac:dyDescent="0.35">
      <c r="A191" s="1" t="s">
        <v>285</v>
      </c>
      <c r="B191" s="1" t="s">
        <v>389</v>
      </c>
      <c r="C191" s="1" t="s">
        <v>193</v>
      </c>
      <c r="D191" s="1" t="s">
        <v>390</v>
      </c>
      <c r="E191" s="1" t="s">
        <v>77</v>
      </c>
      <c r="F191" s="1" t="s">
        <v>23</v>
      </c>
      <c r="G191" s="1" t="s">
        <v>41</v>
      </c>
      <c r="H191" s="1">
        <v>-130</v>
      </c>
      <c r="I191" s="1">
        <f>IF(Table1[[#This Row],[Claim_Amount]]&lt;0,0,Table1[[#This Row],[Claim_Amount]])</f>
        <v>0</v>
      </c>
      <c r="J191" s="1" t="str">
        <f>IF(Table1[[#This Row],[Column1]]=0,"",Table1[[#This Row],[Column1]])</f>
        <v/>
      </c>
      <c r="K191" s="1" t="s">
        <v>1098</v>
      </c>
      <c r="M191" s="1" t="s">
        <v>25</v>
      </c>
      <c r="N191" s="1" t="s">
        <v>57</v>
      </c>
      <c r="O191" s="1">
        <v>24</v>
      </c>
      <c r="P191" s="1" t="s">
        <v>27</v>
      </c>
    </row>
    <row r="192" spans="1:16" ht="15.75" customHeight="1" x14ac:dyDescent="0.35">
      <c r="A192" s="1" t="s">
        <v>33</v>
      </c>
      <c r="B192" s="1" t="s">
        <v>391</v>
      </c>
      <c r="C192" s="1" t="s">
        <v>232</v>
      </c>
      <c r="D192" s="1" t="s">
        <v>392</v>
      </c>
      <c r="E192" s="1" t="s">
        <v>85</v>
      </c>
      <c r="F192" s="1" t="s">
        <v>31</v>
      </c>
      <c r="G192" s="1" t="s">
        <v>54</v>
      </c>
      <c r="H192" s="1">
        <v>355.11</v>
      </c>
      <c r="I192" s="1">
        <f>IF(Table1[[#This Row],[Claim_Amount]]&lt;0,0,Table1[[#This Row],[Claim_Amount]])</f>
        <v>355.11</v>
      </c>
      <c r="J192" s="1">
        <f>IF(Table1[[#This Row],[Column1]]=0,"",Table1[[#This Row],[Column1]])</f>
        <v>355.11</v>
      </c>
      <c r="K192" s="1">
        <v>355.11</v>
      </c>
      <c r="M192" s="1" t="s">
        <v>36</v>
      </c>
      <c r="N192" s="1" t="s">
        <v>49</v>
      </c>
      <c r="P192" s="1" t="s">
        <v>65</v>
      </c>
    </row>
    <row r="193" spans="1:16" ht="15.75" customHeight="1" x14ac:dyDescent="0.35">
      <c r="A193" s="1" t="s">
        <v>20</v>
      </c>
      <c r="D193" s="1" t="s">
        <v>393</v>
      </c>
      <c r="E193" s="1" t="s">
        <v>85</v>
      </c>
      <c r="F193" s="1" t="s">
        <v>53</v>
      </c>
      <c r="G193" s="1" t="s">
        <v>41</v>
      </c>
      <c r="H193" s="1">
        <v>440.83</v>
      </c>
      <c r="I193" s="1">
        <f>IF(Table1[[#This Row],[Claim_Amount]]&lt;0,0,Table1[[#This Row],[Claim_Amount]])</f>
        <v>440.83</v>
      </c>
      <c r="J193" s="1">
        <f>IF(Table1[[#This Row],[Column1]]=0,"",Table1[[#This Row],[Column1]])</f>
        <v>440.83</v>
      </c>
      <c r="K193" s="1">
        <v>440.83</v>
      </c>
      <c r="M193" s="1" t="s">
        <v>36</v>
      </c>
      <c r="N193" s="1" t="s">
        <v>57</v>
      </c>
      <c r="O193" s="1">
        <v>9</v>
      </c>
      <c r="P193" s="1" t="s">
        <v>37</v>
      </c>
    </row>
    <row r="194" spans="1:16" ht="15.75" customHeight="1" x14ac:dyDescent="0.35">
      <c r="A194" s="1" t="s">
        <v>102</v>
      </c>
      <c r="B194" s="1" t="s">
        <v>394</v>
      </c>
      <c r="C194" s="1" t="s">
        <v>395</v>
      </c>
      <c r="D194" s="1" t="s">
        <v>172</v>
      </c>
      <c r="E194" s="1" t="s">
        <v>77</v>
      </c>
      <c r="F194" s="1" t="s">
        <v>93</v>
      </c>
      <c r="I194">
        <f>IF(Table1[[#This Row],[Claim_Amount]]&lt;0,0,Table1[[#This Row],[Claim_Amount]])</f>
        <v>0</v>
      </c>
      <c r="J194" t="str">
        <f>IF(Table1[[#This Row],[Column1]]=0,"",Table1[[#This Row],[Column1]])</f>
        <v/>
      </c>
      <c r="K194" t="s">
        <v>1098</v>
      </c>
      <c r="M194" s="1" t="s">
        <v>25</v>
      </c>
      <c r="N194" s="1" t="s">
        <v>26</v>
      </c>
      <c r="P194" s="1" t="s">
        <v>37</v>
      </c>
    </row>
    <row r="195" spans="1:16" ht="15.75" customHeight="1" x14ac:dyDescent="0.35">
      <c r="A195" s="1" t="s">
        <v>20</v>
      </c>
      <c r="D195" s="1" t="s">
        <v>396</v>
      </c>
      <c r="E195" s="1" t="s">
        <v>30</v>
      </c>
      <c r="F195" s="1" t="s">
        <v>53</v>
      </c>
      <c r="G195" s="1" t="s">
        <v>61</v>
      </c>
      <c r="H195" s="1">
        <v>2101.4899999999998</v>
      </c>
      <c r="I195" s="1">
        <f>IF(Table1[[#This Row],[Claim_Amount]]&lt;0,0,Table1[[#This Row],[Claim_Amount]])</f>
        <v>2101.4899999999998</v>
      </c>
      <c r="J195" s="1">
        <f>IF(Table1[[#This Row],[Column1]]=0,"",Table1[[#This Row],[Column1]])</f>
        <v>2101.4899999999998</v>
      </c>
      <c r="K195" s="1">
        <v>2101.4899999999998</v>
      </c>
      <c r="M195" s="1" t="s">
        <v>25</v>
      </c>
      <c r="N195" s="1" t="s">
        <v>32</v>
      </c>
      <c r="P195" s="1" t="s">
        <v>27</v>
      </c>
    </row>
    <row r="196" spans="1:16" ht="15.75" customHeight="1" x14ac:dyDescent="0.35">
      <c r="A196" s="1" t="s">
        <v>70</v>
      </c>
      <c r="D196" s="1" t="s">
        <v>397</v>
      </c>
      <c r="E196" s="1" t="s">
        <v>85</v>
      </c>
      <c r="F196" s="1" t="s">
        <v>31</v>
      </c>
      <c r="G196" s="1" t="s">
        <v>48</v>
      </c>
      <c r="H196" s="1">
        <v>-165</v>
      </c>
      <c r="I196" s="1">
        <f>IF(Table1[[#This Row],[Claim_Amount]]&lt;0,0,Table1[[#This Row],[Claim_Amount]])</f>
        <v>0</v>
      </c>
      <c r="J196" s="1" t="str">
        <f>IF(Table1[[#This Row],[Column1]]=0,"",Table1[[#This Row],[Column1]])</f>
        <v/>
      </c>
      <c r="K196" s="1" t="s">
        <v>1098</v>
      </c>
      <c r="M196" s="1" t="s">
        <v>17</v>
      </c>
      <c r="N196" s="1" t="s">
        <v>26</v>
      </c>
      <c r="P196" s="1" t="s">
        <v>27</v>
      </c>
    </row>
    <row r="197" spans="1:16" ht="15.75" customHeight="1" x14ac:dyDescent="0.35">
      <c r="A197" s="1" t="s">
        <v>242</v>
      </c>
      <c r="D197" s="1" t="s">
        <v>398</v>
      </c>
      <c r="E197" s="1" t="s">
        <v>16</v>
      </c>
      <c r="F197" s="1" t="s">
        <v>93</v>
      </c>
      <c r="G197" s="1" t="s">
        <v>24</v>
      </c>
      <c r="H197" s="1">
        <v>-200</v>
      </c>
      <c r="I197" s="1">
        <f>IF(Table1[[#This Row],[Claim_Amount]]&lt;0,0,Table1[[#This Row],[Claim_Amount]])</f>
        <v>0</v>
      </c>
      <c r="J197" s="1" t="str">
        <f>IF(Table1[[#This Row],[Column1]]=0,"",Table1[[#This Row],[Column1]])</f>
        <v/>
      </c>
      <c r="K197" s="1" t="s">
        <v>1098</v>
      </c>
      <c r="M197" s="1" t="s">
        <v>42</v>
      </c>
      <c r="N197" s="1" t="s">
        <v>49</v>
      </c>
      <c r="P197" s="1" t="s">
        <v>19</v>
      </c>
    </row>
    <row r="198" spans="1:16" ht="15.75" customHeight="1" x14ac:dyDescent="0.35">
      <c r="A198" s="1" t="s">
        <v>212</v>
      </c>
      <c r="B198" s="1" t="s">
        <v>399</v>
      </c>
      <c r="D198" s="1" t="s">
        <v>400</v>
      </c>
      <c r="E198" s="1" t="s">
        <v>22</v>
      </c>
      <c r="F198" s="1" t="s">
        <v>93</v>
      </c>
      <c r="G198" s="1" t="s">
        <v>61</v>
      </c>
      <c r="H198" s="1">
        <v>-139</v>
      </c>
      <c r="I198" s="1">
        <f>IF(Table1[[#This Row],[Claim_Amount]]&lt;0,0,Table1[[#This Row],[Claim_Amount]])</f>
        <v>0</v>
      </c>
      <c r="J198" s="1" t="str">
        <f>IF(Table1[[#This Row],[Column1]]=0,"",Table1[[#This Row],[Column1]])</f>
        <v/>
      </c>
      <c r="K198" s="1" t="s">
        <v>1098</v>
      </c>
      <c r="M198" s="1" t="s">
        <v>36</v>
      </c>
      <c r="N198" s="1" t="s">
        <v>26</v>
      </c>
      <c r="O198" s="1">
        <v>11</v>
      </c>
      <c r="P198" s="1" t="s">
        <v>65</v>
      </c>
    </row>
    <row r="199" spans="1:16" ht="15.75" customHeight="1" x14ac:dyDescent="0.35">
      <c r="A199" s="1" t="s">
        <v>82</v>
      </c>
      <c r="B199" s="1" t="s">
        <v>146</v>
      </c>
      <c r="C199" s="1" t="s">
        <v>152</v>
      </c>
      <c r="D199" s="1" t="s">
        <v>401</v>
      </c>
      <c r="E199" s="1" t="s">
        <v>92</v>
      </c>
      <c r="F199" s="1" t="s">
        <v>53</v>
      </c>
      <c r="G199" s="1" t="s">
        <v>54</v>
      </c>
      <c r="H199" s="1">
        <v>2014.86</v>
      </c>
      <c r="I199" s="1">
        <f>IF(Table1[[#This Row],[Claim_Amount]]&lt;0,0,Table1[[#This Row],[Claim_Amount]])</f>
        <v>2014.86</v>
      </c>
      <c r="J199" s="1">
        <f>IF(Table1[[#This Row],[Column1]]=0,"",Table1[[#This Row],[Column1]])</f>
        <v>2014.86</v>
      </c>
      <c r="K199" s="1">
        <v>2014.86</v>
      </c>
      <c r="M199" s="1" t="s">
        <v>36</v>
      </c>
      <c r="N199" s="1" t="s">
        <v>49</v>
      </c>
    </row>
    <row r="200" spans="1:16" ht="15.75" customHeight="1" x14ac:dyDescent="0.35">
      <c r="A200" s="1" t="s">
        <v>20</v>
      </c>
      <c r="D200" s="1" t="s">
        <v>402</v>
      </c>
      <c r="E200" s="1" t="s">
        <v>77</v>
      </c>
      <c r="F200" s="1" t="s">
        <v>23</v>
      </c>
      <c r="G200" s="1" t="s">
        <v>24</v>
      </c>
      <c r="I200">
        <f>IF(Table1[[#This Row],[Claim_Amount]]&lt;0,0,Table1[[#This Row],[Claim_Amount]])</f>
        <v>0</v>
      </c>
      <c r="J200" t="str">
        <f>IF(Table1[[#This Row],[Column1]]=0,"",Table1[[#This Row],[Column1]])</f>
        <v/>
      </c>
      <c r="K200" t="s">
        <v>1098</v>
      </c>
      <c r="M200" s="1" t="s">
        <v>17</v>
      </c>
      <c r="N200" s="1" t="s">
        <v>32</v>
      </c>
    </row>
    <row r="201" spans="1:16" ht="15.75" customHeight="1" x14ac:dyDescent="0.35">
      <c r="A201" s="1" t="s">
        <v>105</v>
      </c>
      <c r="D201" s="1" t="s">
        <v>403</v>
      </c>
      <c r="E201" s="1" t="s">
        <v>22</v>
      </c>
      <c r="F201" s="1" t="s">
        <v>23</v>
      </c>
      <c r="G201" s="1" t="s">
        <v>24</v>
      </c>
      <c r="I201">
        <f>IF(Table1[[#This Row],[Claim_Amount]]&lt;0,0,Table1[[#This Row],[Claim_Amount]])</f>
        <v>0</v>
      </c>
      <c r="J201" t="str">
        <f>IF(Table1[[#This Row],[Column1]]=0,"",Table1[[#This Row],[Column1]])</f>
        <v/>
      </c>
      <c r="K201" t="s">
        <v>1098</v>
      </c>
      <c r="M201" s="1" t="s">
        <v>42</v>
      </c>
      <c r="N201" s="1" t="s">
        <v>49</v>
      </c>
      <c r="O201" s="1">
        <v>16</v>
      </c>
      <c r="P201" s="1" t="s">
        <v>37</v>
      </c>
    </row>
    <row r="202" spans="1:16" ht="15.75" customHeight="1" x14ac:dyDescent="0.35">
      <c r="A202" s="1" t="s">
        <v>192</v>
      </c>
      <c r="D202" s="1" t="s">
        <v>404</v>
      </c>
      <c r="E202" s="1" t="s">
        <v>35</v>
      </c>
      <c r="F202" s="1" t="s">
        <v>31</v>
      </c>
      <c r="G202" s="1" t="s">
        <v>54</v>
      </c>
      <c r="I202">
        <f>IF(Table1[[#This Row],[Claim_Amount]]&lt;0,0,Table1[[#This Row],[Claim_Amount]])</f>
        <v>0</v>
      </c>
      <c r="J202" t="str">
        <f>IF(Table1[[#This Row],[Column1]]=0,"",Table1[[#This Row],[Column1]])</f>
        <v/>
      </c>
      <c r="K202" t="s">
        <v>1098</v>
      </c>
      <c r="L202" s="1">
        <v>1527.46</v>
      </c>
      <c r="M202" s="1" t="s">
        <v>121</v>
      </c>
      <c r="N202" s="1" t="s">
        <v>26</v>
      </c>
      <c r="P202" s="1" t="s">
        <v>27</v>
      </c>
    </row>
    <row r="203" spans="1:16" ht="15.75" customHeight="1" x14ac:dyDescent="0.35">
      <c r="A203" s="1" t="s">
        <v>38</v>
      </c>
      <c r="D203" s="1" t="s">
        <v>405</v>
      </c>
      <c r="E203" s="1" t="s">
        <v>16</v>
      </c>
      <c r="F203" s="1" t="s">
        <v>47</v>
      </c>
      <c r="G203" s="1" t="s">
        <v>48</v>
      </c>
      <c r="I203">
        <f>IF(Table1[[#This Row],[Claim_Amount]]&lt;0,0,Table1[[#This Row],[Claim_Amount]])</f>
        <v>0</v>
      </c>
      <c r="J203" t="str">
        <f>IF(Table1[[#This Row],[Column1]]=0,"",Table1[[#This Row],[Column1]])</f>
        <v/>
      </c>
      <c r="K203" t="s">
        <v>1098</v>
      </c>
      <c r="M203" s="1" t="s">
        <v>121</v>
      </c>
      <c r="N203" s="1" t="s">
        <v>32</v>
      </c>
      <c r="P203" s="1" t="s">
        <v>37</v>
      </c>
    </row>
    <row r="204" spans="1:16" ht="15.75" customHeight="1" x14ac:dyDescent="0.35">
      <c r="A204" s="1" t="s">
        <v>33</v>
      </c>
      <c r="B204" s="1" t="s">
        <v>406</v>
      </c>
      <c r="C204" s="1" t="s">
        <v>221</v>
      </c>
      <c r="D204" s="1" t="s">
        <v>407</v>
      </c>
      <c r="E204" s="1" t="s">
        <v>30</v>
      </c>
      <c r="G204" s="1" t="s">
        <v>48</v>
      </c>
      <c r="I204">
        <f>IF(Table1[[#This Row],[Claim_Amount]]&lt;0,0,Table1[[#This Row],[Claim_Amount]])</f>
        <v>0</v>
      </c>
      <c r="J204" t="str">
        <f>IF(Table1[[#This Row],[Column1]]=0,"",Table1[[#This Row],[Column1]])</f>
        <v/>
      </c>
      <c r="K204" t="s">
        <v>1098</v>
      </c>
      <c r="L204" s="1">
        <v>2561.21</v>
      </c>
      <c r="M204" s="1" t="s">
        <v>36</v>
      </c>
      <c r="N204" s="1" t="s">
        <v>18</v>
      </c>
      <c r="O204" s="1">
        <v>18</v>
      </c>
      <c r="P204" s="1" t="s">
        <v>37</v>
      </c>
    </row>
    <row r="205" spans="1:16" ht="15.75" customHeight="1" x14ac:dyDescent="0.35">
      <c r="A205" s="1" t="s">
        <v>277</v>
      </c>
      <c r="C205" s="1" t="s">
        <v>408</v>
      </c>
      <c r="D205" s="1" t="s">
        <v>409</v>
      </c>
      <c r="E205" s="1" t="s">
        <v>85</v>
      </c>
      <c r="F205" s="1" t="s">
        <v>31</v>
      </c>
      <c r="G205" s="1" t="s">
        <v>24</v>
      </c>
      <c r="H205" s="1">
        <v>-88</v>
      </c>
      <c r="I205" s="1">
        <f>IF(Table1[[#This Row],[Claim_Amount]]&lt;0,0,Table1[[#This Row],[Claim_Amount]])</f>
        <v>0</v>
      </c>
      <c r="J205" s="1" t="str">
        <f>IF(Table1[[#This Row],[Column1]]=0,"",Table1[[#This Row],[Column1]])</f>
        <v/>
      </c>
      <c r="K205" s="1" t="s">
        <v>1098</v>
      </c>
      <c r="M205" s="1" t="s">
        <v>42</v>
      </c>
      <c r="N205" s="1" t="s">
        <v>32</v>
      </c>
      <c r="P205" s="1" t="s">
        <v>37</v>
      </c>
    </row>
    <row r="206" spans="1:16" ht="15.75" customHeight="1" x14ac:dyDescent="0.35">
      <c r="A206" s="1" t="s">
        <v>55</v>
      </c>
      <c r="B206" s="1" t="s">
        <v>410</v>
      </c>
      <c r="C206" s="1" t="s">
        <v>308</v>
      </c>
      <c r="D206" s="1" t="s">
        <v>411</v>
      </c>
      <c r="E206" s="1" t="s">
        <v>22</v>
      </c>
      <c r="G206" s="1" t="s">
        <v>48</v>
      </c>
      <c r="H206" s="1">
        <v>2672.7</v>
      </c>
      <c r="I206" s="1">
        <f>IF(Table1[[#This Row],[Claim_Amount]]&lt;0,0,Table1[[#This Row],[Claim_Amount]])</f>
        <v>2672.7</v>
      </c>
      <c r="J206" s="1">
        <f>IF(Table1[[#This Row],[Column1]]=0,"",Table1[[#This Row],[Column1]])</f>
        <v>2672.7</v>
      </c>
      <c r="K206" s="1">
        <v>2672.7</v>
      </c>
      <c r="L206" s="1">
        <v>4360.7</v>
      </c>
      <c r="M206" s="1" t="s">
        <v>17</v>
      </c>
      <c r="N206" s="1" t="s">
        <v>18</v>
      </c>
    </row>
    <row r="207" spans="1:16" ht="15.75" customHeight="1" x14ac:dyDescent="0.35">
      <c r="A207" s="1" t="s">
        <v>173</v>
      </c>
      <c r="C207" s="1" t="s">
        <v>314</v>
      </c>
      <c r="D207" s="1" t="s">
        <v>412</v>
      </c>
      <c r="E207" s="1" t="s">
        <v>85</v>
      </c>
      <c r="F207" s="1" t="s">
        <v>31</v>
      </c>
      <c r="I207">
        <f>IF(Table1[[#This Row],[Claim_Amount]]&lt;0,0,Table1[[#This Row],[Claim_Amount]])</f>
        <v>0</v>
      </c>
      <c r="J207" t="str">
        <f>IF(Table1[[#This Row],[Column1]]=0,"",Table1[[#This Row],[Column1]])</f>
        <v/>
      </c>
      <c r="K207" t="s">
        <v>1098</v>
      </c>
      <c r="L207" s="1">
        <v>1086.44</v>
      </c>
      <c r="M207" s="1" t="s">
        <v>36</v>
      </c>
      <c r="N207" s="1" t="s">
        <v>18</v>
      </c>
      <c r="O207" s="1">
        <v>31</v>
      </c>
      <c r="P207" s="1" t="s">
        <v>65</v>
      </c>
    </row>
    <row r="208" spans="1:16" ht="15.75" customHeight="1" x14ac:dyDescent="0.35">
      <c r="A208" s="1" t="s">
        <v>110</v>
      </c>
      <c r="D208" s="1" t="s">
        <v>413</v>
      </c>
      <c r="E208" s="1" t="s">
        <v>16</v>
      </c>
      <c r="F208" s="1" t="s">
        <v>47</v>
      </c>
      <c r="G208" s="1" t="s">
        <v>24</v>
      </c>
      <c r="I208">
        <f>IF(Table1[[#This Row],[Claim_Amount]]&lt;0,0,Table1[[#This Row],[Claim_Amount]])</f>
        <v>0</v>
      </c>
      <c r="J208" t="str">
        <f>IF(Table1[[#This Row],[Column1]]=0,"",Table1[[#This Row],[Column1]])</f>
        <v/>
      </c>
      <c r="K208" t="s">
        <v>1098</v>
      </c>
      <c r="M208" s="1" t="s">
        <v>17</v>
      </c>
      <c r="N208" s="1" t="s">
        <v>26</v>
      </c>
      <c r="O208" s="1">
        <v>43</v>
      </c>
      <c r="P208" s="1" t="s">
        <v>65</v>
      </c>
    </row>
    <row r="209" spans="1:16" ht="15.75" customHeight="1" x14ac:dyDescent="0.35">
      <c r="A209" s="1" t="s">
        <v>198</v>
      </c>
      <c r="C209" s="1" t="s">
        <v>414</v>
      </c>
      <c r="D209" s="1" t="s">
        <v>84</v>
      </c>
      <c r="E209" s="1" t="s">
        <v>92</v>
      </c>
      <c r="F209" s="1" t="s">
        <v>93</v>
      </c>
      <c r="G209" s="1" t="s">
        <v>61</v>
      </c>
      <c r="I209">
        <f>IF(Table1[[#This Row],[Claim_Amount]]&lt;0,0,Table1[[#This Row],[Claim_Amount]])</f>
        <v>0</v>
      </c>
      <c r="J209" t="str">
        <f>IF(Table1[[#This Row],[Column1]]=0,"",Table1[[#This Row],[Column1]])</f>
        <v/>
      </c>
      <c r="K209" t="s">
        <v>1098</v>
      </c>
      <c r="M209" s="1" t="s">
        <v>36</v>
      </c>
      <c r="N209" s="1" t="s">
        <v>57</v>
      </c>
      <c r="P209" s="1" t="s">
        <v>65</v>
      </c>
    </row>
    <row r="210" spans="1:16" ht="15.75" customHeight="1" x14ac:dyDescent="0.35">
      <c r="A210" s="1" t="s">
        <v>114</v>
      </c>
      <c r="C210" s="1" t="s">
        <v>63</v>
      </c>
      <c r="D210" s="1" t="s">
        <v>415</v>
      </c>
      <c r="E210" s="1" t="s">
        <v>85</v>
      </c>
      <c r="G210" s="1" t="s">
        <v>24</v>
      </c>
      <c r="I210">
        <f>IF(Table1[[#This Row],[Claim_Amount]]&lt;0,0,Table1[[#This Row],[Claim_Amount]])</f>
        <v>0</v>
      </c>
      <c r="J210" t="str">
        <f>IF(Table1[[#This Row],[Column1]]=0,"",Table1[[#This Row],[Column1]])</f>
        <v/>
      </c>
      <c r="K210" t="s">
        <v>1098</v>
      </c>
      <c r="M210" s="1" t="s">
        <v>25</v>
      </c>
      <c r="N210" s="1" t="s">
        <v>49</v>
      </c>
      <c r="P210" s="1" t="s">
        <v>27</v>
      </c>
    </row>
    <row r="211" spans="1:16" ht="15.75" customHeight="1" x14ac:dyDescent="0.35">
      <c r="A211" s="1" t="s">
        <v>202</v>
      </c>
      <c r="C211" s="1" t="s">
        <v>416</v>
      </c>
      <c r="D211" s="1" t="s">
        <v>417</v>
      </c>
      <c r="E211" s="1" t="s">
        <v>16</v>
      </c>
      <c r="G211" s="1" t="s">
        <v>61</v>
      </c>
      <c r="H211" s="1">
        <v>2113.04</v>
      </c>
      <c r="I211" s="1">
        <f>IF(Table1[[#This Row],[Claim_Amount]]&lt;0,0,Table1[[#This Row],[Claim_Amount]])</f>
        <v>2113.04</v>
      </c>
      <c r="J211" s="1">
        <f>IF(Table1[[#This Row],[Column1]]=0,"",Table1[[#This Row],[Column1]])</f>
        <v>2113.04</v>
      </c>
      <c r="K211" s="1">
        <v>2113.04</v>
      </c>
      <c r="M211" s="1" t="s">
        <v>17</v>
      </c>
      <c r="N211" s="1" t="s">
        <v>18</v>
      </c>
      <c r="P211" s="1" t="s">
        <v>19</v>
      </c>
    </row>
    <row r="212" spans="1:16" ht="15.75" customHeight="1" x14ac:dyDescent="0.35">
      <c r="A212" s="1" t="s">
        <v>192</v>
      </c>
      <c r="D212" s="1" t="s">
        <v>418</v>
      </c>
      <c r="E212" s="1" t="s">
        <v>77</v>
      </c>
      <c r="F212" s="1" t="s">
        <v>23</v>
      </c>
      <c r="G212" s="1" t="s">
        <v>54</v>
      </c>
      <c r="I212">
        <f>IF(Table1[[#This Row],[Claim_Amount]]&lt;0,0,Table1[[#This Row],[Claim_Amount]])</f>
        <v>0</v>
      </c>
      <c r="J212" t="str">
        <f>IF(Table1[[#This Row],[Column1]]=0,"",Table1[[#This Row],[Column1]])</f>
        <v/>
      </c>
      <c r="K212" t="s">
        <v>1098</v>
      </c>
      <c r="L212" s="1">
        <v>614.36</v>
      </c>
      <c r="M212" s="1" t="s">
        <v>121</v>
      </c>
      <c r="N212" s="1" t="s">
        <v>18</v>
      </c>
      <c r="O212" s="1">
        <v>38</v>
      </c>
      <c r="P212" s="1" t="s">
        <v>27</v>
      </c>
    </row>
    <row r="213" spans="1:16" ht="15.75" customHeight="1" x14ac:dyDescent="0.35">
      <c r="A213" s="1" t="s">
        <v>302</v>
      </c>
      <c r="D213" s="1" t="s">
        <v>419</v>
      </c>
      <c r="E213" s="1" t="s">
        <v>77</v>
      </c>
      <c r="F213" s="1" t="s">
        <v>93</v>
      </c>
      <c r="I213">
        <f>IF(Table1[[#This Row],[Claim_Amount]]&lt;0,0,Table1[[#This Row],[Claim_Amount]])</f>
        <v>0</v>
      </c>
      <c r="J213" t="str">
        <f>IF(Table1[[#This Row],[Column1]]=0,"",Table1[[#This Row],[Column1]])</f>
        <v/>
      </c>
      <c r="K213" t="s">
        <v>1098</v>
      </c>
      <c r="M213" s="1" t="s">
        <v>25</v>
      </c>
      <c r="N213" s="1" t="s">
        <v>26</v>
      </c>
      <c r="P213" s="1" t="s">
        <v>37</v>
      </c>
    </row>
    <row r="214" spans="1:16" ht="15.75" customHeight="1" x14ac:dyDescent="0.35">
      <c r="A214" s="1" t="s">
        <v>50</v>
      </c>
      <c r="C214" s="1" t="s">
        <v>68</v>
      </c>
      <c r="D214" s="1" t="s">
        <v>420</v>
      </c>
      <c r="E214" s="1" t="s">
        <v>92</v>
      </c>
      <c r="F214" s="1" t="s">
        <v>31</v>
      </c>
      <c r="G214" s="1" t="s">
        <v>48</v>
      </c>
      <c r="H214" s="1">
        <v>297.89999999999998</v>
      </c>
      <c r="I214" s="1">
        <f>IF(Table1[[#This Row],[Claim_Amount]]&lt;0,0,Table1[[#This Row],[Claim_Amount]])</f>
        <v>297.89999999999998</v>
      </c>
      <c r="J214" s="1">
        <f>IF(Table1[[#This Row],[Column1]]=0,"",Table1[[#This Row],[Column1]])</f>
        <v>297.89999999999998</v>
      </c>
      <c r="K214" s="1">
        <v>297.89999999999998</v>
      </c>
      <c r="M214" s="1" t="s">
        <v>42</v>
      </c>
      <c r="N214" s="1" t="s">
        <v>49</v>
      </c>
      <c r="O214" s="1">
        <v>47</v>
      </c>
      <c r="P214" s="1" t="s">
        <v>19</v>
      </c>
    </row>
    <row r="215" spans="1:16" ht="15.75" customHeight="1" x14ac:dyDescent="0.35">
      <c r="A215" s="1" t="s">
        <v>231</v>
      </c>
      <c r="B215" s="1" t="s">
        <v>421</v>
      </c>
      <c r="C215" s="1" t="s">
        <v>422</v>
      </c>
      <c r="D215" s="1" t="s">
        <v>423</v>
      </c>
      <c r="E215" s="1" t="s">
        <v>92</v>
      </c>
      <c r="G215" s="1" t="s">
        <v>61</v>
      </c>
      <c r="I215">
        <f>IF(Table1[[#This Row],[Claim_Amount]]&lt;0,0,Table1[[#This Row],[Claim_Amount]])</f>
        <v>0</v>
      </c>
      <c r="J215" t="str">
        <f>IF(Table1[[#This Row],[Column1]]=0,"",Table1[[#This Row],[Column1]])</f>
        <v/>
      </c>
      <c r="K215" t="s">
        <v>1098</v>
      </c>
      <c r="M215" s="1" t="s">
        <v>121</v>
      </c>
      <c r="N215" s="1" t="s">
        <v>32</v>
      </c>
      <c r="P215" s="1" t="s">
        <v>37</v>
      </c>
    </row>
    <row r="216" spans="1:16" ht="15.75" customHeight="1" x14ac:dyDescent="0.35">
      <c r="A216" s="1" t="s">
        <v>70</v>
      </c>
      <c r="B216" s="1" t="s">
        <v>424</v>
      </c>
      <c r="C216" s="1" t="s">
        <v>425</v>
      </c>
      <c r="D216" s="1" t="s">
        <v>426</v>
      </c>
      <c r="E216" s="1" t="s">
        <v>77</v>
      </c>
      <c r="F216" s="1" t="s">
        <v>47</v>
      </c>
      <c r="G216" s="1" t="s">
        <v>48</v>
      </c>
      <c r="H216" s="1">
        <v>-183</v>
      </c>
      <c r="I216" s="1">
        <f>IF(Table1[[#This Row],[Claim_Amount]]&lt;0,0,Table1[[#This Row],[Claim_Amount]])</f>
        <v>0</v>
      </c>
      <c r="J216" s="1" t="str">
        <f>IF(Table1[[#This Row],[Column1]]=0,"",Table1[[#This Row],[Column1]])</f>
        <v/>
      </c>
      <c r="K216" s="1" t="s">
        <v>1098</v>
      </c>
      <c r="M216" s="1" t="s">
        <v>42</v>
      </c>
      <c r="N216" s="1" t="s">
        <v>57</v>
      </c>
      <c r="P216" s="1" t="s">
        <v>65</v>
      </c>
    </row>
    <row r="217" spans="1:16" ht="15.75" customHeight="1" x14ac:dyDescent="0.35">
      <c r="A217" s="1" t="s">
        <v>285</v>
      </c>
      <c r="B217" s="1" t="s">
        <v>427</v>
      </c>
      <c r="D217" s="1" t="s">
        <v>428</v>
      </c>
      <c r="E217" s="1" t="s">
        <v>92</v>
      </c>
      <c r="F217" s="1" t="s">
        <v>23</v>
      </c>
      <c r="I217">
        <f>IF(Table1[[#This Row],[Claim_Amount]]&lt;0,0,Table1[[#This Row],[Claim_Amount]])</f>
        <v>0</v>
      </c>
      <c r="J217" t="str">
        <f>IF(Table1[[#This Row],[Column1]]=0,"",Table1[[#This Row],[Column1]])</f>
        <v/>
      </c>
      <c r="K217" t="s">
        <v>1098</v>
      </c>
      <c r="M217" s="1" t="s">
        <v>42</v>
      </c>
      <c r="N217" s="1" t="s">
        <v>57</v>
      </c>
    </row>
    <row r="218" spans="1:16" ht="15.75" customHeight="1" x14ac:dyDescent="0.35">
      <c r="A218" s="1" t="s">
        <v>108</v>
      </c>
      <c r="C218" s="1" t="s">
        <v>183</v>
      </c>
      <c r="D218" s="1" t="s">
        <v>429</v>
      </c>
      <c r="E218" s="1" t="s">
        <v>35</v>
      </c>
      <c r="F218" s="1" t="s">
        <v>53</v>
      </c>
      <c r="G218" s="1" t="s">
        <v>24</v>
      </c>
      <c r="H218" s="1">
        <v>4203.21</v>
      </c>
      <c r="I218" s="1">
        <f>IF(Table1[[#This Row],[Claim_Amount]]&lt;0,0,Table1[[#This Row],[Claim_Amount]])</f>
        <v>4203.21</v>
      </c>
      <c r="J218" s="1">
        <f>IF(Table1[[#This Row],[Column1]]=0,"",Table1[[#This Row],[Column1]])</f>
        <v>4203.21</v>
      </c>
      <c r="K218" s="1">
        <v>4203.21</v>
      </c>
      <c r="L218" s="1">
        <v>107.64</v>
      </c>
      <c r="M218" s="1" t="s">
        <v>36</v>
      </c>
      <c r="N218" s="1" t="s">
        <v>49</v>
      </c>
      <c r="P218" s="1" t="s">
        <v>65</v>
      </c>
    </row>
    <row r="219" spans="1:16" ht="15.75" customHeight="1" x14ac:dyDescent="0.35">
      <c r="A219" s="1" t="s">
        <v>430</v>
      </c>
      <c r="C219" s="1" t="s">
        <v>139</v>
      </c>
      <c r="D219" s="1" t="s">
        <v>431</v>
      </c>
      <c r="E219" s="1" t="s">
        <v>85</v>
      </c>
      <c r="F219" s="1" t="s">
        <v>47</v>
      </c>
      <c r="H219" s="1">
        <v>1924.26</v>
      </c>
      <c r="I219" s="1">
        <f>IF(Table1[[#This Row],[Claim_Amount]]&lt;0,0,Table1[[#This Row],[Claim_Amount]])</f>
        <v>1924.26</v>
      </c>
      <c r="J219" s="1">
        <f>IF(Table1[[#This Row],[Column1]]=0,"",Table1[[#This Row],[Column1]])</f>
        <v>1924.26</v>
      </c>
      <c r="K219" s="1">
        <v>1924.26</v>
      </c>
      <c r="M219" s="1" t="s">
        <v>121</v>
      </c>
      <c r="N219" s="1" t="s">
        <v>26</v>
      </c>
      <c r="P219" s="1" t="s">
        <v>37</v>
      </c>
    </row>
    <row r="220" spans="1:16" ht="15.75" customHeight="1" x14ac:dyDescent="0.35">
      <c r="A220" s="1" t="s">
        <v>58</v>
      </c>
      <c r="C220" s="1" t="s">
        <v>133</v>
      </c>
      <c r="D220" s="1" t="s">
        <v>432</v>
      </c>
      <c r="E220" s="1" t="s">
        <v>30</v>
      </c>
      <c r="F220" s="1" t="s">
        <v>47</v>
      </c>
      <c r="G220" s="1" t="s">
        <v>61</v>
      </c>
      <c r="I220">
        <f>IF(Table1[[#This Row],[Claim_Amount]]&lt;0,0,Table1[[#This Row],[Claim_Amount]])</f>
        <v>0</v>
      </c>
      <c r="J220" t="str">
        <f>IF(Table1[[#This Row],[Column1]]=0,"",Table1[[#This Row],[Column1]])</f>
        <v/>
      </c>
      <c r="K220" t="s">
        <v>1098</v>
      </c>
      <c r="M220" s="1" t="s">
        <v>17</v>
      </c>
      <c r="N220" s="1" t="s">
        <v>49</v>
      </c>
      <c r="P220" s="1" t="s">
        <v>27</v>
      </c>
    </row>
    <row r="221" spans="1:16" ht="15.75" customHeight="1" x14ac:dyDescent="0.35">
      <c r="A221" s="1" t="s">
        <v>82</v>
      </c>
      <c r="D221" s="1" t="s">
        <v>433</v>
      </c>
      <c r="E221" s="1" t="s">
        <v>16</v>
      </c>
      <c r="G221" s="1" t="s">
        <v>24</v>
      </c>
      <c r="I221">
        <f>IF(Table1[[#This Row],[Claim_Amount]]&lt;0,0,Table1[[#This Row],[Claim_Amount]])</f>
        <v>0</v>
      </c>
      <c r="J221" t="str">
        <f>IF(Table1[[#This Row],[Column1]]=0,"",Table1[[#This Row],[Column1]])</f>
        <v/>
      </c>
      <c r="K221" t="s">
        <v>1098</v>
      </c>
      <c r="M221" s="1" t="s">
        <v>25</v>
      </c>
      <c r="N221" s="1" t="s">
        <v>26</v>
      </c>
      <c r="O221" s="1">
        <v>57</v>
      </c>
      <c r="P221" s="1" t="s">
        <v>37</v>
      </c>
    </row>
    <row r="222" spans="1:16" ht="15.75" customHeight="1" x14ac:dyDescent="0.35">
      <c r="A222" s="1" t="s">
        <v>277</v>
      </c>
      <c r="D222" s="1" t="s">
        <v>120</v>
      </c>
      <c r="E222" s="1" t="s">
        <v>85</v>
      </c>
      <c r="F222" s="1" t="s">
        <v>23</v>
      </c>
      <c r="G222" s="1" t="s">
        <v>48</v>
      </c>
      <c r="I222">
        <f>IF(Table1[[#This Row],[Claim_Amount]]&lt;0,0,Table1[[#This Row],[Claim_Amount]])</f>
        <v>0</v>
      </c>
      <c r="J222" t="str">
        <f>IF(Table1[[#This Row],[Column1]]=0,"",Table1[[#This Row],[Column1]])</f>
        <v/>
      </c>
      <c r="K222" t="s">
        <v>1098</v>
      </c>
      <c r="M222" s="1" t="s">
        <v>25</v>
      </c>
      <c r="N222" s="1" t="s">
        <v>57</v>
      </c>
      <c r="P222" s="1" t="s">
        <v>37</v>
      </c>
    </row>
    <row r="223" spans="1:16" ht="15.75" customHeight="1" x14ac:dyDescent="0.35">
      <c r="A223" s="1" t="s">
        <v>249</v>
      </c>
      <c r="D223" s="1" t="s">
        <v>434</v>
      </c>
      <c r="E223" s="1" t="s">
        <v>77</v>
      </c>
      <c r="F223" s="1" t="s">
        <v>47</v>
      </c>
      <c r="G223" s="1" t="s">
        <v>48</v>
      </c>
      <c r="I223">
        <f>IF(Table1[[#This Row],[Claim_Amount]]&lt;0,0,Table1[[#This Row],[Claim_Amount]])</f>
        <v>0</v>
      </c>
      <c r="J223" t="str">
        <f>IF(Table1[[#This Row],[Column1]]=0,"",Table1[[#This Row],[Column1]])</f>
        <v/>
      </c>
      <c r="K223" t="s">
        <v>1098</v>
      </c>
      <c r="L223" s="1">
        <v>3665.95</v>
      </c>
      <c r="M223" s="1" t="s">
        <v>25</v>
      </c>
      <c r="N223" s="1" t="s">
        <v>49</v>
      </c>
    </row>
    <row r="224" spans="1:16" ht="15.75" customHeight="1" x14ac:dyDescent="0.35">
      <c r="A224" s="1" t="s">
        <v>58</v>
      </c>
      <c r="C224" s="1" t="s">
        <v>363</v>
      </c>
      <c r="D224" s="1" t="s">
        <v>307</v>
      </c>
      <c r="E224" s="1" t="s">
        <v>77</v>
      </c>
      <c r="F224" s="1" t="s">
        <v>93</v>
      </c>
      <c r="G224" s="1" t="s">
        <v>24</v>
      </c>
      <c r="I224">
        <f>IF(Table1[[#This Row],[Claim_Amount]]&lt;0,0,Table1[[#This Row],[Claim_Amount]])</f>
        <v>0</v>
      </c>
      <c r="J224" t="str">
        <f>IF(Table1[[#This Row],[Column1]]=0,"",Table1[[#This Row],[Column1]])</f>
        <v/>
      </c>
      <c r="K224" t="s">
        <v>1098</v>
      </c>
      <c r="M224" s="1" t="s">
        <v>42</v>
      </c>
      <c r="N224" s="1" t="s">
        <v>57</v>
      </c>
      <c r="O224" s="1">
        <v>40</v>
      </c>
      <c r="P224" s="1" t="s">
        <v>65</v>
      </c>
    </row>
    <row r="225" spans="1:16" ht="15.75" customHeight="1" x14ac:dyDescent="0.35">
      <c r="A225" s="1" t="s">
        <v>187</v>
      </c>
      <c r="D225" s="1" t="s">
        <v>435</v>
      </c>
      <c r="E225" s="1" t="s">
        <v>85</v>
      </c>
      <c r="F225" s="1" t="s">
        <v>47</v>
      </c>
      <c r="G225" s="1" t="s">
        <v>54</v>
      </c>
      <c r="H225" s="1">
        <v>3486.84</v>
      </c>
      <c r="I225" s="1">
        <f>IF(Table1[[#This Row],[Claim_Amount]]&lt;0,0,Table1[[#This Row],[Claim_Amount]])</f>
        <v>3486.84</v>
      </c>
      <c r="J225" s="1">
        <f>IF(Table1[[#This Row],[Column1]]=0,"",Table1[[#This Row],[Column1]])</f>
        <v>3486.84</v>
      </c>
      <c r="K225" s="1">
        <v>3486.84</v>
      </c>
      <c r="M225" s="1" t="s">
        <v>121</v>
      </c>
      <c r="N225" s="1" t="s">
        <v>57</v>
      </c>
      <c r="P225" s="1" t="s">
        <v>37</v>
      </c>
    </row>
    <row r="226" spans="1:16" ht="15.75" customHeight="1" x14ac:dyDescent="0.35">
      <c r="A226" s="1" t="s">
        <v>275</v>
      </c>
      <c r="D226" s="1" t="s">
        <v>436</v>
      </c>
      <c r="E226" s="1" t="s">
        <v>77</v>
      </c>
      <c r="F226" s="1" t="s">
        <v>93</v>
      </c>
      <c r="G226" s="1" t="s">
        <v>61</v>
      </c>
      <c r="I226">
        <f>IF(Table1[[#This Row],[Claim_Amount]]&lt;0,0,Table1[[#This Row],[Claim_Amount]])</f>
        <v>0</v>
      </c>
      <c r="J226" t="str">
        <f>IF(Table1[[#This Row],[Column1]]=0,"",Table1[[#This Row],[Column1]])</f>
        <v/>
      </c>
      <c r="K226" t="s">
        <v>1098</v>
      </c>
      <c r="L226" s="1">
        <v>3763.42</v>
      </c>
      <c r="M226" s="1" t="s">
        <v>42</v>
      </c>
      <c r="N226" s="1" t="s">
        <v>32</v>
      </c>
      <c r="O226" s="1">
        <v>9</v>
      </c>
      <c r="P226" s="1" t="s">
        <v>27</v>
      </c>
    </row>
    <row r="227" spans="1:16" ht="15.75" customHeight="1" x14ac:dyDescent="0.35">
      <c r="A227" s="1" t="s">
        <v>187</v>
      </c>
      <c r="D227" s="1" t="s">
        <v>437</v>
      </c>
      <c r="E227" s="1" t="s">
        <v>35</v>
      </c>
      <c r="F227" s="1" t="s">
        <v>47</v>
      </c>
      <c r="G227" s="1" t="s">
        <v>24</v>
      </c>
      <c r="H227" s="1">
        <v>-153</v>
      </c>
      <c r="I227" s="1">
        <f>IF(Table1[[#This Row],[Claim_Amount]]&lt;0,0,Table1[[#This Row],[Claim_Amount]])</f>
        <v>0</v>
      </c>
      <c r="J227" s="1" t="str">
        <f>IF(Table1[[#This Row],[Column1]]=0,"",Table1[[#This Row],[Column1]])</f>
        <v/>
      </c>
      <c r="K227" s="1" t="s">
        <v>1098</v>
      </c>
      <c r="M227" s="1" t="s">
        <v>42</v>
      </c>
      <c r="N227" s="1" t="s">
        <v>26</v>
      </c>
      <c r="P227" s="1" t="s">
        <v>37</v>
      </c>
    </row>
    <row r="228" spans="1:16" ht="15.75" customHeight="1" x14ac:dyDescent="0.35">
      <c r="A228" s="1" t="s">
        <v>70</v>
      </c>
      <c r="C228" s="1" t="s">
        <v>228</v>
      </c>
      <c r="D228" s="1" t="s">
        <v>438</v>
      </c>
      <c r="E228" s="1" t="s">
        <v>22</v>
      </c>
      <c r="F228" s="1" t="s">
        <v>53</v>
      </c>
      <c r="G228" s="1" t="s">
        <v>24</v>
      </c>
      <c r="I228">
        <f>IF(Table1[[#This Row],[Claim_Amount]]&lt;0,0,Table1[[#This Row],[Claim_Amount]])</f>
        <v>0</v>
      </c>
      <c r="J228" t="str">
        <f>IF(Table1[[#This Row],[Column1]]=0,"",Table1[[#This Row],[Column1]])</f>
        <v/>
      </c>
      <c r="K228" t="s">
        <v>1098</v>
      </c>
      <c r="M228" s="1" t="s">
        <v>36</v>
      </c>
      <c r="N228" s="1" t="s">
        <v>18</v>
      </c>
      <c r="P228" s="1" t="s">
        <v>65</v>
      </c>
    </row>
    <row r="229" spans="1:16" ht="15.75" customHeight="1" x14ac:dyDescent="0.35">
      <c r="A229" s="1" t="s">
        <v>261</v>
      </c>
      <c r="B229" s="1" t="s">
        <v>74</v>
      </c>
      <c r="C229" s="1" t="s">
        <v>135</v>
      </c>
      <c r="D229" s="1" t="s">
        <v>439</v>
      </c>
      <c r="E229" s="1" t="s">
        <v>77</v>
      </c>
      <c r="F229" s="1" t="s">
        <v>23</v>
      </c>
      <c r="G229" s="1" t="s">
        <v>48</v>
      </c>
      <c r="I229">
        <f>IF(Table1[[#This Row],[Claim_Amount]]&lt;0,0,Table1[[#This Row],[Claim_Amount]])</f>
        <v>0</v>
      </c>
      <c r="J229" t="str">
        <f>IF(Table1[[#This Row],[Column1]]=0,"",Table1[[#This Row],[Column1]])</f>
        <v/>
      </c>
      <c r="K229" t="s">
        <v>1098</v>
      </c>
      <c r="M229" s="1" t="s">
        <v>25</v>
      </c>
      <c r="N229" s="1" t="s">
        <v>32</v>
      </c>
      <c r="P229" s="1" t="s">
        <v>65</v>
      </c>
    </row>
    <row r="230" spans="1:16" ht="15.75" customHeight="1" x14ac:dyDescent="0.35">
      <c r="A230" s="1" t="s">
        <v>166</v>
      </c>
      <c r="C230" s="1" t="s">
        <v>440</v>
      </c>
      <c r="D230" s="1" t="s">
        <v>441</v>
      </c>
      <c r="E230" s="1" t="s">
        <v>77</v>
      </c>
      <c r="F230" s="1" t="s">
        <v>47</v>
      </c>
      <c r="G230" s="1" t="s">
        <v>54</v>
      </c>
      <c r="I230">
        <f>IF(Table1[[#This Row],[Claim_Amount]]&lt;0,0,Table1[[#This Row],[Claim_Amount]])</f>
        <v>0</v>
      </c>
      <c r="J230" t="str">
        <f>IF(Table1[[#This Row],[Column1]]=0,"",Table1[[#This Row],[Column1]])</f>
        <v/>
      </c>
      <c r="K230" t="s">
        <v>1098</v>
      </c>
      <c r="L230" s="1">
        <v>2650.71</v>
      </c>
      <c r="M230" s="1" t="s">
        <v>36</v>
      </c>
      <c r="N230" s="1" t="s">
        <v>26</v>
      </c>
      <c r="P230" s="1" t="s">
        <v>65</v>
      </c>
    </row>
    <row r="231" spans="1:16" ht="15.75" customHeight="1" x14ac:dyDescent="0.35">
      <c r="A231" s="1" t="s">
        <v>70</v>
      </c>
      <c r="C231" s="1" t="s">
        <v>442</v>
      </c>
      <c r="D231" s="1" t="s">
        <v>91</v>
      </c>
      <c r="E231" s="1" t="s">
        <v>92</v>
      </c>
      <c r="F231" s="1" t="s">
        <v>31</v>
      </c>
      <c r="G231" s="1" t="s">
        <v>41</v>
      </c>
      <c r="H231" s="1">
        <v>-168</v>
      </c>
      <c r="I231" s="1">
        <f>IF(Table1[[#This Row],[Claim_Amount]]&lt;0,0,Table1[[#This Row],[Claim_Amount]])</f>
        <v>0</v>
      </c>
      <c r="J231" s="1" t="str">
        <f>IF(Table1[[#This Row],[Column1]]=0,"",Table1[[#This Row],[Column1]])</f>
        <v/>
      </c>
      <c r="K231" s="1" t="s">
        <v>1098</v>
      </c>
      <c r="M231" s="1" t="s">
        <v>25</v>
      </c>
      <c r="N231" s="1" t="s">
        <v>26</v>
      </c>
      <c r="P231" s="1" t="s">
        <v>37</v>
      </c>
    </row>
    <row r="232" spans="1:16" ht="15.75" customHeight="1" x14ac:dyDescent="0.35">
      <c r="A232" s="1" t="s">
        <v>170</v>
      </c>
      <c r="C232" s="1" t="s">
        <v>87</v>
      </c>
      <c r="D232" s="1" t="s">
        <v>443</v>
      </c>
      <c r="E232" s="1" t="s">
        <v>22</v>
      </c>
      <c r="F232" s="1" t="s">
        <v>23</v>
      </c>
      <c r="G232" s="1" t="s">
        <v>48</v>
      </c>
      <c r="I232">
        <f>IF(Table1[[#This Row],[Claim_Amount]]&lt;0,0,Table1[[#This Row],[Claim_Amount]])</f>
        <v>0</v>
      </c>
      <c r="J232" t="str">
        <f>IF(Table1[[#This Row],[Column1]]=0,"",Table1[[#This Row],[Column1]])</f>
        <v/>
      </c>
      <c r="K232" t="s">
        <v>1098</v>
      </c>
      <c r="M232" s="1" t="s">
        <v>42</v>
      </c>
      <c r="N232" s="1" t="s">
        <v>57</v>
      </c>
      <c r="P232" s="1" t="s">
        <v>37</v>
      </c>
    </row>
    <row r="233" spans="1:16" ht="15.75" customHeight="1" x14ac:dyDescent="0.35">
      <c r="A233" s="1" t="s">
        <v>117</v>
      </c>
      <c r="C233" s="1" t="s">
        <v>130</v>
      </c>
      <c r="D233" s="1" t="s">
        <v>444</v>
      </c>
      <c r="E233" s="1" t="s">
        <v>85</v>
      </c>
      <c r="F233" s="1" t="s">
        <v>47</v>
      </c>
      <c r="G233" s="1" t="s">
        <v>54</v>
      </c>
      <c r="I233">
        <f>IF(Table1[[#This Row],[Claim_Amount]]&lt;0,0,Table1[[#This Row],[Claim_Amount]])</f>
        <v>0</v>
      </c>
      <c r="J233" t="str">
        <f>IF(Table1[[#This Row],[Column1]]=0,"",Table1[[#This Row],[Column1]])</f>
        <v/>
      </c>
      <c r="K233" t="s">
        <v>1098</v>
      </c>
      <c r="L233" s="1">
        <v>3368.16</v>
      </c>
      <c r="M233" s="1" t="s">
        <v>121</v>
      </c>
      <c r="N233" s="1" t="s">
        <v>26</v>
      </c>
      <c r="P233" s="1" t="s">
        <v>37</v>
      </c>
    </row>
    <row r="234" spans="1:16" ht="15.75" customHeight="1" x14ac:dyDescent="0.35">
      <c r="A234" s="1" t="s">
        <v>43</v>
      </c>
      <c r="C234" s="1" t="s">
        <v>135</v>
      </c>
      <c r="D234" s="1" t="s">
        <v>445</v>
      </c>
      <c r="E234" s="1" t="s">
        <v>16</v>
      </c>
      <c r="F234" s="1" t="s">
        <v>23</v>
      </c>
      <c r="G234" s="1" t="s">
        <v>61</v>
      </c>
      <c r="H234" s="1">
        <v>931.06</v>
      </c>
      <c r="I234" s="1">
        <f>IF(Table1[[#This Row],[Claim_Amount]]&lt;0,0,Table1[[#This Row],[Claim_Amount]])</f>
        <v>931.06</v>
      </c>
      <c r="J234" s="1">
        <f>IF(Table1[[#This Row],[Column1]]=0,"",Table1[[#This Row],[Column1]])</f>
        <v>931.06</v>
      </c>
      <c r="K234" s="1">
        <v>931.06</v>
      </c>
      <c r="L234" s="1">
        <v>2896.06</v>
      </c>
      <c r="M234" s="1" t="s">
        <v>42</v>
      </c>
      <c r="N234" s="1" t="s">
        <v>49</v>
      </c>
      <c r="P234" s="1" t="s">
        <v>37</v>
      </c>
    </row>
    <row r="235" spans="1:16" ht="15.75" customHeight="1" x14ac:dyDescent="0.35">
      <c r="A235" s="1" t="s">
        <v>62</v>
      </c>
      <c r="B235" s="1" t="s">
        <v>446</v>
      </c>
      <c r="C235" s="1" t="s">
        <v>447</v>
      </c>
      <c r="D235" s="1" t="s">
        <v>301</v>
      </c>
      <c r="E235" s="1" t="s">
        <v>30</v>
      </c>
      <c r="F235" s="1" t="s">
        <v>23</v>
      </c>
      <c r="H235" s="1">
        <v>2948.76</v>
      </c>
      <c r="I235" s="1">
        <f>IF(Table1[[#This Row],[Claim_Amount]]&lt;0,0,Table1[[#This Row],[Claim_Amount]])</f>
        <v>2948.76</v>
      </c>
      <c r="J235" s="1">
        <f>IF(Table1[[#This Row],[Column1]]=0,"",Table1[[#This Row],[Column1]])</f>
        <v>2948.76</v>
      </c>
      <c r="K235" s="1">
        <v>2948.76</v>
      </c>
      <c r="M235" s="1" t="s">
        <v>25</v>
      </c>
      <c r="N235" s="1" t="s">
        <v>32</v>
      </c>
      <c r="P235" s="1" t="s">
        <v>27</v>
      </c>
    </row>
    <row r="236" spans="1:16" ht="15.75" customHeight="1" x14ac:dyDescent="0.35">
      <c r="A236" s="1" t="s">
        <v>154</v>
      </c>
      <c r="D236" s="1" t="s">
        <v>448</v>
      </c>
      <c r="E236" s="1" t="s">
        <v>77</v>
      </c>
      <c r="F236" s="1" t="s">
        <v>93</v>
      </c>
      <c r="G236" s="1" t="s">
        <v>54</v>
      </c>
      <c r="I236">
        <f>IF(Table1[[#This Row],[Claim_Amount]]&lt;0,0,Table1[[#This Row],[Claim_Amount]])</f>
        <v>0</v>
      </c>
      <c r="J236" t="str">
        <f>IF(Table1[[#This Row],[Column1]]=0,"",Table1[[#This Row],[Column1]])</f>
        <v/>
      </c>
      <c r="K236" t="s">
        <v>1098</v>
      </c>
      <c r="L236" s="1">
        <v>4802.66</v>
      </c>
      <c r="M236" s="1" t="s">
        <v>42</v>
      </c>
      <c r="N236" s="1" t="s">
        <v>32</v>
      </c>
      <c r="O236" s="1">
        <v>60</v>
      </c>
    </row>
    <row r="237" spans="1:16" ht="15.75" customHeight="1" x14ac:dyDescent="0.35">
      <c r="A237" s="1" t="s">
        <v>20</v>
      </c>
      <c r="B237" s="1" t="s">
        <v>449</v>
      </c>
      <c r="C237" s="1" t="s">
        <v>238</v>
      </c>
      <c r="D237" s="1" t="s">
        <v>450</v>
      </c>
      <c r="E237" s="1" t="s">
        <v>30</v>
      </c>
      <c r="F237" s="1" t="s">
        <v>23</v>
      </c>
      <c r="G237" s="1" t="s">
        <v>41</v>
      </c>
      <c r="I237">
        <f>IF(Table1[[#This Row],[Claim_Amount]]&lt;0,0,Table1[[#This Row],[Claim_Amount]])</f>
        <v>0</v>
      </c>
      <c r="J237" t="str">
        <f>IF(Table1[[#This Row],[Column1]]=0,"",Table1[[#This Row],[Column1]])</f>
        <v/>
      </c>
      <c r="K237" t="s">
        <v>1098</v>
      </c>
      <c r="M237" s="1" t="s">
        <v>36</v>
      </c>
      <c r="N237" s="1" t="s">
        <v>18</v>
      </c>
      <c r="O237" s="1">
        <v>10</v>
      </c>
      <c r="P237" s="1" t="s">
        <v>65</v>
      </c>
    </row>
    <row r="238" spans="1:16" ht="15.75" customHeight="1" x14ac:dyDescent="0.35">
      <c r="A238" s="1" t="s">
        <v>110</v>
      </c>
      <c r="B238" s="1" t="s">
        <v>451</v>
      </c>
      <c r="C238" s="1" t="s">
        <v>425</v>
      </c>
      <c r="D238" s="1" t="s">
        <v>452</v>
      </c>
      <c r="E238" s="1" t="s">
        <v>77</v>
      </c>
      <c r="G238" s="1" t="s">
        <v>54</v>
      </c>
      <c r="H238" s="1">
        <v>412.07</v>
      </c>
      <c r="I238" s="1">
        <f>IF(Table1[[#This Row],[Claim_Amount]]&lt;0,0,Table1[[#This Row],[Claim_Amount]])</f>
        <v>412.07</v>
      </c>
      <c r="J238" s="1">
        <f>IF(Table1[[#This Row],[Column1]]=0,"",Table1[[#This Row],[Column1]])</f>
        <v>412.07</v>
      </c>
      <c r="K238" s="1">
        <v>412.07</v>
      </c>
      <c r="L238" s="1">
        <v>1290.9000000000001</v>
      </c>
      <c r="M238" s="1" t="s">
        <v>36</v>
      </c>
      <c r="N238" s="1" t="s">
        <v>49</v>
      </c>
      <c r="P238" s="1" t="s">
        <v>27</v>
      </c>
    </row>
    <row r="239" spans="1:16" ht="15.75" customHeight="1" x14ac:dyDescent="0.35">
      <c r="A239" s="1" t="s">
        <v>277</v>
      </c>
      <c r="C239" s="1" t="s">
        <v>453</v>
      </c>
      <c r="D239" s="1" t="s">
        <v>454</v>
      </c>
      <c r="E239" s="1" t="s">
        <v>92</v>
      </c>
      <c r="F239" s="1" t="s">
        <v>53</v>
      </c>
      <c r="G239" s="1" t="s">
        <v>48</v>
      </c>
      <c r="I239">
        <f>IF(Table1[[#This Row],[Claim_Amount]]&lt;0,0,Table1[[#This Row],[Claim_Amount]])</f>
        <v>0</v>
      </c>
      <c r="J239" t="str">
        <f>IF(Table1[[#This Row],[Column1]]=0,"",Table1[[#This Row],[Column1]])</f>
        <v/>
      </c>
      <c r="K239" t="s">
        <v>1098</v>
      </c>
      <c r="L239" s="1">
        <v>3482.62</v>
      </c>
      <c r="M239" s="1" t="s">
        <v>36</v>
      </c>
      <c r="N239" s="1" t="s">
        <v>57</v>
      </c>
      <c r="P239" s="1" t="s">
        <v>37</v>
      </c>
    </row>
    <row r="240" spans="1:16" ht="15.75" customHeight="1" x14ac:dyDescent="0.35">
      <c r="A240" s="1" t="s">
        <v>132</v>
      </c>
      <c r="C240" s="1" t="s">
        <v>455</v>
      </c>
      <c r="D240" s="1" t="s">
        <v>255</v>
      </c>
      <c r="E240" s="1" t="s">
        <v>22</v>
      </c>
      <c r="F240" s="1" t="s">
        <v>31</v>
      </c>
      <c r="G240" s="1" t="s">
        <v>24</v>
      </c>
      <c r="H240" s="1">
        <v>-94</v>
      </c>
      <c r="I240" s="1">
        <f>IF(Table1[[#This Row],[Claim_Amount]]&lt;0,0,Table1[[#This Row],[Claim_Amount]])</f>
        <v>0</v>
      </c>
      <c r="J240" s="1" t="str">
        <f>IF(Table1[[#This Row],[Column1]]=0,"",Table1[[#This Row],[Column1]])</f>
        <v/>
      </c>
      <c r="K240" s="1" t="s">
        <v>1098</v>
      </c>
      <c r="M240" s="1" t="s">
        <v>42</v>
      </c>
      <c r="N240" s="1" t="s">
        <v>49</v>
      </c>
      <c r="O240" s="1">
        <v>35</v>
      </c>
      <c r="P240" s="1" t="s">
        <v>65</v>
      </c>
    </row>
    <row r="241" spans="1:16" ht="15.75" customHeight="1" x14ac:dyDescent="0.35">
      <c r="A241" s="1" t="s">
        <v>43</v>
      </c>
      <c r="B241" s="1" t="s">
        <v>456</v>
      </c>
      <c r="C241" s="1" t="s">
        <v>97</v>
      </c>
      <c r="D241" s="1" t="s">
        <v>457</v>
      </c>
      <c r="E241" s="1" t="s">
        <v>35</v>
      </c>
      <c r="F241" s="1" t="s">
        <v>23</v>
      </c>
      <c r="H241" s="1">
        <v>423.23</v>
      </c>
      <c r="I241" s="1">
        <f>IF(Table1[[#This Row],[Claim_Amount]]&lt;0,0,Table1[[#This Row],[Claim_Amount]])</f>
        <v>423.23</v>
      </c>
      <c r="J241" s="1">
        <f>IF(Table1[[#This Row],[Column1]]=0,"",Table1[[#This Row],[Column1]])</f>
        <v>423.23</v>
      </c>
      <c r="K241" s="1">
        <v>423.23</v>
      </c>
      <c r="M241" s="1" t="s">
        <v>121</v>
      </c>
      <c r="N241" s="1" t="s">
        <v>57</v>
      </c>
      <c r="O241" s="1">
        <v>13</v>
      </c>
    </row>
    <row r="242" spans="1:16" ht="15.75" customHeight="1" x14ac:dyDescent="0.35">
      <c r="A242" s="1" t="s">
        <v>247</v>
      </c>
      <c r="C242" s="1" t="s">
        <v>458</v>
      </c>
      <c r="D242" s="1" t="s">
        <v>459</v>
      </c>
      <c r="E242" s="1" t="s">
        <v>35</v>
      </c>
      <c r="F242" s="1" t="s">
        <v>31</v>
      </c>
      <c r="G242" s="1" t="s">
        <v>24</v>
      </c>
      <c r="H242" s="1">
        <v>2350.27</v>
      </c>
      <c r="I242" s="1">
        <f>IF(Table1[[#This Row],[Claim_Amount]]&lt;0,0,Table1[[#This Row],[Claim_Amount]])</f>
        <v>2350.27</v>
      </c>
      <c r="J242" s="1">
        <f>IF(Table1[[#This Row],[Column1]]=0,"",Table1[[#This Row],[Column1]])</f>
        <v>2350.27</v>
      </c>
      <c r="K242" s="1">
        <v>2350.27</v>
      </c>
      <c r="M242" s="1" t="s">
        <v>25</v>
      </c>
      <c r="N242" s="1" t="s">
        <v>18</v>
      </c>
      <c r="P242" s="1" t="s">
        <v>65</v>
      </c>
    </row>
    <row r="243" spans="1:16" ht="15.75" customHeight="1" x14ac:dyDescent="0.35">
      <c r="A243" s="1" t="s">
        <v>231</v>
      </c>
      <c r="B243" s="1" t="s">
        <v>460</v>
      </c>
      <c r="C243" s="1" t="s">
        <v>232</v>
      </c>
      <c r="D243" s="1" t="s">
        <v>461</v>
      </c>
      <c r="E243" s="1" t="s">
        <v>22</v>
      </c>
      <c r="F243" s="1" t="s">
        <v>93</v>
      </c>
      <c r="H243" s="1">
        <v>3673.42</v>
      </c>
      <c r="I243" s="1">
        <f>IF(Table1[[#This Row],[Claim_Amount]]&lt;0,0,Table1[[#This Row],[Claim_Amount]])</f>
        <v>3673.42</v>
      </c>
      <c r="J243" s="1">
        <f>IF(Table1[[#This Row],[Column1]]=0,"",Table1[[#This Row],[Column1]])</f>
        <v>3673.42</v>
      </c>
      <c r="K243" s="1">
        <v>3673.42</v>
      </c>
      <c r="M243" s="1" t="s">
        <v>17</v>
      </c>
      <c r="N243" s="1" t="s">
        <v>26</v>
      </c>
      <c r="P243" s="1" t="s">
        <v>65</v>
      </c>
    </row>
    <row r="244" spans="1:16" ht="15.75" customHeight="1" x14ac:dyDescent="0.35">
      <c r="A244" s="1" t="s">
        <v>166</v>
      </c>
      <c r="B244" s="1" t="s">
        <v>462</v>
      </c>
      <c r="D244" s="1" t="s">
        <v>377</v>
      </c>
      <c r="E244" s="1" t="s">
        <v>16</v>
      </c>
      <c r="G244" s="1" t="s">
        <v>41</v>
      </c>
      <c r="I244">
        <f>IF(Table1[[#This Row],[Claim_Amount]]&lt;0,0,Table1[[#This Row],[Claim_Amount]])</f>
        <v>0</v>
      </c>
      <c r="J244" t="str">
        <f>IF(Table1[[#This Row],[Column1]]=0,"",Table1[[#This Row],[Column1]])</f>
        <v/>
      </c>
      <c r="K244" t="s">
        <v>1098</v>
      </c>
      <c r="M244" s="1" t="s">
        <v>36</v>
      </c>
      <c r="N244" s="1" t="s">
        <v>57</v>
      </c>
      <c r="O244" s="1">
        <v>36</v>
      </c>
      <c r="P244" s="1" t="s">
        <v>37</v>
      </c>
    </row>
    <row r="245" spans="1:16" ht="15.75" customHeight="1" x14ac:dyDescent="0.35">
      <c r="A245" s="1" t="s">
        <v>43</v>
      </c>
      <c r="C245" s="1" t="s">
        <v>463</v>
      </c>
      <c r="D245" s="1" t="s">
        <v>464</v>
      </c>
      <c r="E245" s="1" t="s">
        <v>30</v>
      </c>
      <c r="F245" s="1" t="s">
        <v>53</v>
      </c>
      <c r="G245" s="1" t="s">
        <v>41</v>
      </c>
      <c r="H245" s="1">
        <v>-98</v>
      </c>
      <c r="I245" s="1">
        <f>IF(Table1[[#This Row],[Claim_Amount]]&lt;0,0,Table1[[#This Row],[Claim_Amount]])</f>
        <v>0</v>
      </c>
      <c r="J245" s="1" t="str">
        <f>IF(Table1[[#This Row],[Column1]]=0,"",Table1[[#This Row],[Column1]])</f>
        <v/>
      </c>
      <c r="K245" s="1" t="s">
        <v>1098</v>
      </c>
      <c r="M245" s="1" t="s">
        <v>25</v>
      </c>
      <c r="N245" s="1" t="s">
        <v>57</v>
      </c>
      <c r="O245" s="1">
        <v>56</v>
      </c>
      <c r="P245" s="1" t="s">
        <v>37</v>
      </c>
    </row>
    <row r="246" spans="1:16" ht="15.75" customHeight="1" x14ac:dyDescent="0.35">
      <c r="A246" s="1" t="s">
        <v>132</v>
      </c>
      <c r="B246" s="1" t="s">
        <v>465</v>
      </c>
      <c r="D246" s="1" t="s">
        <v>466</v>
      </c>
      <c r="E246" s="1" t="s">
        <v>92</v>
      </c>
      <c r="F246" s="1" t="s">
        <v>47</v>
      </c>
      <c r="I246">
        <f>IF(Table1[[#This Row],[Claim_Amount]]&lt;0,0,Table1[[#This Row],[Claim_Amount]])</f>
        <v>0</v>
      </c>
      <c r="J246" t="str">
        <f>IF(Table1[[#This Row],[Column1]]=0,"",Table1[[#This Row],[Column1]])</f>
        <v/>
      </c>
      <c r="K246" t="s">
        <v>1098</v>
      </c>
      <c r="M246" s="1" t="s">
        <v>25</v>
      </c>
      <c r="N246" s="1" t="s">
        <v>49</v>
      </c>
      <c r="P246" s="1" t="s">
        <v>37</v>
      </c>
    </row>
    <row r="247" spans="1:16" ht="15.75" customHeight="1" x14ac:dyDescent="0.35">
      <c r="A247" s="1" t="s">
        <v>187</v>
      </c>
      <c r="B247" s="1" t="s">
        <v>335</v>
      </c>
      <c r="D247" s="1" t="s">
        <v>467</v>
      </c>
      <c r="E247" s="1" t="s">
        <v>30</v>
      </c>
      <c r="F247" s="1" t="s">
        <v>47</v>
      </c>
      <c r="G247" s="1" t="s">
        <v>24</v>
      </c>
      <c r="H247" s="1">
        <v>716.88</v>
      </c>
      <c r="I247" s="1">
        <f>IF(Table1[[#This Row],[Claim_Amount]]&lt;0,0,Table1[[#This Row],[Claim_Amount]])</f>
        <v>716.88</v>
      </c>
      <c r="J247" s="1">
        <f>IF(Table1[[#This Row],[Column1]]=0,"",Table1[[#This Row],[Column1]])</f>
        <v>716.88</v>
      </c>
      <c r="K247" s="1">
        <v>716.88</v>
      </c>
      <c r="L247" s="1">
        <v>4459.45</v>
      </c>
      <c r="M247" s="1" t="s">
        <v>25</v>
      </c>
      <c r="N247" s="1" t="s">
        <v>18</v>
      </c>
      <c r="O247" s="1">
        <v>16</v>
      </c>
    </row>
    <row r="248" spans="1:16" ht="15.75" customHeight="1" x14ac:dyDescent="0.35">
      <c r="A248" s="1" t="s">
        <v>78</v>
      </c>
      <c r="C248" s="1" t="s">
        <v>308</v>
      </c>
      <c r="D248" s="1" t="s">
        <v>417</v>
      </c>
      <c r="E248" s="1" t="s">
        <v>77</v>
      </c>
      <c r="F248" s="1" t="s">
        <v>47</v>
      </c>
      <c r="G248" s="1" t="s">
        <v>48</v>
      </c>
      <c r="I248">
        <f>IF(Table1[[#This Row],[Claim_Amount]]&lt;0,0,Table1[[#This Row],[Claim_Amount]])</f>
        <v>0</v>
      </c>
      <c r="J248" t="str">
        <f>IF(Table1[[#This Row],[Column1]]=0,"",Table1[[#This Row],[Column1]])</f>
        <v/>
      </c>
      <c r="K248" t="s">
        <v>1098</v>
      </c>
      <c r="M248" s="1" t="s">
        <v>17</v>
      </c>
      <c r="N248" s="1" t="s">
        <v>57</v>
      </c>
      <c r="O248" s="1">
        <v>52</v>
      </c>
    </row>
    <row r="249" spans="1:16" ht="15.75" customHeight="1" x14ac:dyDescent="0.35">
      <c r="A249" s="1" t="s">
        <v>249</v>
      </c>
      <c r="D249" s="1" t="s">
        <v>468</v>
      </c>
      <c r="E249" s="1" t="s">
        <v>85</v>
      </c>
      <c r="F249" s="1" t="s">
        <v>53</v>
      </c>
      <c r="G249" s="1" t="s">
        <v>48</v>
      </c>
      <c r="I249">
        <f>IF(Table1[[#This Row],[Claim_Amount]]&lt;0,0,Table1[[#This Row],[Claim_Amount]])</f>
        <v>0</v>
      </c>
      <c r="J249" t="str">
        <f>IF(Table1[[#This Row],[Column1]]=0,"",Table1[[#This Row],[Column1]])</f>
        <v/>
      </c>
      <c r="K249" t="s">
        <v>1098</v>
      </c>
      <c r="M249" s="1" t="s">
        <v>121</v>
      </c>
      <c r="N249" s="1" t="s">
        <v>18</v>
      </c>
      <c r="O249" s="1">
        <v>38</v>
      </c>
      <c r="P249" s="1" t="s">
        <v>65</v>
      </c>
    </row>
    <row r="250" spans="1:16" ht="15.75" customHeight="1" x14ac:dyDescent="0.35">
      <c r="A250" s="1" t="s">
        <v>285</v>
      </c>
      <c r="C250" s="1" t="s">
        <v>469</v>
      </c>
      <c r="D250" s="1" t="s">
        <v>470</v>
      </c>
      <c r="E250" s="1" t="s">
        <v>30</v>
      </c>
      <c r="F250" s="1" t="s">
        <v>47</v>
      </c>
      <c r="G250" s="1" t="s">
        <v>61</v>
      </c>
      <c r="H250" s="1">
        <v>-183</v>
      </c>
      <c r="I250" s="1">
        <f>IF(Table1[[#This Row],[Claim_Amount]]&lt;0,0,Table1[[#This Row],[Claim_Amount]])</f>
        <v>0</v>
      </c>
      <c r="J250" s="1" t="str">
        <f>IF(Table1[[#This Row],[Column1]]=0,"",Table1[[#This Row],[Column1]])</f>
        <v/>
      </c>
      <c r="K250" s="1" t="s">
        <v>1098</v>
      </c>
      <c r="M250" s="1" t="s">
        <v>25</v>
      </c>
      <c r="N250" s="1" t="s">
        <v>57</v>
      </c>
      <c r="O250" s="1">
        <v>27</v>
      </c>
      <c r="P250" s="1" t="s">
        <v>37</v>
      </c>
    </row>
    <row r="251" spans="1:16" ht="15.75" customHeight="1" x14ac:dyDescent="0.35">
      <c r="A251" s="1" t="s">
        <v>179</v>
      </c>
      <c r="C251" s="1" t="s">
        <v>471</v>
      </c>
      <c r="D251" s="1" t="s">
        <v>472</v>
      </c>
      <c r="E251" s="1" t="s">
        <v>22</v>
      </c>
      <c r="F251" s="1" t="s">
        <v>93</v>
      </c>
      <c r="G251" s="1" t="s">
        <v>61</v>
      </c>
      <c r="H251" s="1">
        <v>-149</v>
      </c>
      <c r="I251" s="1">
        <f>IF(Table1[[#This Row],[Claim_Amount]]&lt;0,0,Table1[[#This Row],[Claim_Amount]])</f>
        <v>0</v>
      </c>
      <c r="J251" s="1" t="str">
        <f>IF(Table1[[#This Row],[Column1]]=0,"",Table1[[#This Row],[Column1]])</f>
        <v/>
      </c>
      <c r="K251" s="1" t="s">
        <v>1098</v>
      </c>
      <c r="L251" s="1">
        <v>1326.13</v>
      </c>
      <c r="M251" s="1" t="s">
        <v>25</v>
      </c>
      <c r="N251" s="1" t="s">
        <v>57</v>
      </c>
      <c r="O251" s="1">
        <v>33</v>
      </c>
    </row>
    <row r="252" spans="1:16" ht="15.75" customHeight="1" x14ac:dyDescent="0.35">
      <c r="A252" s="1" t="s">
        <v>89</v>
      </c>
      <c r="D252" s="1" t="s">
        <v>473</v>
      </c>
      <c r="E252" s="1" t="s">
        <v>77</v>
      </c>
      <c r="G252" s="1" t="s">
        <v>54</v>
      </c>
      <c r="H252" s="1">
        <v>-147</v>
      </c>
      <c r="I252" s="1">
        <f>IF(Table1[[#This Row],[Claim_Amount]]&lt;0,0,Table1[[#This Row],[Claim_Amount]])</f>
        <v>0</v>
      </c>
      <c r="J252" s="1" t="str">
        <f>IF(Table1[[#This Row],[Column1]]=0,"",Table1[[#This Row],[Column1]])</f>
        <v/>
      </c>
      <c r="K252" s="1" t="s">
        <v>1098</v>
      </c>
      <c r="M252" s="1" t="s">
        <v>42</v>
      </c>
      <c r="N252" s="1" t="s">
        <v>49</v>
      </c>
      <c r="O252" s="1">
        <v>48</v>
      </c>
      <c r="P252" s="1" t="s">
        <v>37</v>
      </c>
    </row>
    <row r="253" spans="1:16" ht="15.75" customHeight="1" x14ac:dyDescent="0.35">
      <c r="A253" s="1" t="s">
        <v>20</v>
      </c>
      <c r="D253" s="1" t="s">
        <v>474</v>
      </c>
      <c r="E253" s="1" t="s">
        <v>92</v>
      </c>
      <c r="F253" s="1" t="s">
        <v>47</v>
      </c>
      <c r="G253" s="1" t="s">
        <v>41</v>
      </c>
      <c r="I253">
        <f>IF(Table1[[#This Row],[Claim_Amount]]&lt;0,0,Table1[[#This Row],[Claim_Amount]])</f>
        <v>0</v>
      </c>
      <c r="J253" t="str">
        <f>IF(Table1[[#This Row],[Column1]]=0,"",Table1[[#This Row],[Column1]])</f>
        <v/>
      </c>
      <c r="K253" t="s">
        <v>1098</v>
      </c>
      <c r="M253" s="1" t="s">
        <v>25</v>
      </c>
      <c r="N253" s="1" t="s">
        <v>18</v>
      </c>
      <c r="P253" s="1" t="s">
        <v>65</v>
      </c>
    </row>
    <row r="254" spans="1:16" ht="15.75" customHeight="1" x14ac:dyDescent="0.35">
      <c r="A254" s="1" t="s">
        <v>108</v>
      </c>
      <c r="D254" s="1" t="s">
        <v>398</v>
      </c>
      <c r="E254" s="1" t="s">
        <v>35</v>
      </c>
      <c r="F254" s="1" t="s">
        <v>23</v>
      </c>
      <c r="G254" s="1" t="s">
        <v>24</v>
      </c>
      <c r="H254" s="1">
        <v>1976.06</v>
      </c>
      <c r="I254" s="1">
        <f>IF(Table1[[#This Row],[Claim_Amount]]&lt;0,0,Table1[[#This Row],[Claim_Amount]])</f>
        <v>1976.06</v>
      </c>
      <c r="J254" s="1">
        <f>IF(Table1[[#This Row],[Column1]]=0,"",Table1[[#This Row],[Column1]])</f>
        <v>1976.06</v>
      </c>
      <c r="K254" s="1">
        <v>1976.06</v>
      </c>
      <c r="L254" s="1">
        <v>4031.63</v>
      </c>
      <c r="M254" s="1" t="s">
        <v>121</v>
      </c>
      <c r="N254" s="1" t="s">
        <v>57</v>
      </c>
      <c r="O254" s="1">
        <v>27</v>
      </c>
      <c r="P254" s="1" t="s">
        <v>19</v>
      </c>
    </row>
    <row r="255" spans="1:16" ht="15.75" customHeight="1" x14ac:dyDescent="0.35">
      <c r="A255" s="1" t="s">
        <v>247</v>
      </c>
      <c r="C255" s="1" t="s">
        <v>203</v>
      </c>
      <c r="D255" s="1" t="s">
        <v>475</v>
      </c>
      <c r="E255" s="1" t="s">
        <v>30</v>
      </c>
      <c r="F255" s="1" t="s">
        <v>31</v>
      </c>
      <c r="I255">
        <f>IF(Table1[[#This Row],[Claim_Amount]]&lt;0,0,Table1[[#This Row],[Claim_Amount]])</f>
        <v>0</v>
      </c>
      <c r="J255" t="str">
        <f>IF(Table1[[#This Row],[Column1]]=0,"",Table1[[#This Row],[Column1]])</f>
        <v/>
      </c>
      <c r="K255" t="s">
        <v>1098</v>
      </c>
      <c r="M255" s="1" t="s">
        <v>25</v>
      </c>
      <c r="N255" s="1" t="s">
        <v>18</v>
      </c>
    </row>
    <row r="256" spans="1:16" ht="15.75" customHeight="1" x14ac:dyDescent="0.35">
      <c r="A256" s="1" t="s">
        <v>261</v>
      </c>
      <c r="B256" s="1" t="s">
        <v>476</v>
      </c>
      <c r="C256" s="1" t="s">
        <v>440</v>
      </c>
      <c r="D256" s="1" t="s">
        <v>477</v>
      </c>
      <c r="E256" s="1" t="s">
        <v>92</v>
      </c>
      <c r="F256" s="1" t="s">
        <v>93</v>
      </c>
      <c r="H256" s="1">
        <v>51.42</v>
      </c>
      <c r="I256" s="1">
        <f>IF(Table1[[#This Row],[Claim_Amount]]&lt;0,0,Table1[[#This Row],[Claim_Amount]])</f>
        <v>51.42</v>
      </c>
      <c r="J256" s="1">
        <f>IF(Table1[[#This Row],[Column1]]=0,"",Table1[[#This Row],[Column1]])</f>
        <v>51.42</v>
      </c>
      <c r="K256" s="1">
        <v>51.42</v>
      </c>
      <c r="M256" s="1" t="s">
        <v>42</v>
      </c>
      <c r="N256" s="1" t="s">
        <v>49</v>
      </c>
      <c r="P256" s="1" t="s">
        <v>65</v>
      </c>
    </row>
    <row r="257" spans="1:16" ht="15.75" customHeight="1" x14ac:dyDescent="0.35">
      <c r="A257" s="1" t="s">
        <v>302</v>
      </c>
      <c r="C257" s="1" t="s">
        <v>271</v>
      </c>
      <c r="D257" s="1" t="s">
        <v>478</v>
      </c>
      <c r="E257" s="1" t="s">
        <v>22</v>
      </c>
      <c r="F257" s="1" t="s">
        <v>47</v>
      </c>
      <c r="G257" s="1" t="s">
        <v>54</v>
      </c>
      <c r="I257">
        <f>IF(Table1[[#This Row],[Claim_Amount]]&lt;0,0,Table1[[#This Row],[Claim_Amount]])</f>
        <v>0</v>
      </c>
      <c r="J257" t="str">
        <f>IF(Table1[[#This Row],[Column1]]=0,"",Table1[[#This Row],[Column1]])</f>
        <v/>
      </c>
      <c r="K257" t="s">
        <v>1098</v>
      </c>
      <c r="L257" s="1">
        <v>3051.5</v>
      </c>
      <c r="M257" s="1" t="s">
        <v>121</v>
      </c>
      <c r="N257" s="1" t="s">
        <v>49</v>
      </c>
      <c r="O257" s="1">
        <v>36</v>
      </c>
      <c r="P257" s="1" t="s">
        <v>27</v>
      </c>
    </row>
    <row r="258" spans="1:16" ht="15.75" customHeight="1" x14ac:dyDescent="0.35">
      <c r="A258" s="1" t="s">
        <v>102</v>
      </c>
      <c r="C258" s="1" t="s">
        <v>479</v>
      </c>
      <c r="D258" s="1" t="s">
        <v>480</v>
      </c>
      <c r="E258" s="1" t="s">
        <v>22</v>
      </c>
      <c r="F258" s="1" t="s">
        <v>47</v>
      </c>
      <c r="G258" s="1" t="s">
        <v>41</v>
      </c>
      <c r="I258">
        <f>IF(Table1[[#This Row],[Claim_Amount]]&lt;0,0,Table1[[#This Row],[Claim_Amount]])</f>
        <v>0</v>
      </c>
      <c r="J258" t="str">
        <f>IF(Table1[[#This Row],[Column1]]=0,"",Table1[[#This Row],[Column1]])</f>
        <v/>
      </c>
      <c r="K258" t="s">
        <v>1098</v>
      </c>
      <c r="M258" s="1" t="s">
        <v>36</v>
      </c>
      <c r="N258" s="1" t="s">
        <v>49</v>
      </c>
      <c r="O258" s="1">
        <v>49</v>
      </c>
      <c r="P258" s="1" t="s">
        <v>27</v>
      </c>
    </row>
    <row r="259" spans="1:16" ht="15.75" customHeight="1" x14ac:dyDescent="0.35">
      <c r="A259" s="1" t="s">
        <v>202</v>
      </c>
      <c r="C259" s="1" t="s">
        <v>152</v>
      </c>
      <c r="D259" s="1" t="s">
        <v>481</v>
      </c>
      <c r="E259" s="1" t="s">
        <v>77</v>
      </c>
      <c r="G259" s="1" t="s">
        <v>24</v>
      </c>
      <c r="I259">
        <f>IF(Table1[[#This Row],[Claim_Amount]]&lt;0,0,Table1[[#This Row],[Claim_Amount]])</f>
        <v>0</v>
      </c>
      <c r="J259" t="str">
        <f>IF(Table1[[#This Row],[Column1]]=0,"",Table1[[#This Row],[Column1]])</f>
        <v/>
      </c>
      <c r="K259" t="s">
        <v>1098</v>
      </c>
      <c r="M259" s="1" t="s">
        <v>36</v>
      </c>
      <c r="N259" s="1" t="s">
        <v>57</v>
      </c>
      <c r="P259" s="1" t="s">
        <v>27</v>
      </c>
    </row>
    <row r="260" spans="1:16" ht="15.75" customHeight="1" x14ac:dyDescent="0.35">
      <c r="A260" s="1" t="s">
        <v>170</v>
      </c>
      <c r="B260" s="1" t="s">
        <v>482</v>
      </c>
      <c r="D260" s="1" t="s">
        <v>483</v>
      </c>
      <c r="E260" s="1" t="s">
        <v>92</v>
      </c>
      <c r="F260" s="1" t="s">
        <v>31</v>
      </c>
      <c r="G260" s="1" t="s">
        <v>24</v>
      </c>
      <c r="I260">
        <f>IF(Table1[[#This Row],[Claim_Amount]]&lt;0,0,Table1[[#This Row],[Claim_Amount]])</f>
        <v>0</v>
      </c>
      <c r="J260" t="str">
        <f>IF(Table1[[#This Row],[Column1]]=0,"",Table1[[#This Row],[Column1]])</f>
        <v/>
      </c>
      <c r="K260" t="s">
        <v>1098</v>
      </c>
      <c r="M260" s="1" t="s">
        <v>17</v>
      </c>
      <c r="N260" s="1" t="s">
        <v>49</v>
      </c>
      <c r="O260" s="1">
        <v>47</v>
      </c>
      <c r="P260" s="1" t="s">
        <v>65</v>
      </c>
    </row>
    <row r="261" spans="1:16" ht="15.75" customHeight="1" x14ac:dyDescent="0.35">
      <c r="A261" s="1" t="s">
        <v>148</v>
      </c>
      <c r="C261" s="1" t="s">
        <v>484</v>
      </c>
      <c r="D261" s="1" t="s">
        <v>485</v>
      </c>
      <c r="E261" s="1" t="s">
        <v>85</v>
      </c>
      <c r="F261" s="1" t="s">
        <v>23</v>
      </c>
      <c r="G261" s="1" t="s">
        <v>61</v>
      </c>
      <c r="H261" s="1">
        <v>-183</v>
      </c>
      <c r="I261" s="1">
        <f>IF(Table1[[#This Row],[Claim_Amount]]&lt;0,0,Table1[[#This Row],[Claim_Amount]])</f>
        <v>0</v>
      </c>
      <c r="J261" s="1" t="str">
        <f>IF(Table1[[#This Row],[Column1]]=0,"",Table1[[#This Row],[Column1]])</f>
        <v/>
      </c>
      <c r="K261" s="1" t="s">
        <v>1098</v>
      </c>
      <c r="M261" s="1" t="s">
        <v>25</v>
      </c>
      <c r="N261" s="1" t="s">
        <v>49</v>
      </c>
      <c r="P261" s="1" t="s">
        <v>27</v>
      </c>
    </row>
    <row r="262" spans="1:16" ht="15.75" customHeight="1" x14ac:dyDescent="0.35">
      <c r="A262" s="1" t="s">
        <v>117</v>
      </c>
      <c r="C262" s="1" t="s">
        <v>486</v>
      </c>
      <c r="D262" s="1" t="s">
        <v>487</v>
      </c>
      <c r="E262" s="1" t="s">
        <v>22</v>
      </c>
      <c r="F262" s="1" t="s">
        <v>47</v>
      </c>
      <c r="G262" s="1" t="s">
        <v>24</v>
      </c>
      <c r="H262" s="1">
        <v>-118</v>
      </c>
      <c r="I262" s="1">
        <f>IF(Table1[[#This Row],[Claim_Amount]]&lt;0,0,Table1[[#This Row],[Claim_Amount]])</f>
        <v>0</v>
      </c>
      <c r="J262" s="1" t="str">
        <f>IF(Table1[[#This Row],[Column1]]=0,"",Table1[[#This Row],[Column1]])</f>
        <v/>
      </c>
      <c r="K262" s="1" t="s">
        <v>1098</v>
      </c>
      <c r="L262" s="1">
        <v>4701.29</v>
      </c>
      <c r="M262" s="1" t="s">
        <v>36</v>
      </c>
      <c r="N262" s="1" t="s">
        <v>32</v>
      </c>
      <c r="P262" s="1" t="s">
        <v>65</v>
      </c>
    </row>
    <row r="263" spans="1:16" ht="15.75" customHeight="1" x14ac:dyDescent="0.35">
      <c r="A263" s="1" t="s">
        <v>173</v>
      </c>
      <c r="D263" s="1" t="s">
        <v>488</v>
      </c>
      <c r="E263" s="1" t="s">
        <v>35</v>
      </c>
      <c r="F263" s="1" t="s">
        <v>93</v>
      </c>
      <c r="G263" s="1" t="s">
        <v>48</v>
      </c>
      <c r="I263">
        <f>IF(Table1[[#This Row],[Claim_Amount]]&lt;0,0,Table1[[#This Row],[Claim_Amount]])</f>
        <v>0</v>
      </c>
      <c r="J263" t="str">
        <f>IF(Table1[[#This Row],[Column1]]=0,"",Table1[[#This Row],[Column1]])</f>
        <v/>
      </c>
      <c r="K263" t="s">
        <v>1098</v>
      </c>
      <c r="M263" s="1" t="s">
        <v>17</v>
      </c>
      <c r="N263" s="1" t="s">
        <v>57</v>
      </c>
      <c r="O263" s="1">
        <v>16</v>
      </c>
      <c r="P263" s="1" t="s">
        <v>27</v>
      </c>
    </row>
    <row r="264" spans="1:16" ht="15.75" customHeight="1" x14ac:dyDescent="0.35">
      <c r="A264" s="1" t="s">
        <v>285</v>
      </c>
      <c r="C264" s="1" t="s">
        <v>356</v>
      </c>
      <c r="D264" s="1" t="s">
        <v>489</v>
      </c>
      <c r="E264" s="1" t="s">
        <v>35</v>
      </c>
      <c r="F264" s="1" t="s">
        <v>31</v>
      </c>
      <c r="G264" s="1" t="s">
        <v>41</v>
      </c>
      <c r="H264" s="1">
        <v>-81</v>
      </c>
      <c r="I264" s="1">
        <f>IF(Table1[[#This Row],[Claim_Amount]]&lt;0,0,Table1[[#This Row],[Claim_Amount]])</f>
        <v>0</v>
      </c>
      <c r="J264" s="1" t="str">
        <f>IF(Table1[[#This Row],[Column1]]=0,"",Table1[[#This Row],[Column1]])</f>
        <v/>
      </c>
      <c r="K264" s="1" t="s">
        <v>1098</v>
      </c>
      <c r="L264" s="1">
        <v>940.45</v>
      </c>
      <c r="M264" s="1" t="s">
        <v>36</v>
      </c>
      <c r="N264" s="1" t="s">
        <v>18</v>
      </c>
      <c r="O264" s="1">
        <v>52</v>
      </c>
      <c r="P264" s="1" t="s">
        <v>27</v>
      </c>
    </row>
    <row r="265" spans="1:16" ht="15.75" customHeight="1" x14ac:dyDescent="0.35">
      <c r="A265" s="1" t="s">
        <v>170</v>
      </c>
      <c r="C265" s="1" t="s">
        <v>80</v>
      </c>
      <c r="D265" s="1" t="s">
        <v>490</v>
      </c>
      <c r="E265" s="1" t="s">
        <v>85</v>
      </c>
      <c r="F265" s="1" t="s">
        <v>53</v>
      </c>
      <c r="G265" s="1" t="s">
        <v>48</v>
      </c>
      <c r="I265">
        <f>IF(Table1[[#This Row],[Claim_Amount]]&lt;0,0,Table1[[#This Row],[Claim_Amount]])</f>
        <v>0</v>
      </c>
      <c r="J265" t="str">
        <f>IF(Table1[[#This Row],[Column1]]=0,"",Table1[[#This Row],[Column1]])</f>
        <v/>
      </c>
      <c r="K265" t="s">
        <v>1098</v>
      </c>
      <c r="M265" s="1" t="s">
        <v>42</v>
      </c>
      <c r="N265" s="1" t="s">
        <v>57</v>
      </c>
      <c r="P265" s="1" t="s">
        <v>19</v>
      </c>
    </row>
    <row r="266" spans="1:16" ht="15.75" customHeight="1" x14ac:dyDescent="0.35">
      <c r="A266" s="1" t="s">
        <v>78</v>
      </c>
      <c r="C266" s="1" t="s">
        <v>491</v>
      </c>
      <c r="D266" s="1" t="s">
        <v>393</v>
      </c>
      <c r="E266" s="1" t="s">
        <v>16</v>
      </c>
      <c r="F266" s="1" t="s">
        <v>53</v>
      </c>
      <c r="I266">
        <f>IF(Table1[[#This Row],[Claim_Amount]]&lt;0,0,Table1[[#This Row],[Claim_Amount]])</f>
        <v>0</v>
      </c>
      <c r="J266" t="str">
        <f>IF(Table1[[#This Row],[Column1]]=0,"",Table1[[#This Row],[Column1]])</f>
        <v/>
      </c>
      <c r="K266" t="s">
        <v>1098</v>
      </c>
      <c r="M266" s="1" t="s">
        <v>42</v>
      </c>
      <c r="N266" s="1" t="s">
        <v>26</v>
      </c>
      <c r="O266" s="1">
        <v>26</v>
      </c>
      <c r="P266" s="1" t="s">
        <v>27</v>
      </c>
    </row>
    <row r="267" spans="1:16" ht="15.75" customHeight="1" x14ac:dyDescent="0.35">
      <c r="A267" s="1" t="s">
        <v>275</v>
      </c>
      <c r="B267" s="1" t="s">
        <v>456</v>
      </c>
      <c r="C267" s="1" t="s">
        <v>156</v>
      </c>
      <c r="D267" s="1" t="s">
        <v>492</v>
      </c>
      <c r="E267" s="1" t="s">
        <v>30</v>
      </c>
      <c r="F267" s="1" t="s">
        <v>53</v>
      </c>
      <c r="H267" s="1">
        <v>-30</v>
      </c>
      <c r="I267" s="1">
        <f>IF(Table1[[#This Row],[Claim_Amount]]&lt;0,0,Table1[[#This Row],[Claim_Amount]])</f>
        <v>0</v>
      </c>
      <c r="J267" s="1" t="str">
        <f>IF(Table1[[#This Row],[Column1]]=0,"",Table1[[#This Row],[Column1]])</f>
        <v/>
      </c>
      <c r="K267" s="1" t="s">
        <v>1098</v>
      </c>
      <c r="M267" s="1" t="s">
        <v>17</v>
      </c>
      <c r="N267" s="1" t="s">
        <v>18</v>
      </c>
      <c r="P267" s="1" t="s">
        <v>37</v>
      </c>
    </row>
    <row r="268" spans="1:16" ht="15.75" customHeight="1" x14ac:dyDescent="0.35">
      <c r="A268" s="1" t="s">
        <v>13</v>
      </c>
      <c r="C268" s="1" t="s">
        <v>442</v>
      </c>
      <c r="D268" s="1" t="s">
        <v>233</v>
      </c>
      <c r="E268" s="1" t="s">
        <v>92</v>
      </c>
      <c r="F268" s="1" t="s">
        <v>31</v>
      </c>
      <c r="H268" s="1">
        <v>-78</v>
      </c>
      <c r="I268" s="1">
        <f>IF(Table1[[#This Row],[Claim_Amount]]&lt;0,0,Table1[[#This Row],[Claim_Amount]])</f>
        <v>0</v>
      </c>
      <c r="J268" s="1" t="str">
        <f>IF(Table1[[#This Row],[Column1]]=0,"",Table1[[#This Row],[Column1]])</f>
        <v/>
      </c>
      <c r="K268" s="1" t="s">
        <v>1098</v>
      </c>
      <c r="M268" s="1" t="s">
        <v>42</v>
      </c>
      <c r="N268" s="1" t="s">
        <v>57</v>
      </c>
      <c r="P268" s="1" t="s">
        <v>37</v>
      </c>
    </row>
    <row r="269" spans="1:16" ht="15.75" customHeight="1" x14ac:dyDescent="0.35">
      <c r="A269" s="1" t="s">
        <v>132</v>
      </c>
      <c r="B269" s="1" t="s">
        <v>493</v>
      </c>
      <c r="C269" s="1" t="s">
        <v>494</v>
      </c>
      <c r="D269" s="1" t="s">
        <v>370</v>
      </c>
      <c r="E269" s="1" t="s">
        <v>16</v>
      </c>
      <c r="F269" s="1" t="s">
        <v>93</v>
      </c>
      <c r="G269" s="1" t="s">
        <v>24</v>
      </c>
      <c r="H269" s="1">
        <v>2015.38</v>
      </c>
      <c r="I269" s="1">
        <f>IF(Table1[[#This Row],[Claim_Amount]]&lt;0,0,Table1[[#This Row],[Claim_Amount]])</f>
        <v>2015.38</v>
      </c>
      <c r="J269" s="1">
        <f>IF(Table1[[#This Row],[Column1]]=0,"",Table1[[#This Row],[Column1]])</f>
        <v>2015.38</v>
      </c>
      <c r="K269" s="1">
        <v>2015.38</v>
      </c>
      <c r="M269" s="1" t="s">
        <v>36</v>
      </c>
      <c r="N269" s="1" t="s">
        <v>26</v>
      </c>
    </row>
    <row r="270" spans="1:16" ht="15.75" customHeight="1" x14ac:dyDescent="0.35">
      <c r="A270" s="1" t="s">
        <v>231</v>
      </c>
      <c r="B270" s="1" t="s">
        <v>495</v>
      </c>
      <c r="C270" s="1" t="s">
        <v>45</v>
      </c>
      <c r="D270" s="1" t="s">
        <v>184</v>
      </c>
      <c r="E270" s="1" t="s">
        <v>85</v>
      </c>
      <c r="F270" s="1" t="s">
        <v>93</v>
      </c>
      <c r="I270">
        <f>IF(Table1[[#This Row],[Claim_Amount]]&lt;0,0,Table1[[#This Row],[Claim_Amount]])</f>
        <v>0</v>
      </c>
      <c r="J270" t="str">
        <f>IF(Table1[[#This Row],[Column1]]=0,"",Table1[[#This Row],[Column1]])</f>
        <v/>
      </c>
      <c r="K270" t="s">
        <v>1098</v>
      </c>
      <c r="L270" s="1">
        <v>699.82</v>
      </c>
      <c r="M270" s="1" t="s">
        <v>25</v>
      </c>
      <c r="N270" s="1" t="s">
        <v>26</v>
      </c>
      <c r="P270" s="1" t="s">
        <v>27</v>
      </c>
    </row>
    <row r="271" spans="1:16" ht="15.75" customHeight="1" x14ac:dyDescent="0.35">
      <c r="A271" s="1" t="s">
        <v>285</v>
      </c>
      <c r="D271" s="1" t="s">
        <v>496</v>
      </c>
      <c r="E271" s="1" t="s">
        <v>30</v>
      </c>
      <c r="F271" s="1" t="s">
        <v>47</v>
      </c>
      <c r="G271" s="1" t="s">
        <v>48</v>
      </c>
      <c r="H271" s="1">
        <v>-172</v>
      </c>
      <c r="I271" s="1">
        <f>IF(Table1[[#This Row],[Claim_Amount]]&lt;0,0,Table1[[#This Row],[Claim_Amount]])</f>
        <v>0</v>
      </c>
      <c r="J271" s="1" t="str">
        <f>IF(Table1[[#This Row],[Column1]]=0,"",Table1[[#This Row],[Column1]])</f>
        <v/>
      </c>
      <c r="K271" s="1" t="s">
        <v>1098</v>
      </c>
      <c r="M271" s="1" t="s">
        <v>36</v>
      </c>
      <c r="N271" s="1" t="s">
        <v>32</v>
      </c>
      <c r="P271" s="1" t="s">
        <v>37</v>
      </c>
    </row>
    <row r="272" spans="1:16" ht="15.75" customHeight="1" x14ac:dyDescent="0.35">
      <c r="A272" s="1" t="s">
        <v>73</v>
      </c>
      <c r="B272" s="1" t="s">
        <v>497</v>
      </c>
      <c r="D272" s="1" t="s">
        <v>498</v>
      </c>
      <c r="E272" s="1" t="s">
        <v>92</v>
      </c>
      <c r="F272" s="1" t="s">
        <v>23</v>
      </c>
      <c r="G272" s="1" t="s">
        <v>61</v>
      </c>
      <c r="I272">
        <f>IF(Table1[[#This Row],[Claim_Amount]]&lt;0,0,Table1[[#This Row],[Claim_Amount]])</f>
        <v>0</v>
      </c>
      <c r="J272" t="str">
        <f>IF(Table1[[#This Row],[Column1]]=0,"",Table1[[#This Row],[Column1]])</f>
        <v/>
      </c>
      <c r="K272" t="s">
        <v>1098</v>
      </c>
      <c r="M272" s="1" t="s">
        <v>25</v>
      </c>
      <c r="N272" s="1" t="s">
        <v>49</v>
      </c>
      <c r="P272" s="1" t="s">
        <v>27</v>
      </c>
    </row>
    <row r="273" spans="1:16" ht="15.75" customHeight="1" x14ac:dyDescent="0.35">
      <c r="A273" s="1" t="s">
        <v>89</v>
      </c>
      <c r="C273" s="1" t="s">
        <v>499</v>
      </c>
      <c r="D273" s="1" t="s">
        <v>283</v>
      </c>
      <c r="E273" s="1" t="s">
        <v>77</v>
      </c>
      <c r="F273" s="1" t="s">
        <v>47</v>
      </c>
      <c r="G273" s="1" t="s">
        <v>48</v>
      </c>
      <c r="H273" s="1">
        <v>-51</v>
      </c>
      <c r="I273" s="1">
        <f>IF(Table1[[#This Row],[Claim_Amount]]&lt;0,0,Table1[[#This Row],[Claim_Amount]])</f>
        <v>0</v>
      </c>
      <c r="J273" s="1" t="str">
        <f>IF(Table1[[#This Row],[Column1]]=0,"",Table1[[#This Row],[Column1]])</f>
        <v/>
      </c>
      <c r="K273" s="1" t="s">
        <v>1098</v>
      </c>
      <c r="L273" s="1">
        <v>4150.71</v>
      </c>
      <c r="M273" s="1" t="s">
        <v>42</v>
      </c>
      <c r="N273" s="1" t="s">
        <v>26</v>
      </c>
      <c r="P273" s="1" t="s">
        <v>65</v>
      </c>
    </row>
    <row r="274" spans="1:16" ht="15.75" customHeight="1" x14ac:dyDescent="0.35">
      <c r="A274" s="1" t="s">
        <v>302</v>
      </c>
      <c r="D274" s="1" t="s">
        <v>500</v>
      </c>
      <c r="E274" s="1" t="s">
        <v>77</v>
      </c>
      <c r="F274" s="1" t="s">
        <v>93</v>
      </c>
      <c r="G274" s="1" t="s">
        <v>61</v>
      </c>
      <c r="H274" s="1">
        <v>952.92</v>
      </c>
      <c r="I274" s="1">
        <f>IF(Table1[[#This Row],[Claim_Amount]]&lt;0,0,Table1[[#This Row],[Claim_Amount]])</f>
        <v>952.92</v>
      </c>
      <c r="J274" s="1">
        <f>IF(Table1[[#This Row],[Column1]]=0,"",Table1[[#This Row],[Column1]])</f>
        <v>952.92</v>
      </c>
      <c r="K274" s="1">
        <v>952.92</v>
      </c>
      <c r="M274" s="1" t="s">
        <v>121</v>
      </c>
      <c r="N274" s="1" t="s">
        <v>32</v>
      </c>
      <c r="P274" s="1" t="s">
        <v>37</v>
      </c>
    </row>
    <row r="275" spans="1:16" ht="15.75" customHeight="1" x14ac:dyDescent="0.35">
      <c r="A275" s="1" t="s">
        <v>212</v>
      </c>
      <c r="B275" s="1" t="s">
        <v>501</v>
      </c>
      <c r="C275" s="1" t="s">
        <v>213</v>
      </c>
      <c r="D275" s="1" t="s">
        <v>502</v>
      </c>
      <c r="E275" s="1" t="s">
        <v>92</v>
      </c>
      <c r="F275" s="1" t="s">
        <v>31</v>
      </c>
      <c r="G275" s="1" t="s">
        <v>24</v>
      </c>
      <c r="H275" s="1">
        <v>3590.22</v>
      </c>
      <c r="I275" s="1">
        <f>IF(Table1[[#This Row],[Claim_Amount]]&lt;0,0,Table1[[#This Row],[Claim_Amount]])</f>
        <v>3590.22</v>
      </c>
      <c r="J275" s="1">
        <f>IF(Table1[[#This Row],[Column1]]=0,"",Table1[[#This Row],[Column1]])</f>
        <v>3590.22</v>
      </c>
      <c r="K275" s="1">
        <v>3590.22</v>
      </c>
      <c r="L275" s="1">
        <v>1202.4100000000001</v>
      </c>
      <c r="M275" s="1" t="s">
        <v>25</v>
      </c>
      <c r="N275" s="1" t="s">
        <v>49</v>
      </c>
      <c r="P275" s="1" t="s">
        <v>37</v>
      </c>
    </row>
    <row r="276" spans="1:16" ht="15.75" customHeight="1" x14ac:dyDescent="0.35">
      <c r="A276" s="1" t="s">
        <v>192</v>
      </c>
      <c r="C276" s="1" t="s">
        <v>503</v>
      </c>
      <c r="D276" s="1" t="s">
        <v>327</v>
      </c>
      <c r="E276" s="1" t="s">
        <v>92</v>
      </c>
      <c r="F276" s="1" t="s">
        <v>53</v>
      </c>
      <c r="G276" s="1" t="s">
        <v>61</v>
      </c>
      <c r="I276">
        <f>IF(Table1[[#This Row],[Claim_Amount]]&lt;0,0,Table1[[#This Row],[Claim_Amount]])</f>
        <v>0</v>
      </c>
      <c r="J276" t="str">
        <f>IF(Table1[[#This Row],[Column1]]=0,"",Table1[[#This Row],[Column1]])</f>
        <v/>
      </c>
      <c r="K276" t="s">
        <v>1098</v>
      </c>
      <c r="M276" s="1" t="s">
        <v>121</v>
      </c>
      <c r="N276" s="1" t="s">
        <v>26</v>
      </c>
      <c r="P276" s="1" t="s">
        <v>65</v>
      </c>
    </row>
    <row r="277" spans="1:16" ht="15.75" customHeight="1" x14ac:dyDescent="0.35">
      <c r="A277" s="1" t="s">
        <v>33</v>
      </c>
      <c r="C277" s="1" t="s">
        <v>455</v>
      </c>
      <c r="D277" s="1" t="s">
        <v>504</v>
      </c>
      <c r="E277" s="1" t="s">
        <v>35</v>
      </c>
      <c r="F277" s="1" t="s">
        <v>93</v>
      </c>
      <c r="G277" s="1" t="s">
        <v>48</v>
      </c>
      <c r="I277">
        <f>IF(Table1[[#This Row],[Claim_Amount]]&lt;0,0,Table1[[#This Row],[Claim_Amount]])</f>
        <v>0</v>
      </c>
      <c r="J277" t="str">
        <f>IF(Table1[[#This Row],[Column1]]=0,"",Table1[[#This Row],[Column1]])</f>
        <v/>
      </c>
      <c r="K277" t="s">
        <v>1098</v>
      </c>
      <c r="M277" s="1" t="s">
        <v>25</v>
      </c>
      <c r="N277" s="1" t="s">
        <v>57</v>
      </c>
      <c r="O277" s="1">
        <v>33</v>
      </c>
      <c r="P277" s="1" t="s">
        <v>27</v>
      </c>
    </row>
    <row r="278" spans="1:16" ht="15.75" customHeight="1" x14ac:dyDescent="0.35">
      <c r="A278" s="1" t="s">
        <v>285</v>
      </c>
      <c r="D278" s="1" t="s">
        <v>505</v>
      </c>
      <c r="E278" s="1" t="s">
        <v>85</v>
      </c>
      <c r="G278" s="1" t="s">
        <v>48</v>
      </c>
      <c r="I278">
        <f>IF(Table1[[#This Row],[Claim_Amount]]&lt;0,0,Table1[[#This Row],[Claim_Amount]])</f>
        <v>0</v>
      </c>
      <c r="J278" t="str">
        <f>IF(Table1[[#This Row],[Column1]]=0,"",Table1[[#This Row],[Column1]])</f>
        <v/>
      </c>
      <c r="K278" t="s">
        <v>1098</v>
      </c>
      <c r="M278" s="1" t="s">
        <v>17</v>
      </c>
      <c r="N278" s="1" t="s">
        <v>26</v>
      </c>
      <c r="P278" s="1" t="s">
        <v>37</v>
      </c>
    </row>
    <row r="279" spans="1:16" ht="15.75" customHeight="1" x14ac:dyDescent="0.35">
      <c r="A279" s="1" t="s">
        <v>321</v>
      </c>
      <c r="B279" s="1" t="s">
        <v>506</v>
      </c>
      <c r="C279" s="1" t="s">
        <v>373</v>
      </c>
      <c r="D279" s="1" t="s">
        <v>507</v>
      </c>
      <c r="E279" s="1" t="s">
        <v>35</v>
      </c>
      <c r="F279" s="1" t="s">
        <v>47</v>
      </c>
      <c r="G279" s="1" t="s">
        <v>41</v>
      </c>
      <c r="H279" s="1">
        <v>4657.7</v>
      </c>
      <c r="I279" s="1">
        <f>IF(Table1[[#This Row],[Claim_Amount]]&lt;0,0,Table1[[#This Row],[Claim_Amount]])</f>
        <v>4657.7</v>
      </c>
      <c r="J279" s="1">
        <f>IF(Table1[[#This Row],[Column1]]=0,"",Table1[[#This Row],[Column1]])</f>
        <v>4657.7</v>
      </c>
      <c r="K279" s="1">
        <v>4657.7</v>
      </c>
      <c r="M279" s="1" t="s">
        <v>17</v>
      </c>
      <c r="N279" s="1" t="s">
        <v>57</v>
      </c>
      <c r="O279" s="1">
        <v>50</v>
      </c>
      <c r="P279" s="1" t="s">
        <v>65</v>
      </c>
    </row>
    <row r="280" spans="1:16" ht="15.75" customHeight="1" x14ac:dyDescent="0.35">
      <c r="A280" s="1" t="s">
        <v>117</v>
      </c>
      <c r="D280" s="1" t="s">
        <v>126</v>
      </c>
      <c r="E280" s="1" t="s">
        <v>77</v>
      </c>
      <c r="F280" s="1" t="s">
        <v>31</v>
      </c>
      <c r="H280" s="1">
        <v>-20</v>
      </c>
      <c r="I280" s="1">
        <f>IF(Table1[[#This Row],[Claim_Amount]]&lt;0,0,Table1[[#This Row],[Claim_Amount]])</f>
        <v>0</v>
      </c>
      <c r="J280" s="1" t="str">
        <f>IF(Table1[[#This Row],[Column1]]=0,"",Table1[[#This Row],[Column1]])</f>
        <v/>
      </c>
      <c r="K280" s="1" t="s">
        <v>1098</v>
      </c>
      <c r="M280" s="1" t="s">
        <v>42</v>
      </c>
      <c r="N280" s="1" t="s">
        <v>57</v>
      </c>
      <c r="P280" s="1" t="s">
        <v>65</v>
      </c>
    </row>
    <row r="281" spans="1:16" ht="15.75" customHeight="1" x14ac:dyDescent="0.35">
      <c r="A281" s="1" t="s">
        <v>209</v>
      </c>
      <c r="D281" s="1" t="s">
        <v>508</v>
      </c>
      <c r="E281" s="1" t="s">
        <v>85</v>
      </c>
      <c r="F281" s="1" t="s">
        <v>23</v>
      </c>
      <c r="G281" s="1" t="s">
        <v>54</v>
      </c>
      <c r="I281">
        <f>IF(Table1[[#This Row],[Claim_Amount]]&lt;0,0,Table1[[#This Row],[Claim_Amount]])</f>
        <v>0</v>
      </c>
      <c r="J281" t="str">
        <f>IF(Table1[[#This Row],[Column1]]=0,"",Table1[[#This Row],[Column1]])</f>
        <v/>
      </c>
      <c r="K281" t="s">
        <v>1098</v>
      </c>
      <c r="M281" s="1" t="s">
        <v>25</v>
      </c>
      <c r="N281" s="1" t="s">
        <v>57</v>
      </c>
      <c r="P281" s="1" t="s">
        <v>65</v>
      </c>
    </row>
    <row r="282" spans="1:16" ht="15.75" customHeight="1" x14ac:dyDescent="0.35">
      <c r="A282" s="1" t="s">
        <v>105</v>
      </c>
      <c r="C282" s="1" t="s">
        <v>509</v>
      </c>
      <c r="D282" s="1" t="s">
        <v>510</v>
      </c>
      <c r="E282" s="1" t="s">
        <v>22</v>
      </c>
      <c r="F282" s="1" t="s">
        <v>53</v>
      </c>
      <c r="G282" s="1" t="s">
        <v>24</v>
      </c>
      <c r="I282">
        <f>IF(Table1[[#This Row],[Claim_Amount]]&lt;0,0,Table1[[#This Row],[Claim_Amount]])</f>
        <v>0</v>
      </c>
      <c r="J282" t="str">
        <f>IF(Table1[[#This Row],[Column1]]=0,"",Table1[[#This Row],[Column1]])</f>
        <v/>
      </c>
      <c r="K282" t="s">
        <v>1098</v>
      </c>
      <c r="M282" s="1" t="s">
        <v>121</v>
      </c>
      <c r="N282" s="1" t="s">
        <v>32</v>
      </c>
      <c r="O282" s="1">
        <v>7</v>
      </c>
    </row>
    <row r="283" spans="1:16" ht="15.75" customHeight="1" x14ac:dyDescent="0.35">
      <c r="A283" s="1" t="s">
        <v>249</v>
      </c>
      <c r="B283" s="1" t="s">
        <v>511</v>
      </c>
      <c r="C283" s="1" t="s">
        <v>494</v>
      </c>
      <c r="D283" s="1" t="s">
        <v>512</v>
      </c>
      <c r="E283" s="1" t="s">
        <v>85</v>
      </c>
      <c r="F283" s="1" t="s">
        <v>23</v>
      </c>
      <c r="G283" s="1" t="s">
        <v>61</v>
      </c>
      <c r="H283" s="1">
        <v>-109</v>
      </c>
      <c r="I283" s="1">
        <f>IF(Table1[[#This Row],[Claim_Amount]]&lt;0,0,Table1[[#This Row],[Claim_Amount]])</f>
        <v>0</v>
      </c>
      <c r="J283" s="1" t="str">
        <f>IF(Table1[[#This Row],[Column1]]=0,"",Table1[[#This Row],[Column1]])</f>
        <v/>
      </c>
      <c r="K283" s="1" t="s">
        <v>1098</v>
      </c>
      <c r="M283" s="1" t="s">
        <v>36</v>
      </c>
      <c r="N283" s="1" t="s">
        <v>32</v>
      </c>
      <c r="P283" s="1" t="s">
        <v>65</v>
      </c>
    </row>
    <row r="284" spans="1:16" ht="15.75" customHeight="1" x14ac:dyDescent="0.35">
      <c r="A284" s="1" t="s">
        <v>154</v>
      </c>
      <c r="B284" s="1" t="s">
        <v>513</v>
      </c>
      <c r="C284" s="1" t="s">
        <v>514</v>
      </c>
      <c r="D284" s="1" t="s">
        <v>313</v>
      </c>
      <c r="E284" s="1" t="s">
        <v>22</v>
      </c>
      <c r="G284" s="1" t="s">
        <v>61</v>
      </c>
      <c r="H284" s="1">
        <v>-200</v>
      </c>
      <c r="I284" s="1">
        <f>IF(Table1[[#This Row],[Claim_Amount]]&lt;0,0,Table1[[#This Row],[Claim_Amount]])</f>
        <v>0</v>
      </c>
      <c r="J284" s="1" t="str">
        <f>IF(Table1[[#This Row],[Column1]]=0,"",Table1[[#This Row],[Column1]])</f>
        <v/>
      </c>
      <c r="K284" s="1" t="s">
        <v>1098</v>
      </c>
      <c r="M284" s="1" t="s">
        <v>25</v>
      </c>
      <c r="N284" s="1" t="s">
        <v>57</v>
      </c>
      <c r="P284" s="1" t="s">
        <v>19</v>
      </c>
    </row>
    <row r="285" spans="1:16" ht="15.75" customHeight="1" x14ac:dyDescent="0.35">
      <c r="A285" s="1" t="s">
        <v>168</v>
      </c>
      <c r="C285" s="1" t="s">
        <v>68</v>
      </c>
      <c r="D285" s="1" t="s">
        <v>515</v>
      </c>
      <c r="E285" s="1" t="s">
        <v>85</v>
      </c>
      <c r="F285" s="1" t="s">
        <v>47</v>
      </c>
      <c r="G285" s="1" t="s">
        <v>48</v>
      </c>
      <c r="I285">
        <f>IF(Table1[[#This Row],[Claim_Amount]]&lt;0,0,Table1[[#This Row],[Claim_Amount]])</f>
        <v>0</v>
      </c>
      <c r="J285" t="str">
        <f>IF(Table1[[#This Row],[Column1]]=0,"",Table1[[#This Row],[Column1]])</f>
        <v/>
      </c>
      <c r="K285" t="s">
        <v>1098</v>
      </c>
      <c r="L285" s="1">
        <v>2871.64</v>
      </c>
      <c r="M285" s="1" t="s">
        <v>36</v>
      </c>
      <c r="N285" s="1" t="s">
        <v>57</v>
      </c>
      <c r="P285" s="1" t="s">
        <v>19</v>
      </c>
    </row>
    <row r="286" spans="1:16" ht="15.75" customHeight="1" x14ac:dyDescent="0.35">
      <c r="A286" s="1" t="s">
        <v>202</v>
      </c>
      <c r="D286" s="1" t="s">
        <v>516</v>
      </c>
      <c r="E286" s="1" t="s">
        <v>85</v>
      </c>
      <c r="F286" s="1" t="s">
        <v>93</v>
      </c>
      <c r="G286" s="1" t="s">
        <v>54</v>
      </c>
      <c r="I286">
        <f>IF(Table1[[#This Row],[Claim_Amount]]&lt;0,0,Table1[[#This Row],[Claim_Amount]])</f>
        <v>0</v>
      </c>
      <c r="J286" t="str">
        <f>IF(Table1[[#This Row],[Column1]]=0,"",Table1[[#This Row],[Column1]])</f>
        <v/>
      </c>
      <c r="K286" t="s">
        <v>1098</v>
      </c>
      <c r="M286" s="1" t="s">
        <v>121</v>
      </c>
      <c r="N286" s="1" t="s">
        <v>32</v>
      </c>
    </row>
    <row r="287" spans="1:16" ht="15.75" customHeight="1" x14ac:dyDescent="0.35">
      <c r="A287" s="1" t="s">
        <v>58</v>
      </c>
      <c r="D287" s="1" t="s">
        <v>517</v>
      </c>
      <c r="E287" s="1" t="s">
        <v>30</v>
      </c>
      <c r="F287" s="1" t="s">
        <v>93</v>
      </c>
      <c r="G287" s="1" t="s">
        <v>48</v>
      </c>
      <c r="I287">
        <f>IF(Table1[[#This Row],[Claim_Amount]]&lt;0,0,Table1[[#This Row],[Claim_Amount]])</f>
        <v>0</v>
      </c>
      <c r="J287" t="str">
        <f>IF(Table1[[#This Row],[Column1]]=0,"",Table1[[#This Row],[Column1]])</f>
        <v/>
      </c>
      <c r="K287" t="s">
        <v>1098</v>
      </c>
      <c r="M287" s="1" t="s">
        <v>121</v>
      </c>
      <c r="N287" s="1" t="s">
        <v>49</v>
      </c>
      <c r="P287" s="1" t="s">
        <v>19</v>
      </c>
    </row>
    <row r="288" spans="1:16" ht="15.75" customHeight="1" x14ac:dyDescent="0.35">
      <c r="A288" s="1" t="s">
        <v>261</v>
      </c>
      <c r="B288" s="1" t="s">
        <v>506</v>
      </c>
      <c r="C288" s="1" t="s">
        <v>354</v>
      </c>
      <c r="D288" s="1" t="s">
        <v>318</v>
      </c>
      <c r="E288" s="1" t="s">
        <v>85</v>
      </c>
      <c r="F288" s="1" t="s">
        <v>31</v>
      </c>
      <c r="G288" s="1" t="s">
        <v>61</v>
      </c>
      <c r="I288">
        <f>IF(Table1[[#This Row],[Claim_Amount]]&lt;0,0,Table1[[#This Row],[Claim_Amount]])</f>
        <v>0</v>
      </c>
      <c r="J288" t="str">
        <f>IF(Table1[[#This Row],[Column1]]=0,"",Table1[[#This Row],[Column1]])</f>
        <v/>
      </c>
      <c r="K288" t="s">
        <v>1098</v>
      </c>
      <c r="M288" s="1" t="s">
        <v>36</v>
      </c>
      <c r="N288" s="1" t="s">
        <v>57</v>
      </c>
      <c r="P288" s="1" t="s">
        <v>65</v>
      </c>
    </row>
    <row r="289" spans="1:16" ht="15.75" customHeight="1" x14ac:dyDescent="0.35">
      <c r="A289" s="1" t="s">
        <v>108</v>
      </c>
      <c r="C289" s="1" t="s">
        <v>518</v>
      </c>
      <c r="D289" s="1" t="s">
        <v>519</v>
      </c>
      <c r="E289" s="1" t="s">
        <v>85</v>
      </c>
      <c r="F289" s="1" t="s">
        <v>93</v>
      </c>
      <c r="G289" s="1" t="s">
        <v>41</v>
      </c>
      <c r="H289" s="1">
        <v>-33</v>
      </c>
      <c r="I289" s="1">
        <f>IF(Table1[[#This Row],[Claim_Amount]]&lt;0,0,Table1[[#This Row],[Claim_Amount]])</f>
        <v>0</v>
      </c>
      <c r="J289" s="1" t="str">
        <f>IF(Table1[[#This Row],[Column1]]=0,"",Table1[[#This Row],[Column1]])</f>
        <v/>
      </c>
      <c r="K289" s="1" t="s">
        <v>1098</v>
      </c>
      <c r="L289" s="1">
        <v>2866.87</v>
      </c>
      <c r="M289" s="1" t="s">
        <v>25</v>
      </c>
      <c r="N289" s="1" t="s">
        <v>32</v>
      </c>
      <c r="P289" s="1" t="s">
        <v>65</v>
      </c>
    </row>
    <row r="290" spans="1:16" ht="15.75" customHeight="1" x14ac:dyDescent="0.35">
      <c r="A290" s="1" t="s">
        <v>117</v>
      </c>
      <c r="C290" s="1" t="s">
        <v>156</v>
      </c>
      <c r="D290" s="1" t="s">
        <v>520</v>
      </c>
      <c r="E290" s="1" t="s">
        <v>35</v>
      </c>
      <c r="F290" s="1" t="s">
        <v>47</v>
      </c>
      <c r="G290" s="1" t="s">
        <v>48</v>
      </c>
      <c r="I290">
        <f>IF(Table1[[#This Row],[Claim_Amount]]&lt;0,0,Table1[[#This Row],[Claim_Amount]])</f>
        <v>0</v>
      </c>
      <c r="J290" t="str">
        <f>IF(Table1[[#This Row],[Column1]]=0,"",Table1[[#This Row],[Column1]])</f>
        <v/>
      </c>
      <c r="K290" t="s">
        <v>1098</v>
      </c>
      <c r="M290" s="1" t="s">
        <v>121</v>
      </c>
      <c r="N290" s="1" t="s">
        <v>26</v>
      </c>
      <c r="O290" s="1">
        <v>55</v>
      </c>
    </row>
    <row r="291" spans="1:16" ht="15.75" customHeight="1" x14ac:dyDescent="0.35">
      <c r="A291" s="1" t="s">
        <v>89</v>
      </c>
      <c r="C291" s="1" t="s">
        <v>80</v>
      </c>
      <c r="D291" s="1" t="s">
        <v>521</v>
      </c>
      <c r="E291" s="1" t="s">
        <v>30</v>
      </c>
      <c r="F291" s="1" t="s">
        <v>47</v>
      </c>
      <c r="G291" s="1" t="s">
        <v>24</v>
      </c>
      <c r="I291">
        <f>IF(Table1[[#This Row],[Claim_Amount]]&lt;0,0,Table1[[#This Row],[Claim_Amount]])</f>
        <v>0</v>
      </c>
      <c r="J291" t="str">
        <f>IF(Table1[[#This Row],[Column1]]=0,"",Table1[[#This Row],[Column1]])</f>
        <v/>
      </c>
      <c r="K291" t="s">
        <v>1098</v>
      </c>
      <c r="M291" s="1" t="s">
        <v>121</v>
      </c>
      <c r="N291" s="1" t="s">
        <v>49</v>
      </c>
    </row>
    <row r="292" spans="1:16" ht="15.75" customHeight="1" x14ac:dyDescent="0.35">
      <c r="A292" s="1" t="s">
        <v>163</v>
      </c>
      <c r="B292" s="1" t="s">
        <v>522</v>
      </c>
      <c r="D292" s="1" t="s">
        <v>523</v>
      </c>
      <c r="E292" s="1" t="s">
        <v>16</v>
      </c>
      <c r="F292" s="1" t="s">
        <v>53</v>
      </c>
      <c r="G292" s="1" t="s">
        <v>54</v>
      </c>
      <c r="H292" s="1">
        <v>-150</v>
      </c>
      <c r="I292" s="1">
        <f>IF(Table1[[#This Row],[Claim_Amount]]&lt;0,0,Table1[[#This Row],[Claim_Amount]])</f>
        <v>0</v>
      </c>
      <c r="J292" s="1" t="str">
        <f>IF(Table1[[#This Row],[Column1]]=0,"",Table1[[#This Row],[Column1]])</f>
        <v/>
      </c>
      <c r="K292" s="1" t="s">
        <v>1098</v>
      </c>
      <c r="M292" s="1" t="s">
        <v>36</v>
      </c>
      <c r="N292" s="1" t="s">
        <v>49</v>
      </c>
      <c r="P292" s="1" t="s">
        <v>65</v>
      </c>
    </row>
    <row r="293" spans="1:16" ht="15.75" customHeight="1" x14ac:dyDescent="0.35">
      <c r="A293" s="1" t="s">
        <v>231</v>
      </c>
      <c r="C293" s="1" t="s">
        <v>39</v>
      </c>
      <c r="D293" s="1" t="s">
        <v>385</v>
      </c>
      <c r="E293" s="1" t="s">
        <v>85</v>
      </c>
      <c r="F293" s="1" t="s">
        <v>47</v>
      </c>
      <c r="G293" s="1" t="s">
        <v>54</v>
      </c>
      <c r="I293">
        <f>IF(Table1[[#This Row],[Claim_Amount]]&lt;0,0,Table1[[#This Row],[Claim_Amount]])</f>
        <v>0</v>
      </c>
      <c r="J293" t="str">
        <f>IF(Table1[[#This Row],[Column1]]=0,"",Table1[[#This Row],[Column1]])</f>
        <v/>
      </c>
      <c r="K293" t="s">
        <v>1098</v>
      </c>
      <c r="M293" s="1" t="s">
        <v>121</v>
      </c>
      <c r="N293" s="1" t="s">
        <v>32</v>
      </c>
      <c r="P293" s="1" t="s">
        <v>19</v>
      </c>
    </row>
    <row r="294" spans="1:16" ht="15.75" customHeight="1" x14ac:dyDescent="0.35">
      <c r="A294" s="1" t="s">
        <v>55</v>
      </c>
      <c r="D294" s="1" t="s">
        <v>524</v>
      </c>
      <c r="E294" s="1" t="s">
        <v>30</v>
      </c>
      <c r="G294" s="1" t="s">
        <v>61</v>
      </c>
      <c r="I294">
        <f>IF(Table1[[#This Row],[Claim_Amount]]&lt;0,0,Table1[[#This Row],[Claim_Amount]])</f>
        <v>0</v>
      </c>
      <c r="J294" t="str">
        <f>IF(Table1[[#This Row],[Column1]]=0,"",Table1[[#This Row],[Column1]])</f>
        <v/>
      </c>
      <c r="K294" t="s">
        <v>1098</v>
      </c>
      <c r="M294" s="1" t="s">
        <v>36</v>
      </c>
      <c r="N294" s="1" t="s">
        <v>18</v>
      </c>
      <c r="O294" s="1">
        <v>28</v>
      </c>
      <c r="P294" s="1" t="s">
        <v>65</v>
      </c>
    </row>
    <row r="295" spans="1:16" ht="15.75" customHeight="1" x14ac:dyDescent="0.35">
      <c r="A295" s="1" t="s">
        <v>212</v>
      </c>
      <c r="C295" s="1" t="s">
        <v>213</v>
      </c>
      <c r="D295" s="1" t="s">
        <v>525</v>
      </c>
      <c r="E295" s="1" t="s">
        <v>85</v>
      </c>
      <c r="F295" s="1" t="s">
        <v>31</v>
      </c>
      <c r="G295" s="1" t="s">
        <v>61</v>
      </c>
      <c r="I295">
        <f>IF(Table1[[#This Row],[Claim_Amount]]&lt;0,0,Table1[[#This Row],[Claim_Amount]])</f>
        <v>0</v>
      </c>
      <c r="J295" t="str">
        <f>IF(Table1[[#This Row],[Column1]]=0,"",Table1[[#This Row],[Column1]])</f>
        <v/>
      </c>
      <c r="K295" t="s">
        <v>1098</v>
      </c>
      <c r="L295" s="1">
        <v>2277.8000000000002</v>
      </c>
      <c r="M295" s="1" t="s">
        <v>42</v>
      </c>
      <c r="N295" s="1" t="s">
        <v>18</v>
      </c>
      <c r="P295" s="1" t="s">
        <v>65</v>
      </c>
    </row>
    <row r="296" spans="1:16" ht="15.75" customHeight="1" x14ac:dyDescent="0.35">
      <c r="A296" s="1" t="s">
        <v>187</v>
      </c>
      <c r="D296" s="1" t="s">
        <v>526</v>
      </c>
      <c r="E296" s="1" t="s">
        <v>85</v>
      </c>
      <c r="H296" s="1">
        <v>3357.89</v>
      </c>
      <c r="I296" s="1">
        <f>IF(Table1[[#This Row],[Claim_Amount]]&lt;0,0,Table1[[#This Row],[Claim_Amount]])</f>
        <v>3357.89</v>
      </c>
      <c r="J296" s="1">
        <f>IF(Table1[[#This Row],[Column1]]=0,"",Table1[[#This Row],[Column1]])</f>
        <v>3357.89</v>
      </c>
      <c r="K296" s="1">
        <v>3357.89</v>
      </c>
      <c r="L296" s="1">
        <v>1314.51</v>
      </c>
      <c r="M296" s="1" t="s">
        <v>42</v>
      </c>
      <c r="N296" s="1" t="s">
        <v>18</v>
      </c>
    </row>
    <row r="297" spans="1:16" ht="15.75" customHeight="1" x14ac:dyDescent="0.35">
      <c r="A297" s="1" t="s">
        <v>38</v>
      </c>
      <c r="C297" s="1" t="s">
        <v>130</v>
      </c>
      <c r="D297" s="1" t="s">
        <v>527</v>
      </c>
      <c r="E297" s="1" t="s">
        <v>35</v>
      </c>
      <c r="G297" s="1" t="s">
        <v>41</v>
      </c>
      <c r="I297">
        <f>IF(Table1[[#This Row],[Claim_Amount]]&lt;0,0,Table1[[#This Row],[Claim_Amount]])</f>
        <v>0</v>
      </c>
      <c r="J297" t="str">
        <f>IF(Table1[[#This Row],[Column1]]=0,"",Table1[[#This Row],[Column1]])</f>
        <v/>
      </c>
      <c r="K297" t="s">
        <v>1098</v>
      </c>
      <c r="M297" s="1" t="s">
        <v>121</v>
      </c>
      <c r="N297" s="1" t="s">
        <v>18</v>
      </c>
      <c r="P297" s="1" t="s">
        <v>19</v>
      </c>
    </row>
    <row r="298" spans="1:16" ht="15.75" customHeight="1" x14ac:dyDescent="0.35">
      <c r="A298" s="1" t="s">
        <v>58</v>
      </c>
      <c r="C298" s="1" t="s">
        <v>358</v>
      </c>
      <c r="D298" s="1" t="s">
        <v>528</v>
      </c>
      <c r="E298" s="1" t="s">
        <v>30</v>
      </c>
      <c r="G298" s="1" t="s">
        <v>61</v>
      </c>
      <c r="I298">
        <f>IF(Table1[[#This Row],[Claim_Amount]]&lt;0,0,Table1[[#This Row],[Claim_Amount]])</f>
        <v>0</v>
      </c>
      <c r="J298" t="str">
        <f>IF(Table1[[#This Row],[Column1]]=0,"",Table1[[#This Row],[Column1]])</f>
        <v/>
      </c>
      <c r="K298" t="s">
        <v>1098</v>
      </c>
      <c r="M298" s="1" t="s">
        <v>17</v>
      </c>
      <c r="N298" s="1" t="s">
        <v>26</v>
      </c>
      <c r="P298" s="1" t="s">
        <v>27</v>
      </c>
    </row>
    <row r="299" spans="1:16" ht="15.75" customHeight="1" x14ac:dyDescent="0.35">
      <c r="A299" s="1" t="s">
        <v>28</v>
      </c>
      <c r="D299" s="1" t="s">
        <v>529</v>
      </c>
      <c r="E299" s="1" t="s">
        <v>22</v>
      </c>
      <c r="F299" s="1" t="s">
        <v>23</v>
      </c>
      <c r="G299" s="1" t="s">
        <v>54</v>
      </c>
      <c r="I299">
        <f>IF(Table1[[#This Row],[Claim_Amount]]&lt;0,0,Table1[[#This Row],[Claim_Amount]])</f>
        <v>0</v>
      </c>
      <c r="J299" t="str">
        <f>IF(Table1[[#This Row],[Column1]]=0,"",Table1[[#This Row],[Column1]])</f>
        <v/>
      </c>
      <c r="K299" t="s">
        <v>1098</v>
      </c>
      <c r="M299" s="1" t="s">
        <v>17</v>
      </c>
      <c r="N299" s="1" t="s">
        <v>26</v>
      </c>
    </row>
    <row r="300" spans="1:16" ht="15.75" customHeight="1" x14ac:dyDescent="0.35">
      <c r="A300" s="1" t="s">
        <v>275</v>
      </c>
      <c r="C300" s="1" t="s">
        <v>135</v>
      </c>
      <c r="D300" s="1" t="s">
        <v>296</v>
      </c>
      <c r="E300" s="1" t="s">
        <v>77</v>
      </c>
      <c r="F300" s="1" t="s">
        <v>31</v>
      </c>
      <c r="G300" s="1" t="s">
        <v>54</v>
      </c>
      <c r="I300">
        <f>IF(Table1[[#This Row],[Claim_Amount]]&lt;0,0,Table1[[#This Row],[Claim_Amount]])</f>
        <v>0</v>
      </c>
      <c r="J300" t="str">
        <f>IF(Table1[[#This Row],[Column1]]=0,"",Table1[[#This Row],[Column1]])</f>
        <v/>
      </c>
      <c r="K300" t="s">
        <v>1098</v>
      </c>
      <c r="L300" s="1">
        <v>1073.45</v>
      </c>
      <c r="M300" s="1" t="s">
        <v>36</v>
      </c>
      <c r="N300" s="1" t="s">
        <v>57</v>
      </c>
      <c r="O300" s="1">
        <v>43</v>
      </c>
      <c r="P300" s="1" t="s">
        <v>65</v>
      </c>
    </row>
    <row r="301" spans="1:16" ht="15.75" customHeight="1" x14ac:dyDescent="0.35">
      <c r="A301" s="1" t="s">
        <v>192</v>
      </c>
      <c r="C301" s="1" t="s">
        <v>530</v>
      </c>
      <c r="D301" s="1" t="s">
        <v>222</v>
      </c>
      <c r="E301" s="1" t="s">
        <v>85</v>
      </c>
      <c r="F301" s="1" t="s">
        <v>31</v>
      </c>
      <c r="G301" s="1" t="s">
        <v>61</v>
      </c>
      <c r="H301" s="1">
        <v>2808.83</v>
      </c>
      <c r="I301" s="1">
        <f>IF(Table1[[#This Row],[Claim_Amount]]&lt;0,0,Table1[[#This Row],[Claim_Amount]])</f>
        <v>2808.83</v>
      </c>
      <c r="J301" s="1">
        <f>IF(Table1[[#This Row],[Column1]]=0,"",Table1[[#This Row],[Column1]])</f>
        <v>2808.83</v>
      </c>
      <c r="K301" s="1">
        <v>2808.83</v>
      </c>
      <c r="L301" s="1">
        <v>961.47</v>
      </c>
      <c r="M301" s="1" t="s">
        <v>25</v>
      </c>
      <c r="N301" s="1" t="s">
        <v>32</v>
      </c>
      <c r="P301" s="1" t="s">
        <v>37</v>
      </c>
    </row>
    <row r="302" spans="1:16" ht="15.75" customHeight="1" x14ac:dyDescent="0.35">
      <c r="A302" s="1" t="s">
        <v>192</v>
      </c>
      <c r="D302" s="1" t="s">
        <v>531</v>
      </c>
      <c r="E302" s="1" t="s">
        <v>85</v>
      </c>
      <c r="F302" s="1" t="s">
        <v>23</v>
      </c>
      <c r="G302" s="1" t="s">
        <v>54</v>
      </c>
      <c r="I302">
        <f>IF(Table1[[#This Row],[Claim_Amount]]&lt;0,0,Table1[[#This Row],[Claim_Amount]])</f>
        <v>0</v>
      </c>
      <c r="J302" t="str">
        <f>IF(Table1[[#This Row],[Column1]]=0,"",Table1[[#This Row],[Column1]])</f>
        <v/>
      </c>
      <c r="K302" t="s">
        <v>1098</v>
      </c>
      <c r="L302" s="1">
        <v>3001.99</v>
      </c>
      <c r="M302" s="1" t="s">
        <v>25</v>
      </c>
      <c r="N302" s="1" t="s">
        <v>32</v>
      </c>
      <c r="P302" s="1" t="s">
        <v>37</v>
      </c>
    </row>
    <row r="303" spans="1:16" ht="15.75" customHeight="1" x14ac:dyDescent="0.35">
      <c r="A303" s="1" t="s">
        <v>277</v>
      </c>
      <c r="D303" s="1" t="s">
        <v>527</v>
      </c>
      <c r="E303" s="1" t="s">
        <v>85</v>
      </c>
      <c r="F303" s="1" t="s">
        <v>93</v>
      </c>
      <c r="G303" s="1" t="s">
        <v>24</v>
      </c>
      <c r="H303" s="1">
        <v>1170.05</v>
      </c>
      <c r="I303" s="1">
        <f>IF(Table1[[#This Row],[Claim_Amount]]&lt;0,0,Table1[[#This Row],[Claim_Amount]])</f>
        <v>1170.05</v>
      </c>
      <c r="J303" s="1">
        <f>IF(Table1[[#This Row],[Column1]]=0,"",Table1[[#This Row],[Column1]])</f>
        <v>1170.05</v>
      </c>
      <c r="K303" s="1">
        <v>1170.05</v>
      </c>
      <c r="M303" s="1" t="s">
        <v>17</v>
      </c>
      <c r="N303" s="1" t="s">
        <v>18</v>
      </c>
      <c r="O303" s="1">
        <v>48</v>
      </c>
      <c r="P303" s="1" t="s">
        <v>19</v>
      </c>
    </row>
    <row r="304" spans="1:16" ht="15.75" customHeight="1" x14ac:dyDescent="0.35">
      <c r="A304" s="1" t="s">
        <v>102</v>
      </c>
      <c r="D304" s="1" t="s">
        <v>532</v>
      </c>
      <c r="E304" s="1" t="s">
        <v>22</v>
      </c>
      <c r="F304" s="1" t="s">
        <v>23</v>
      </c>
      <c r="G304" s="1" t="s">
        <v>54</v>
      </c>
      <c r="I304">
        <f>IF(Table1[[#This Row],[Claim_Amount]]&lt;0,0,Table1[[#This Row],[Claim_Amount]])</f>
        <v>0</v>
      </c>
      <c r="J304" t="str">
        <f>IF(Table1[[#This Row],[Column1]]=0,"",Table1[[#This Row],[Column1]])</f>
        <v/>
      </c>
      <c r="K304" t="s">
        <v>1098</v>
      </c>
      <c r="M304" s="1" t="s">
        <v>36</v>
      </c>
      <c r="N304" s="1" t="s">
        <v>57</v>
      </c>
      <c r="P304" s="1" t="s">
        <v>19</v>
      </c>
    </row>
    <row r="305" spans="1:16" ht="15.75" customHeight="1" x14ac:dyDescent="0.35">
      <c r="A305" s="1" t="s">
        <v>302</v>
      </c>
      <c r="C305" s="1" t="s">
        <v>152</v>
      </c>
      <c r="D305" s="1" t="s">
        <v>533</v>
      </c>
      <c r="E305" s="1" t="s">
        <v>35</v>
      </c>
      <c r="F305" s="1" t="s">
        <v>23</v>
      </c>
      <c r="G305" s="1" t="s">
        <v>54</v>
      </c>
      <c r="H305" s="1">
        <v>1967.62</v>
      </c>
      <c r="I305" s="1">
        <f>IF(Table1[[#This Row],[Claim_Amount]]&lt;0,0,Table1[[#This Row],[Claim_Amount]])</f>
        <v>1967.62</v>
      </c>
      <c r="J305" s="1">
        <f>IF(Table1[[#This Row],[Column1]]=0,"",Table1[[#This Row],[Column1]])</f>
        <v>1967.62</v>
      </c>
      <c r="K305" s="1">
        <v>1967.62</v>
      </c>
      <c r="M305" s="1" t="s">
        <v>121</v>
      </c>
      <c r="N305" s="1" t="s">
        <v>32</v>
      </c>
      <c r="P305" s="1" t="s">
        <v>37</v>
      </c>
    </row>
    <row r="306" spans="1:16" ht="15.75" customHeight="1" x14ac:dyDescent="0.35">
      <c r="A306" s="1" t="s">
        <v>132</v>
      </c>
      <c r="C306" s="1" t="s">
        <v>263</v>
      </c>
      <c r="D306" s="1" t="s">
        <v>229</v>
      </c>
      <c r="E306" s="1" t="s">
        <v>22</v>
      </c>
      <c r="G306" s="1" t="s">
        <v>48</v>
      </c>
      <c r="H306" s="1">
        <v>497.68</v>
      </c>
      <c r="I306" s="1">
        <f>IF(Table1[[#This Row],[Claim_Amount]]&lt;0,0,Table1[[#This Row],[Claim_Amount]])</f>
        <v>497.68</v>
      </c>
      <c r="J306" s="1">
        <f>IF(Table1[[#This Row],[Column1]]=0,"",Table1[[#This Row],[Column1]])</f>
        <v>497.68</v>
      </c>
      <c r="K306" s="1">
        <v>497.68</v>
      </c>
      <c r="M306" s="1" t="s">
        <v>36</v>
      </c>
      <c r="N306" s="1" t="s">
        <v>18</v>
      </c>
      <c r="P306" s="1" t="s">
        <v>27</v>
      </c>
    </row>
    <row r="307" spans="1:16" ht="15.75" customHeight="1" x14ac:dyDescent="0.35">
      <c r="A307" s="1" t="s">
        <v>215</v>
      </c>
      <c r="B307" s="1" t="s">
        <v>534</v>
      </c>
      <c r="C307" s="1" t="s">
        <v>152</v>
      </c>
      <c r="D307" s="1" t="s">
        <v>535</v>
      </c>
      <c r="E307" s="1" t="s">
        <v>35</v>
      </c>
      <c r="H307" s="1">
        <v>3992.61</v>
      </c>
      <c r="I307" s="1">
        <f>IF(Table1[[#This Row],[Claim_Amount]]&lt;0,0,Table1[[#This Row],[Claim_Amount]])</f>
        <v>3992.61</v>
      </c>
      <c r="J307" s="1">
        <f>IF(Table1[[#This Row],[Column1]]=0,"",Table1[[#This Row],[Column1]])</f>
        <v>3992.61</v>
      </c>
      <c r="K307" s="1">
        <v>3992.61</v>
      </c>
      <c r="M307" s="1" t="s">
        <v>121</v>
      </c>
      <c r="N307" s="1" t="s">
        <v>32</v>
      </c>
      <c r="P307" s="1" t="s">
        <v>37</v>
      </c>
    </row>
    <row r="308" spans="1:16" ht="15.75" customHeight="1" x14ac:dyDescent="0.35">
      <c r="A308" s="1" t="s">
        <v>168</v>
      </c>
      <c r="D308" s="1" t="s">
        <v>536</v>
      </c>
      <c r="E308" s="1" t="s">
        <v>92</v>
      </c>
      <c r="F308" s="1" t="s">
        <v>47</v>
      </c>
      <c r="I308">
        <f>IF(Table1[[#This Row],[Claim_Amount]]&lt;0,0,Table1[[#This Row],[Claim_Amount]])</f>
        <v>0</v>
      </c>
      <c r="J308" t="str">
        <f>IF(Table1[[#This Row],[Column1]]=0,"",Table1[[#This Row],[Column1]])</f>
        <v/>
      </c>
      <c r="K308" t="s">
        <v>1098</v>
      </c>
      <c r="M308" s="1" t="s">
        <v>25</v>
      </c>
      <c r="N308" s="1" t="s">
        <v>49</v>
      </c>
      <c r="P308" s="1" t="s">
        <v>37</v>
      </c>
    </row>
    <row r="309" spans="1:16" ht="15.75" customHeight="1" x14ac:dyDescent="0.35">
      <c r="A309" s="1" t="s">
        <v>261</v>
      </c>
      <c r="B309" s="1" t="s">
        <v>537</v>
      </c>
      <c r="C309" s="1" t="s">
        <v>538</v>
      </c>
      <c r="D309" s="1" t="s">
        <v>539</v>
      </c>
      <c r="E309" s="1" t="s">
        <v>16</v>
      </c>
      <c r="F309" s="1" t="s">
        <v>53</v>
      </c>
      <c r="G309" s="1" t="s">
        <v>48</v>
      </c>
      <c r="H309" s="1">
        <v>4284.28</v>
      </c>
      <c r="I309" s="1">
        <f>IF(Table1[[#This Row],[Claim_Amount]]&lt;0,0,Table1[[#This Row],[Claim_Amount]])</f>
        <v>4284.28</v>
      </c>
      <c r="J309" s="1">
        <f>IF(Table1[[#This Row],[Column1]]=0,"",Table1[[#This Row],[Column1]])</f>
        <v>4284.28</v>
      </c>
      <c r="K309" s="1">
        <v>4284.28</v>
      </c>
      <c r="M309" s="1" t="s">
        <v>17</v>
      </c>
      <c r="N309" s="1" t="s">
        <v>18</v>
      </c>
      <c r="P309" s="1" t="s">
        <v>37</v>
      </c>
    </row>
    <row r="310" spans="1:16" ht="15.75" customHeight="1" x14ac:dyDescent="0.35">
      <c r="A310" s="1" t="s">
        <v>173</v>
      </c>
      <c r="C310" s="1" t="s">
        <v>203</v>
      </c>
      <c r="D310" s="1" t="s">
        <v>540</v>
      </c>
      <c r="E310" s="1" t="s">
        <v>35</v>
      </c>
      <c r="F310" s="1" t="s">
        <v>47</v>
      </c>
      <c r="G310" s="1" t="s">
        <v>24</v>
      </c>
      <c r="H310" s="1">
        <v>292.14999999999998</v>
      </c>
      <c r="I310" s="1">
        <f>IF(Table1[[#This Row],[Claim_Amount]]&lt;0,0,Table1[[#This Row],[Claim_Amount]])</f>
        <v>292.14999999999998</v>
      </c>
      <c r="J310" s="1">
        <f>IF(Table1[[#This Row],[Column1]]=0,"",Table1[[#This Row],[Column1]])</f>
        <v>292.14999999999998</v>
      </c>
      <c r="K310" s="1">
        <v>292.14999999999998</v>
      </c>
      <c r="L310" s="1">
        <v>3283.72</v>
      </c>
      <c r="M310" s="1" t="s">
        <v>17</v>
      </c>
      <c r="N310" s="1" t="s">
        <v>26</v>
      </c>
    </row>
    <row r="311" spans="1:16" ht="15.75" customHeight="1" x14ac:dyDescent="0.35">
      <c r="A311" s="1" t="s">
        <v>192</v>
      </c>
      <c r="B311" s="1" t="s">
        <v>541</v>
      </c>
      <c r="C311" s="1" t="s">
        <v>416</v>
      </c>
      <c r="D311" s="1" t="s">
        <v>542</v>
      </c>
      <c r="E311" s="1" t="s">
        <v>92</v>
      </c>
      <c r="F311" s="1" t="s">
        <v>47</v>
      </c>
      <c r="I311">
        <f>IF(Table1[[#This Row],[Claim_Amount]]&lt;0,0,Table1[[#This Row],[Claim_Amount]])</f>
        <v>0</v>
      </c>
      <c r="J311" t="str">
        <f>IF(Table1[[#This Row],[Column1]]=0,"",Table1[[#This Row],[Column1]])</f>
        <v/>
      </c>
      <c r="K311" t="s">
        <v>1098</v>
      </c>
      <c r="M311" s="1" t="s">
        <v>36</v>
      </c>
      <c r="N311" s="1" t="s">
        <v>32</v>
      </c>
      <c r="O311" s="1">
        <v>59</v>
      </c>
      <c r="P311" s="1" t="s">
        <v>19</v>
      </c>
    </row>
    <row r="312" spans="1:16" ht="15.75" customHeight="1" x14ac:dyDescent="0.35">
      <c r="A312" s="1" t="s">
        <v>202</v>
      </c>
      <c r="D312" s="1" t="s">
        <v>543</v>
      </c>
      <c r="E312" s="1" t="s">
        <v>92</v>
      </c>
      <c r="F312" s="1" t="s">
        <v>53</v>
      </c>
      <c r="G312" s="1" t="s">
        <v>24</v>
      </c>
      <c r="I312">
        <f>IF(Table1[[#This Row],[Claim_Amount]]&lt;0,0,Table1[[#This Row],[Claim_Amount]])</f>
        <v>0</v>
      </c>
      <c r="J312" t="str">
        <f>IF(Table1[[#This Row],[Column1]]=0,"",Table1[[#This Row],[Column1]])</f>
        <v/>
      </c>
      <c r="K312" t="s">
        <v>1098</v>
      </c>
      <c r="M312" s="1" t="s">
        <v>17</v>
      </c>
      <c r="N312" s="1" t="s">
        <v>18</v>
      </c>
      <c r="O312" s="1">
        <v>39</v>
      </c>
      <c r="P312" s="1" t="s">
        <v>19</v>
      </c>
    </row>
    <row r="313" spans="1:16" ht="15.75" customHeight="1" x14ac:dyDescent="0.35">
      <c r="A313" s="1" t="s">
        <v>209</v>
      </c>
      <c r="C313" s="1" t="s">
        <v>530</v>
      </c>
      <c r="D313" s="1" t="s">
        <v>544</v>
      </c>
      <c r="E313" s="1" t="s">
        <v>92</v>
      </c>
      <c r="F313" s="1" t="s">
        <v>53</v>
      </c>
      <c r="G313" s="1" t="s">
        <v>54</v>
      </c>
      <c r="I313">
        <f>IF(Table1[[#This Row],[Claim_Amount]]&lt;0,0,Table1[[#This Row],[Claim_Amount]])</f>
        <v>0</v>
      </c>
      <c r="J313" t="str">
        <f>IF(Table1[[#This Row],[Column1]]=0,"",Table1[[#This Row],[Column1]])</f>
        <v/>
      </c>
      <c r="K313" t="s">
        <v>1098</v>
      </c>
      <c r="M313" s="1" t="s">
        <v>36</v>
      </c>
      <c r="N313" s="1" t="s">
        <v>49</v>
      </c>
      <c r="P313" s="1" t="s">
        <v>37</v>
      </c>
    </row>
    <row r="314" spans="1:16" ht="15.75" customHeight="1" x14ac:dyDescent="0.35">
      <c r="A314" s="1" t="s">
        <v>117</v>
      </c>
      <c r="D314" s="1" t="s">
        <v>545</v>
      </c>
      <c r="E314" s="1" t="s">
        <v>77</v>
      </c>
      <c r="G314" s="1" t="s">
        <v>61</v>
      </c>
      <c r="H314" s="1">
        <v>-63</v>
      </c>
      <c r="I314" s="1">
        <f>IF(Table1[[#This Row],[Claim_Amount]]&lt;0,0,Table1[[#This Row],[Claim_Amount]])</f>
        <v>0</v>
      </c>
      <c r="J314" s="1" t="str">
        <f>IF(Table1[[#This Row],[Column1]]=0,"",Table1[[#This Row],[Column1]])</f>
        <v/>
      </c>
      <c r="K314" s="1" t="s">
        <v>1098</v>
      </c>
      <c r="M314" s="1" t="s">
        <v>42</v>
      </c>
      <c r="N314" s="1" t="s">
        <v>57</v>
      </c>
      <c r="P314" s="1" t="s">
        <v>65</v>
      </c>
    </row>
    <row r="315" spans="1:16" ht="15.75" customHeight="1" x14ac:dyDescent="0.35">
      <c r="A315" s="1" t="s">
        <v>89</v>
      </c>
      <c r="B315" s="1" t="s">
        <v>546</v>
      </c>
      <c r="D315" s="1" t="s">
        <v>69</v>
      </c>
      <c r="E315" s="1" t="s">
        <v>30</v>
      </c>
      <c r="F315" s="1" t="s">
        <v>47</v>
      </c>
      <c r="G315" s="1" t="s">
        <v>41</v>
      </c>
      <c r="I315">
        <f>IF(Table1[[#This Row],[Claim_Amount]]&lt;0,0,Table1[[#This Row],[Claim_Amount]])</f>
        <v>0</v>
      </c>
      <c r="J315" t="str">
        <f>IF(Table1[[#This Row],[Column1]]=0,"",Table1[[#This Row],[Column1]])</f>
        <v/>
      </c>
      <c r="K315" t="s">
        <v>1098</v>
      </c>
      <c r="M315" s="1" t="s">
        <v>36</v>
      </c>
      <c r="N315" s="1" t="s">
        <v>57</v>
      </c>
      <c r="O315" s="1">
        <v>1</v>
      </c>
      <c r="P315" s="1" t="s">
        <v>65</v>
      </c>
    </row>
    <row r="316" spans="1:16" ht="15.75" customHeight="1" x14ac:dyDescent="0.35">
      <c r="A316" s="1" t="s">
        <v>114</v>
      </c>
      <c r="D316" s="1" t="s">
        <v>547</v>
      </c>
      <c r="E316" s="1" t="s">
        <v>85</v>
      </c>
      <c r="G316" s="1" t="s">
        <v>48</v>
      </c>
      <c r="I316">
        <f>IF(Table1[[#This Row],[Claim_Amount]]&lt;0,0,Table1[[#This Row],[Claim_Amount]])</f>
        <v>0</v>
      </c>
      <c r="J316" t="str">
        <f>IF(Table1[[#This Row],[Column1]]=0,"",Table1[[#This Row],[Column1]])</f>
        <v/>
      </c>
      <c r="K316" t="s">
        <v>1098</v>
      </c>
      <c r="M316" s="1" t="s">
        <v>25</v>
      </c>
      <c r="N316" s="1" t="s">
        <v>57</v>
      </c>
      <c r="P316" s="1" t="s">
        <v>27</v>
      </c>
    </row>
    <row r="317" spans="1:16" ht="15.75" customHeight="1" x14ac:dyDescent="0.35">
      <c r="A317" s="1" t="s">
        <v>20</v>
      </c>
      <c r="B317" s="1" t="s">
        <v>262</v>
      </c>
      <c r="D317" s="1" t="s">
        <v>548</v>
      </c>
      <c r="E317" s="1" t="s">
        <v>22</v>
      </c>
      <c r="F317" s="1" t="s">
        <v>23</v>
      </c>
      <c r="G317" s="1" t="s">
        <v>41</v>
      </c>
      <c r="I317">
        <f>IF(Table1[[#This Row],[Claim_Amount]]&lt;0,0,Table1[[#This Row],[Claim_Amount]])</f>
        <v>0</v>
      </c>
      <c r="J317" t="str">
        <f>IF(Table1[[#This Row],[Column1]]=0,"",Table1[[#This Row],[Column1]])</f>
        <v/>
      </c>
      <c r="K317" t="s">
        <v>1098</v>
      </c>
      <c r="M317" s="1" t="s">
        <v>17</v>
      </c>
      <c r="N317" s="1" t="s">
        <v>57</v>
      </c>
      <c r="P317" s="1" t="s">
        <v>27</v>
      </c>
    </row>
    <row r="318" spans="1:16" ht="15.75" customHeight="1" x14ac:dyDescent="0.35">
      <c r="A318" s="1" t="s">
        <v>137</v>
      </c>
      <c r="C318" s="1" t="s">
        <v>305</v>
      </c>
      <c r="D318" s="1" t="s">
        <v>549</v>
      </c>
      <c r="E318" s="1" t="s">
        <v>22</v>
      </c>
      <c r="F318" s="1" t="s">
        <v>31</v>
      </c>
      <c r="G318" s="1" t="s">
        <v>24</v>
      </c>
      <c r="H318" s="1">
        <v>2649.25</v>
      </c>
      <c r="I318" s="1">
        <f>IF(Table1[[#This Row],[Claim_Amount]]&lt;0,0,Table1[[#This Row],[Claim_Amount]])</f>
        <v>2649.25</v>
      </c>
      <c r="J318" s="1">
        <f>IF(Table1[[#This Row],[Column1]]=0,"",Table1[[#This Row],[Column1]])</f>
        <v>2649.25</v>
      </c>
      <c r="K318" s="1">
        <v>2649.25</v>
      </c>
      <c r="L318" s="1">
        <v>1902.37</v>
      </c>
      <c r="M318" s="1" t="s">
        <v>17</v>
      </c>
      <c r="N318" s="1" t="s">
        <v>26</v>
      </c>
      <c r="P318" s="1" t="s">
        <v>19</v>
      </c>
    </row>
    <row r="319" spans="1:16" ht="15.75" customHeight="1" x14ac:dyDescent="0.35">
      <c r="A319" s="1" t="s">
        <v>285</v>
      </c>
      <c r="B319" s="1" t="s">
        <v>550</v>
      </c>
      <c r="D319" s="1" t="s">
        <v>521</v>
      </c>
      <c r="E319" s="1" t="s">
        <v>85</v>
      </c>
      <c r="F319" s="1" t="s">
        <v>23</v>
      </c>
      <c r="G319" s="1" t="s">
        <v>54</v>
      </c>
      <c r="I319">
        <f>IF(Table1[[#This Row],[Claim_Amount]]&lt;0,0,Table1[[#This Row],[Claim_Amount]])</f>
        <v>0</v>
      </c>
      <c r="J319" t="str">
        <f>IF(Table1[[#This Row],[Column1]]=0,"",Table1[[#This Row],[Column1]])</f>
        <v/>
      </c>
      <c r="K319" t="s">
        <v>1098</v>
      </c>
      <c r="M319" s="1" t="s">
        <v>121</v>
      </c>
      <c r="N319" s="1" t="s">
        <v>57</v>
      </c>
      <c r="O319" s="1">
        <v>7</v>
      </c>
      <c r="P319" s="1" t="s">
        <v>27</v>
      </c>
    </row>
    <row r="320" spans="1:16" ht="15.75" customHeight="1" x14ac:dyDescent="0.35">
      <c r="A320" s="1" t="s">
        <v>166</v>
      </c>
      <c r="D320" s="1" t="s">
        <v>551</v>
      </c>
      <c r="E320" s="1" t="s">
        <v>22</v>
      </c>
      <c r="I320">
        <f>IF(Table1[[#This Row],[Claim_Amount]]&lt;0,0,Table1[[#This Row],[Claim_Amount]])</f>
        <v>0</v>
      </c>
      <c r="J320" t="str">
        <f>IF(Table1[[#This Row],[Column1]]=0,"",Table1[[#This Row],[Column1]])</f>
        <v/>
      </c>
      <c r="K320" t="s">
        <v>1098</v>
      </c>
      <c r="L320" s="1">
        <v>3212.31</v>
      </c>
      <c r="M320" s="1" t="s">
        <v>42</v>
      </c>
      <c r="N320" s="1" t="s">
        <v>18</v>
      </c>
      <c r="P320" s="1" t="s">
        <v>27</v>
      </c>
    </row>
    <row r="321" spans="1:16" ht="15.75" customHeight="1" x14ac:dyDescent="0.35">
      <c r="A321" s="1" t="s">
        <v>73</v>
      </c>
      <c r="C321" s="1" t="s">
        <v>158</v>
      </c>
      <c r="D321" s="1" t="s">
        <v>552</v>
      </c>
      <c r="E321" s="1" t="s">
        <v>16</v>
      </c>
      <c r="F321" s="1" t="s">
        <v>23</v>
      </c>
      <c r="G321" s="1" t="s">
        <v>54</v>
      </c>
      <c r="I321">
        <f>IF(Table1[[#This Row],[Claim_Amount]]&lt;0,0,Table1[[#This Row],[Claim_Amount]])</f>
        <v>0</v>
      </c>
      <c r="J321" t="str">
        <f>IF(Table1[[#This Row],[Column1]]=0,"",Table1[[#This Row],[Column1]])</f>
        <v/>
      </c>
      <c r="K321" t="s">
        <v>1098</v>
      </c>
      <c r="M321" s="1" t="s">
        <v>42</v>
      </c>
      <c r="N321" s="1" t="s">
        <v>32</v>
      </c>
      <c r="P321" s="1" t="s">
        <v>27</v>
      </c>
    </row>
    <row r="322" spans="1:16" ht="15.75" customHeight="1" x14ac:dyDescent="0.35">
      <c r="A322" s="1" t="s">
        <v>209</v>
      </c>
      <c r="B322" s="1" t="s">
        <v>553</v>
      </c>
      <c r="D322" s="1" t="s">
        <v>554</v>
      </c>
      <c r="E322" s="1" t="s">
        <v>16</v>
      </c>
      <c r="F322" s="1" t="s">
        <v>93</v>
      </c>
      <c r="G322" s="1" t="s">
        <v>61</v>
      </c>
      <c r="H322" s="1">
        <v>2380.14</v>
      </c>
      <c r="I322" s="1">
        <f>IF(Table1[[#This Row],[Claim_Amount]]&lt;0,0,Table1[[#This Row],[Claim_Amount]])</f>
        <v>2380.14</v>
      </c>
      <c r="J322" s="1">
        <f>IF(Table1[[#This Row],[Column1]]=0,"",Table1[[#This Row],[Column1]])</f>
        <v>2380.14</v>
      </c>
      <c r="K322" s="1">
        <v>2380.14</v>
      </c>
      <c r="L322" s="1">
        <v>574.34</v>
      </c>
      <c r="M322" s="1" t="s">
        <v>25</v>
      </c>
      <c r="N322" s="1" t="s">
        <v>49</v>
      </c>
      <c r="O322" s="1">
        <v>25</v>
      </c>
    </row>
    <row r="323" spans="1:16" ht="15.75" customHeight="1" x14ac:dyDescent="0.35">
      <c r="A323" s="1" t="s">
        <v>66</v>
      </c>
      <c r="D323" s="1" t="s">
        <v>555</v>
      </c>
      <c r="E323" s="1" t="s">
        <v>22</v>
      </c>
      <c r="F323" s="1" t="s">
        <v>93</v>
      </c>
      <c r="H323" s="1">
        <v>3804.09</v>
      </c>
      <c r="I323" s="1">
        <f>IF(Table1[[#This Row],[Claim_Amount]]&lt;0,0,Table1[[#This Row],[Claim_Amount]])</f>
        <v>3804.09</v>
      </c>
      <c r="J323" s="1">
        <f>IF(Table1[[#This Row],[Column1]]=0,"",Table1[[#This Row],[Column1]])</f>
        <v>3804.09</v>
      </c>
      <c r="K323" s="1">
        <v>3804.09</v>
      </c>
      <c r="M323" s="1" t="s">
        <v>36</v>
      </c>
      <c r="N323" s="1" t="s">
        <v>18</v>
      </c>
      <c r="P323" s="1" t="s">
        <v>37</v>
      </c>
    </row>
    <row r="324" spans="1:16" ht="15.75" customHeight="1" x14ac:dyDescent="0.35">
      <c r="A324" s="1" t="s">
        <v>108</v>
      </c>
      <c r="D324" s="1" t="s">
        <v>556</v>
      </c>
      <c r="E324" s="1" t="s">
        <v>22</v>
      </c>
      <c r="F324" s="1" t="s">
        <v>47</v>
      </c>
      <c r="G324" s="1" t="s">
        <v>41</v>
      </c>
      <c r="I324">
        <f>IF(Table1[[#This Row],[Claim_Amount]]&lt;0,0,Table1[[#This Row],[Claim_Amount]])</f>
        <v>0</v>
      </c>
      <c r="J324" t="str">
        <f>IF(Table1[[#This Row],[Column1]]=0,"",Table1[[#This Row],[Column1]])</f>
        <v/>
      </c>
      <c r="K324" t="s">
        <v>1098</v>
      </c>
      <c r="M324" s="1" t="s">
        <v>42</v>
      </c>
      <c r="N324" s="1" t="s">
        <v>32</v>
      </c>
      <c r="P324" s="1" t="s">
        <v>19</v>
      </c>
    </row>
    <row r="325" spans="1:16" ht="15.75" customHeight="1" x14ac:dyDescent="0.35">
      <c r="A325" s="1" t="s">
        <v>430</v>
      </c>
      <c r="B325" s="1" t="s">
        <v>266</v>
      </c>
      <c r="D325" s="1" t="s">
        <v>309</v>
      </c>
      <c r="E325" s="1" t="s">
        <v>30</v>
      </c>
      <c r="F325" s="1" t="s">
        <v>47</v>
      </c>
      <c r="G325" s="1" t="s">
        <v>24</v>
      </c>
      <c r="H325" s="1">
        <v>2564.35</v>
      </c>
      <c r="I325" s="1">
        <f>IF(Table1[[#This Row],[Claim_Amount]]&lt;0,0,Table1[[#This Row],[Claim_Amount]])</f>
        <v>2564.35</v>
      </c>
      <c r="J325" s="1">
        <f>IF(Table1[[#This Row],[Column1]]=0,"",Table1[[#This Row],[Column1]])</f>
        <v>2564.35</v>
      </c>
      <c r="K325" s="1">
        <v>2564.35</v>
      </c>
      <c r="M325" s="1" t="s">
        <v>25</v>
      </c>
      <c r="N325" s="1" t="s">
        <v>32</v>
      </c>
      <c r="P325" s="1" t="s">
        <v>37</v>
      </c>
    </row>
    <row r="326" spans="1:16" ht="15.75" customHeight="1" x14ac:dyDescent="0.35">
      <c r="A326" s="1" t="s">
        <v>66</v>
      </c>
      <c r="B326" s="1" t="s">
        <v>103</v>
      </c>
      <c r="C326" s="1" t="s">
        <v>87</v>
      </c>
      <c r="D326" s="1" t="s">
        <v>557</v>
      </c>
      <c r="E326" s="1" t="s">
        <v>16</v>
      </c>
      <c r="F326" s="1" t="s">
        <v>31</v>
      </c>
      <c r="G326" s="1" t="s">
        <v>24</v>
      </c>
      <c r="H326" s="1">
        <v>-161</v>
      </c>
      <c r="I326" s="1">
        <f>IF(Table1[[#This Row],[Claim_Amount]]&lt;0,0,Table1[[#This Row],[Claim_Amount]])</f>
        <v>0</v>
      </c>
      <c r="J326" s="1" t="str">
        <f>IF(Table1[[#This Row],[Column1]]=0,"",Table1[[#This Row],[Column1]])</f>
        <v/>
      </c>
      <c r="K326" s="1" t="s">
        <v>1098</v>
      </c>
      <c r="M326" s="1" t="s">
        <v>36</v>
      </c>
      <c r="N326" s="1" t="s">
        <v>32</v>
      </c>
      <c r="P326" s="1" t="s">
        <v>65</v>
      </c>
    </row>
    <row r="327" spans="1:16" ht="15.75" customHeight="1" x14ac:dyDescent="0.35">
      <c r="A327" s="1" t="s">
        <v>102</v>
      </c>
      <c r="D327" s="1" t="s">
        <v>558</v>
      </c>
      <c r="E327" s="1" t="s">
        <v>92</v>
      </c>
      <c r="F327" s="1" t="s">
        <v>47</v>
      </c>
      <c r="G327" s="1" t="s">
        <v>61</v>
      </c>
      <c r="I327">
        <f>IF(Table1[[#This Row],[Claim_Amount]]&lt;0,0,Table1[[#This Row],[Claim_Amount]])</f>
        <v>0</v>
      </c>
      <c r="J327" t="str">
        <f>IF(Table1[[#This Row],[Column1]]=0,"",Table1[[#This Row],[Column1]])</f>
        <v/>
      </c>
      <c r="K327" t="s">
        <v>1098</v>
      </c>
      <c r="L327" s="1">
        <v>4781.62</v>
      </c>
      <c r="M327" s="1" t="s">
        <v>36</v>
      </c>
      <c r="N327" s="1" t="s">
        <v>26</v>
      </c>
      <c r="P327" s="1" t="s">
        <v>37</v>
      </c>
    </row>
    <row r="328" spans="1:16" ht="15.75" customHeight="1" x14ac:dyDescent="0.35">
      <c r="A328" s="1" t="s">
        <v>58</v>
      </c>
      <c r="C328" s="1" t="s">
        <v>378</v>
      </c>
      <c r="D328" s="1" t="s">
        <v>15</v>
      </c>
      <c r="E328" s="1" t="s">
        <v>22</v>
      </c>
      <c r="G328" s="1" t="s">
        <v>61</v>
      </c>
      <c r="I328">
        <f>IF(Table1[[#This Row],[Claim_Amount]]&lt;0,0,Table1[[#This Row],[Claim_Amount]])</f>
        <v>0</v>
      </c>
      <c r="J328" t="str">
        <f>IF(Table1[[#This Row],[Column1]]=0,"",Table1[[#This Row],[Column1]])</f>
        <v/>
      </c>
      <c r="K328" t="s">
        <v>1098</v>
      </c>
      <c r="M328" s="1" t="s">
        <v>121</v>
      </c>
      <c r="N328" s="1" t="s">
        <v>57</v>
      </c>
      <c r="P328" s="1" t="s">
        <v>65</v>
      </c>
    </row>
    <row r="329" spans="1:16" ht="15.75" customHeight="1" x14ac:dyDescent="0.35">
      <c r="A329" s="1" t="s">
        <v>187</v>
      </c>
      <c r="D329" s="1" t="s">
        <v>559</v>
      </c>
      <c r="E329" s="1" t="s">
        <v>16</v>
      </c>
      <c r="F329" s="1" t="s">
        <v>47</v>
      </c>
      <c r="G329" s="1" t="s">
        <v>54</v>
      </c>
      <c r="I329">
        <f>IF(Table1[[#This Row],[Claim_Amount]]&lt;0,0,Table1[[#This Row],[Claim_Amount]])</f>
        <v>0</v>
      </c>
      <c r="J329" t="str">
        <f>IF(Table1[[#This Row],[Column1]]=0,"",Table1[[#This Row],[Column1]])</f>
        <v/>
      </c>
      <c r="K329" t="s">
        <v>1098</v>
      </c>
      <c r="M329" s="1" t="s">
        <v>25</v>
      </c>
      <c r="N329" s="1" t="s">
        <v>26</v>
      </c>
      <c r="P329" s="1" t="s">
        <v>27</v>
      </c>
    </row>
    <row r="330" spans="1:16" ht="15.75" customHeight="1" x14ac:dyDescent="0.35">
      <c r="A330" s="1" t="s">
        <v>55</v>
      </c>
      <c r="B330" s="1" t="s">
        <v>560</v>
      </c>
      <c r="D330" s="1" t="s">
        <v>450</v>
      </c>
      <c r="E330" s="1" t="s">
        <v>92</v>
      </c>
      <c r="G330" s="1" t="s">
        <v>48</v>
      </c>
      <c r="I330">
        <f>IF(Table1[[#This Row],[Claim_Amount]]&lt;0,0,Table1[[#This Row],[Claim_Amount]])</f>
        <v>0</v>
      </c>
      <c r="J330" t="str">
        <f>IF(Table1[[#This Row],[Column1]]=0,"",Table1[[#This Row],[Column1]])</f>
        <v/>
      </c>
      <c r="K330" t="s">
        <v>1098</v>
      </c>
      <c r="M330" s="1" t="s">
        <v>17</v>
      </c>
      <c r="N330" s="1" t="s">
        <v>18</v>
      </c>
      <c r="P330" s="1" t="s">
        <v>27</v>
      </c>
    </row>
    <row r="331" spans="1:16" ht="15.75" customHeight="1" x14ac:dyDescent="0.35">
      <c r="A331" s="1" t="s">
        <v>70</v>
      </c>
      <c r="C331" s="1" t="s">
        <v>158</v>
      </c>
      <c r="D331" s="1" t="s">
        <v>561</v>
      </c>
      <c r="E331" s="1" t="s">
        <v>16</v>
      </c>
      <c r="F331" s="1" t="s">
        <v>93</v>
      </c>
      <c r="H331" s="1">
        <v>-178</v>
      </c>
      <c r="I331" s="1">
        <f>IF(Table1[[#This Row],[Claim_Amount]]&lt;0,0,Table1[[#This Row],[Claim_Amount]])</f>
        <v>0</v>
      </c>
      <c r="J331" s="1" t="str">
        <f>IF(Table1[[#This Row],[Column1]]=0,"",Table1[[#This Row],[Column1]])</f>
        <v/>
      </c>
      <c r="K331" s="1" t="s">
        <v>1098</v>
      </c>
      <c r="L331" s="1">
        <v>4876.13</v>
      </c>
      <c r="M331" s="1" t="s">
        <v>25</v>
      </c>
      <c r="N331" s="1" t="s">
        <v>18</v>
      </c>
      <c r="P331" s="1" t="s">
        <v>37</v>
      </c>
    </row>
    <row r="332" spans="1:16" ht="15.75" customHeight="1" x14ac:dyDescent="0.35">
      <c r="A332" s="1" t="s">
        <v>179</v>
      </c>
      <c r="C332" s="1" t="s">
        <v>75</v>
      </c>
      <c r="D332" s="1" t="s">
        <v>562</v>
      </c>
      <c r="E332" s="1" t="s">
        <v>22</v>
      </c>
      <c r="F332" s="1" t="s">
        <v>53</v>
      </c>
      <c r="G332" s="1" t="s">
        <v>48</v>
      </c>
      <c r="H332" s="1">
        <v>-57</v>
      </c>
      <c r="I332" s="1">
        <f>IF(Table1[[#This Row],[Claim_Amount]]&lt;0,0,Table1[[#This Row],[Claim_Amount]])</f>
        <v>0</v>
      </c>
      <c r="J332" s="1" t="str">
        <f>IF(Table1[[#This Row],[Column1]]=0,"",Table1[[#This Row],[Column1]])</f>
        <v/>
      </c>
      <c r="K332" s="1" t="s">
        <v>1098</v>
      </c>
      <c r="M332" s="1" t="s">
        <v>121</v>
      </c>
      <c r="N332" s="1" t="s">
        <v>18</v>
      </c>
      <c r="P332" s="1" t="s">
        <v>27</v>
      </c>
    </row>
    <row r="333" spans="1:16" ht="15.75" customHeight="1" x14ac:dyDescent="0.35">
      <c r="A333" s="1" t="s">
        <v>70</v>
      </c>
      <c r="C333" s="1" t="s">
        <v>356</v>
      </c>
      <c r="D333" s="1" t="s">
        <v>563</v>
      </c>
      <c r="E333" s="1" t="s">
        <v>92</v>
      </c>
      <c r="F333" s="1" t="s">
        <v>23</v>
      </c>
      <c r="G333" s="1" t="s">
        <v>54</v>
      </c>
      <c r="H333" s="1">
        <v>2433.59</v>
      </c>
      <c r="I333" s="1">
        <f>IF(Table1[[#This Row],[Claim_Amount]]&lt;0,0,Table1[[#This Row],[Claim_Amount]])</f>
        <v>2433.59</v>
      </c>
      <c r="J333" s="1">
        <f>IF(Table1[[#This Row],[Column1]]=0,"",Table1[[#This Row],[Column1]])</f>
        <v>2433.59</v>
      </c>
      <c r="K333" s="1">
        <v>2433.59</v>
      </c>
      <c r="M333" s="1" t="s">
        <v>36</v>
      </c>
      <c r="N333" s="1" t="s">
        <v>32</v>
      </c>
      <c r="P333" s="1" t="s">
        <v>19</v>
      </c>
    </row>
    <row r="334" spans="1:16" ht="15.75" customHeight="1" x14ac:dyDescent="0.35">
      <c r="A334" s="1" t="s">
        <v>302</v>
      </c>
      <c r="B334" s="1" t="s">
        <v>564</v>
      </c>
      <c r="D334" s="1" t="s">
        <v>565</v>
      </c>
      <c r="E334" s="1" t="s">
        <v>35</v>
      </c>
      <c r="G334" s="1" t="s">
        <v>54</v>
      </c>
      <c r="H334" s="1">
        <v>4000.59</v>
      </c>
      <c r="I334" s="1">
        <f>IF(Table1[[#This Row],[Claim_Amount]]&lt;0,0,Table1[[#This Row],[Claim_Amount]])</f>
        <v>4000.59</v>
      </c>
      <c r="J334" s="1">
        <f>IF(Table1[[#This Row],[Column1]]=0,"",Table1[[#This Row],[Column1]])</f>
        <v>4000.59</v>
      </c>
      <c r="K334" s="1">
        <v>4000.59</v>
      </c>
      <c r="M334" s="1" t="s">
        <v>25</v>
      </c>
      <c r="N334" s="1" t="s">
        <v>49</v>
      </c>
      <c r="P334" s="1" t="s">
        <v>37</v>
      </c>
    </row>
    <row r="335" spans="1:16" ht="15.75" customHeight="1" x14ac:dyDescent="0.35">
      <c r="A335" s="1" t="s">
        <v>209</v>
      </c>
      <c r="D335" s="1" t="s">
        <v>566</v>
      </c>
      <c r="E335" s="1" t="s">
        <v>35</v>
      </c>
      <c r="F335" s="1" t="s">
        <v>47</v>
      </c>
      <c r="I335">
        <f>IF(Table1[[#This Row],[Claim_Amount]]&lt;0,0,Table1[[#This Row],[Claim_Amount]])</f>
        <v>0</v>
      </c>
      <c r="J335" t="str">
        <f>IF(Table1[[#This Row],[Column1]]=0,"",Table1[[#This Row],[Column1]])</f>
        <v/>
      </c>
      <c r="K335" t="s">
        <v>1098</v>
      </c>
      <c r="M335" s="1" t="s">
        <v>36</v>
      </c>
      <c r="N335" s="1" t="s">
        <v>18</v>
      </c>
      <c r="O335" s="1">
        <v>36</v>
      </c>
      <c r="P335" s="1" t="s">
        <v>27</v>
      </c>
    </row>
    <row r="336" spans="1:16" ht="15.75" customHeight="1" x14ac:dyDescent="0.35">
      <c r="A336" s="1" t="s">
        <v>148</v>
      </c>
      <c r="B336" s="1" t="s">
        <v>567</v>
      </c>
      <c r="D336" s="1" t="s">
        <v>568</v>
      </c>
      <c r="E336" s="1" t="s">
        <v>22</v>
      </c>
      <c r="F336" s="1" t="s">
        <v>31</v>
      </c>
      <c r="G336" s="1" t="s">
        <v>41</v>
      </c>
      <c r="I336">
        <f>IF(Table1[[#This Row],[Claim_Amount]]&lt;0,0,Table1[[#This Row],[Claim_Amount]])</f>
        <v>0</v>
      </c>
      <c r="J336" t="str">
        <f>IF(Table1[[#This Row],[Column1]]=0,"",Table1[[#This Row],[Column1]])</f>
        <v/>
      </c>
      <c r="K336" t="s">
        <v>1098</v>
      </c>
      <c r="L336" s="1">
        <v>4296.3999999999996</v>
      </c>
      <c r="M336" s="1" t="s">
        <v>25</v>
      </c>
      <c r="N336" s="1" t="s">
        <v>57</v>
      </c>
      <c r="P336" s="1" t="s">
        <v>65</v>
      </c>
    </row>
    <row r="337" spans="1:16" ht="15.75" customHeight="1" x14ac:dyDescent="0.35">
      <c r="A337" s="1" t="s">
        <v>249</v>
      </c>
      <c r="D337" s="1" t="s">
        <v>569</v>
      </c>
      <c r="E337" s="1" t="s">
        <v>22</v>
      </c>
      <c r="F337" s="1" t="s">
        <v>47</v>
      </c>
      <c r="G337" s="1" t="s">
        <v>61</v>
      </c>
      <c r="I337">
        <f>IF(Table1[[#This Row],[Claim_Amount]]&lt;0,0,Table1[[#This Row],[Claim_Amount]])</f>
        <v>0</v>
      </c>
      <c r="J337" t="str">
        <f>IF(Table1[[#This Row],[Column1]]=0,"",Table1[[#This Row],[Column1]])</f>
        <v/>
      </c>
      <c r="K337" t="s">
        <v>1098</v>
      </c>
      <c r="L337" s="1">
        <v>2997.94</v>
      </c>
      <c r="M337" s="1" t="s">
        <v>121</v>
      </c>
      <c r="N337" s="1" t="s">
        <v>49</v>
      </c>
      <c r="P337" s="1" t="s">
        <v>65</v>
      </c>
    </row>
    <row r="338" spans="1:16" ht="15.75" customHeight="1" x14ac:dyDescent="0.35">
      <c r="A338" s="1" t="s">
        <v>249</v>
      </c>
      <c r="C338" s="1" t="s">
        <v>308</v>
      </c>
      <c r="D338" s="1" t="s">
        <v>570</v>
      </c>
      <c r="E338" s="1" t="s">
        <v>35</v>
      </c>
      <c r="F338" s="1" t="s">
        <v>31</v>
      </c>
      <c r="G338" s="1" t="s">
        <v>61</v>
      </c>
      <c r="H338" s="1">
        <v>-128</v>
      </c>
      <c r="I338" s="1">
        <f>IF(Table1[[#This Row],[Claim_Amount]]&lt;0,0,Table1[[#This Row],[Claim_Amount]])</f>
        <v>0</v>
      </c>
      <c r="J338" s="1" t="str">
        <f>IF(Table1[[#This Row],[Column1]]=0,"",Table1[[#This Row],[Column1]])</f>
        <v/>
      </c>
      <c r="K338" s="1" t="s">
        <v>1098</v>
      </c>
      <c r="M338" s="1" t="s">
        <v>36</v>
      </c>
      <c r="N338" s="1" t="s">
        <v>18</v>
      </c>
      <c r="P338" s="1" t="s">
        <v>37</v>
      </c>
    </row>
    <row r="339" spans="1:16" ht="15.75" customHeight="1" x14ac:dyDescent="0.35">
      <c r="A339" s="1" t="s">
        <v>285</v>
      </c>
      <c r="B339" s="1" t="s">
        <v>571</v>
      </c>
      <c r="D339" s="1" t="s">
        <v>572</v>
      </c>
      <c r="E339" s="1" t="s">
        <v>35</v>
      </c>
      <c r="F339" s="1" t="s">
        <v>31</v>
      </c>
      <c r="G339" s="1" t="s">
        <v>54</v>
      </c>
      <c r="H339" s="1">
        <v>3430.24</v>
      </c>
      <c r="I339" s="1">
        <f>IF(Table1[[#This Row],[Claim_Amount]]&lt;0,0,Table1[[#This Row],[Claim_Amount]])</f>
        <v>3430.24</v>
      </c>
      <c r="J339" s="1">
        <f>IF(Table1[[#This Row],[Column1]]=0,"",Table1[[#This Row],[Column1]])</f>
        <v>3430.24</v>
      </c>
      <c r="K339" s="1">
        <v>3430.24</v>
      </c>
      <c r="M339" s="1" t="s">
        <v>42</v>
      </c>
      <c r="N339" s="1" t="s">
        <v>49</v>
      </c>
      <c r="P339" s="1" t="s">
        <v>27</v>
      </c>
    </row>
    <row r="340" spans="1:16" ht="15.75" customHeight="1" x14ac:dyDescent="0.35">
      <c r="A340" s="1" t="s">
        <v>114</v>
      </c>
      <c r="D340" s="1" t="s">
        <v>573</v>
      </c>
      <c r="E340" s="1" t="s">
        <v>22</v>
      </c>
      <c r="I340">
        <f>IF(Table1[[#This Row],[Claim_Amount]]&lt;0,0,Table1[[#This Row],[Claim_Amount]])</f>
        <v>0</v>
      </c>
      <c r="J340" t="str">
        <f>IF(Table1[[#This Row],[Column1]]=0,"",Table1[[#This Row],[Column1]])</f>
        <v/>
      </c>
      <c r="K340" t="s">
        <v>1098</v>
      </c>
      <c r="M340" s="1" t="s">
        <v>17</v>
      </c>
      <c r="N340" s="1" t="s">
        <v>32</v>
      </c>
      <c r="O340" s="1">
        <v>35</v>
      </c>
      <c r="P340" s="1" t="s">
        <v>19</v>
      </c>
    </row>
    <row r="341" spans="1:16" ht="15.75" customHeight="1" x14ac:dyDescent="0.35">
      <c r="A341" s="1" t="s">
        <v>430</v>
      </c>
      <c r="C341" s="1" t="s">
        <v>574</v>
      </c>
      <c r="D341" s="1" t="s">
        <v>40</v>
      </c>
      <c r="E341" s="1" t="s">
        <v>35</v>
      </c>
      <c r="F341" s="1" t="s">
        <v>31</v>
      </c>
      <c r="G341" s="1" t="s">
        <v>41</v>
      </c>
      <c r="H341" s="1">
        <v>1005.74</v>
      </c>
      <c r="I341" s="1">
        <f>IF(Table1[[#This Row],[Claim_Amount]]&lt;0,0,Table1[[#This Row],[Claim_Amount]])</f>
        <v>1005.74</v>
      </c>
      <c r="J341" s="1">
        <f>IF(Table1[[#This Row],[Column1]]=0,"",Table1[[#This Row],[Column1]])</f>
        <v>1005.74</v>
      </c>
      <c r="K341" s="1">
        <v>1005.74</v>
      </c>
      <c r="M341" s="1" t="s">
        <v>17</v>
      </c>
      <c r="N341" s="1" t="s">
        <v>57</v>
      </c>
      <c r="O341" s="1">
        <v>40</v>
      </c>
      <c r="P341" s="1" t="s">
        <v>19</v>
      </c>
    </row>
    <row r="342" spans="1:16" ht="15.75" customHeight="1" x14ac:dyDescent="0.35">
      <c r="A342" s="1" t="s">
        <v>96</v>
      </c>
      <c r="B342" s="1" t="s">
        <v>575</v>
      </c>
      <c r="C342" s="1" t="s">
        <v>80</v>
      </c>
      <c r="D342" s="1" t="s">
        <v>576</v>
      </c>
      <c r="E342" s="1" t="s">
        <v>92</v>
      </c>
      <c r="F342" s="1" t="s">
        <v>53</v>
      </c>
      <c r="H342" s="1">
        <v>-173</v>
      </c>
      <c r="I342" s="1">
        <f>IF(Table1[[#This Row],[Claim_Amount]]&lt;0,0,Table1[[#This Row],[Claim_Amount]])</f>
        <v>0</v>
      </c>
      <c r="J342" s="1" t="str">
        <f>IF(Table1[[#This Row],[Column1]]=0,"",Table1[[#This Row],[Column1]])</f>
        <v/>
      </c>
      <c r="K342" s="1" t="s">
        <v>1098</v>
      </c>
      <c r="M342" s="1" t="s">
        <v>121</v>
      </c>
      <c r="N342" s="1" t="s">
        <v>32</v>
      </c>
      <c r="O342" s="1">
        <v>16</v>
      </c>
      <c r="P342" s="1" t="s">
        <v>19</v>
      </c>
    </row>
    <row r="343" spans="1:16" ht="15.75" customHeight="1" x14ac:dyDescent="0.35">
      <c r="A343" s="1" t="s">
        <v>38</v>
      </c>
      <c r="B343" s="1" t="s">
        <v>293</v>
      </c>
      <c r="D343" s="1" t="s">
        <v>577</v>
      </c>
      <c r="E343" s="1" t="s">
        <v>85</v>
      </c>
      <c r="F343" s="1" t="s">
        <v>53</v>
      </c>
      <c r="G343" s="1" t="s">
        <v>61</v>
      </c>
      <c r="H343" s="1">
        <v>-61</v>
      </c>
      <c r="I343" s="1">
        <f>IF(Table1[[#This Row],[Claim_Amount]]&lt;0,0,Table1[[#This Row],[Claim_Amount]])</f>
        <v>0</v>
      </c>
      <c r="J343" s="1" t="str">
        <f>IF(Table1[[#This Row],[Column1]]=0,"",Table1[[#This Row],[Column1]])</f>
        <v/>
      </c>
      <c r="K343" s="1" t="s">
        <v>1098</v>
      </c>
      <c r="M343" s="1" t="s">
        <v>25</v>
      </c>
      <c r="N343" s="1" t="s">
        <v>18</v>
      </c>
      <c r="P343" s="1" t="s">
        <v>65</v>
      </c>
    </row>
    <row r="344" spans="1:16" ht="15.75" customHeight="1" x14ac:dyDescent="0.35">
      <c r="A344" s="1" t="s">
        <v>110</v>
      </c>
      <c r="B344" s="1" t="s">
        <v>578</v>
      </c>
      <c r="D344" s="1" t="s">
        <v>432</v>
      </c>
      <c r="E344" s="1" t="s">
        <v>30</v>
      </c>
      <c r="G344" s="1" t="s">
        <v>41</v>
      </c>
      <c r="H344" s="1">
        <v>-14</v>
      </c>
      <c r="I344" s="1">
        <f>IF(Table1[[#This Row],[Claim_Amount]]&lt;0,0,Table1[[#This Row],[Claim_Amount]])</f>
        <v>0</v>
      </c>
      <c r="J344" s="1" t="str">
        <f>IF(Table1[[#This Row],[Column1]]=0,"",Table1[[#This Row],[Column1]])</f>
        <v/>
      </c>
      <c r="K344" s="1" t="s">
        <v>1098</v>
      </c>
      <c r="M344" s="1" t="s">
        <v>25</v>
      </c>
      <c r="N344" s="1" t="s">
        <v>26</v>
      </c>
      <c r="P344" s="1" t="s">
        <v>27</v>
      </c>
    </row>
    <row r="345" spans="1:16" ht="15.75" customHeight="1" x14ac:dyDescent="0.35">
      <c r="A345" s="1" t="s">
        <v>50</v>
      </c>
      <c r="C345" s="1" t="s">
        <v>331</v>
      </c>
      <c r="D345" s="1" t="s">
        <v>324</v>
      </c>
      <c r="E345" s="1" t="s">
        <v>77</v>
      </c>
      <c r="F345" s="1" t="s">
        <v>53</v>
      </c>
      <c r="I345">
        <f>IF(Table1[[#This Row],[Claim_Amount]]&lt;0,0,Table1[[#This Row],[Claim_Amount]])</f>
        <v>0</v>
      </c>
      <c r="J345" t="str">
        <f>IF(Table1[[#This Row],[Column1]]=0,"",Table1[[#This Row],[Column1]])</f>
        <v/>
      </c>
      <c r="K345" t="s">
        <v>1098</v>
      </c>
      <c r="M345" s="1" t="s">
        <v>121</v>
      </c>
      <c r="N345" s="1" t="s">
        <v>26</v>
      </c>
      <c r="P345" s="1" t="s">
        <v>27</v>
      </c>
    </row>
    <row r="346" spans="1:16" ht="15.75" customHeight="1" x14ac:dyDescent="0.35">
      <c r="A346" s="1" t="s">
        <v>114</v>
      </c>
      <c r="C346" s="1" t="s">
        <v>442</v>
      </c>
      <c r="D346" s="1" t="s">
        <v>579</v>
      </c>
      <c r="E346" s="1" t="s">
        <v>30</v>
      </c>
      <c r="F346" s="1" t="s">
        <v>31</v>
      </c>
      <c r="G346" s="1" t="s">
        <v>61</v>
      </c>
      <c r="I346">
        <f>IF(Table1[[#This Row],[Claim_Amount]]&lt;0,0,Table1[[#This Row],[Claim_Amount]])</f>
        <v>0</v>
      </c>
      <c r="J346" t="str">
        <f>IF(Table1[[#This Row],[Column1]]=0,"",Table1[[#This Row],[Column1]])</f>
        <v/>
      </c>
      <c r="K346" t="s">
        <v>1098</v>
      </c>
      <c r="L346" s="1">
        <v>924.26</v>
      </c>
      <c r="M346" s="1" t="s">
        <v>121</v>
      </c>
      <c r="N346" s="1" t="s">
        <v>18</v>
      </c>
      <c r="P346" s="1" t="s">
        <v>37</v>
      </c>
    </row>
    <row r="347" spans="1:16" ht="15.75" customHeight="1" x14ac:dyDescent="0.35">
      <c r="A347" s="1" t="s">
        <v>108</v>
      </c>
      <c r="D347" s="1" t="s">
        <v>423</v>
      </c>
      <c r="E347" s="1" t="s">
        <v>85</v>
      </c>
      <c r="F347" s="1" t="s">
        <v>93</v>
      </c>
      <c r="G347" s="1" t="s">
        <v>61</v>
      </c>
      <c r="I347">
        <f>IF(Table1[[#This Row],[Claim_Amount]]&lt;0,0,Table1[[#This Row],[Claim_Amount]])</f>
        <v>0</v>
      </c>
      <c r="J347" t="str">
        <f>IF(Table1[[#This Row],[Column1]]=0,"",Table1[[#This Row],[Column1]])</f>
        <v/>
      </c>
      <c r="K347" t="s">
        <v>1098</v>
      </c>
      <c r="L347" s="1">
        <v>2471.6999999999998</v>
      </c>
      <c r="M347" s="1" t="s">
        <v>36</v>
      </c>
      <c r="N347" s="1" t="s">
        <v>32</v>
      </c>
      <c r="P347" s="1" t="s">
        <v>37</v>
      </c>
    </row>
    <row r="348" spans="1:16" ht="15.75" customHeight="1" x14ac:dyDescent="0.35">
      <c r="A348" s="1" t="s">
        <v>105</v>
      </c>
      <c r="D348" s="1" t="s">
        <v>101</v>
      </c>
      <c r="E348" s="1" t="s">
        <v>22</v>
      </c>
      <c r="I348">
        <f>IF(Table1[[#This Row],[Claim_Amount]]&lt;0,0,Table1[[#This Row],[Claim_Amount]])</f>
        <v>0</v>
      </c>
      <c r="J348" t="str">
        <f>IF(Table1[[#This Row],[Column1]]=0,"",Table1[[#This Row],[Column1]])</f>
        <v/>
      </c>
      <c r="K348" t="s">
        <v>1098</v>
      </c>
      <c r="L348" s="1">
        <v>3718.2</v>
      </c>
      <c r="M348" s="1" t="s">
        <v>25</v>
      </c>
      <c r="N348" s="1" t="s">
        <v>26</v>
      </c>
      <c r="O348" s="1">
        <v>47</v>
      </c>
      <c r="P348" s="1" t="s">
        <v>37</v>
      </c>
    </row>
    <row r="349" spans="1:16" ht="15.75" customHeight="1" x14ac:dyDescent="0.35">
      <c r="A349" s="1" t="s">
        <v>43</v>
      </c>
      <c r="C349" s="1" t="s">
        <v>87</v>
      </c>
      <c r="D349" s="1" t="s">
        <v>580</v>
      </c>
      <c r="E349" s="1" t="s">
        <v>16</v>
      </c>
      <c r="F349" s="1" t="s">
        <v>93</v>
      </c>
      <c r="H349" s="1">
        <v>297.29000000000002</v>
      </c>
      <c r="I349" s="1">
        <f>IF(Table1[[#This Row],[Claim_Amount]]&lt;0,0,Table1[[#This Row],[Claim_Amount]])</f>
        <v>297.29000000000002</v>
      </c>
      <c r="J349" s="1">
        <f>IF(Table1[[#This Row],[Column1]]=0,"",Table1[[#This Row],[Column1]])</f>
        <v>297.29000000000002</v>
      </c>
      <c r="K349" s="1">
        <v>297.29000000000002</v>
      </c>
      <c r="L349" s="1">
        <v>2308.11</v>
      </c>
      <c r="M349" s="1" t="s">
        <v>36</v>
      </c>
      <c r="N349" s="1" t="s">
        <v>26</v>
      </c>
      <c r="O349" s="1">
        <v>52</v>
      </c>
      <c r="P349" s="1" t="s">
        <v>19</v>
      </c>
    </row>
    <row r="350" spans="1:16" ht="15.75" customHeight="1" x14ac:dyDescent="0.35">
      <c r="A350" s="1" t="s">
        <v>117</v>
      </c>
      <c r="C350" s="1" t="s">
        <v>581</v>
      </c>
      <c r="D350" s="1" t="s">
        <v>127</v>
      </c>
      <c r="E350" s="1" t="s">
        <v>35</v>
      </c>
      <c r="F350" s="1" t="s">
        <v>53</v>
      </c>
      <c r="G350" s="1" t="s">
        <v>41</v>
      </c>
      <c r="I350">
        <f>IF(Table1[[#This Row],[Claim_Amount]]&lt;0,0,Table1[[#This Row],[Claim_Amount]])</f>
        <v>0</v>
      </c>
      <c r="J350" t="str">
        <f>IF(Table1[[#This Row],[Column1]]=0,"",Table1[[#This Row],[Column1]])</f>
        <v/>
      </c>
      <c r="K350" t="s">
        <v>1098</v>
      </c>
      <c r="L350" s="1">
        <v>1641.87</v>
      </c>
      <c r="M350" s="1" t="s">
        <v>25</v>
      </c>
      <c r="N350" s="1" t="s">
        <v>57</v>
      </c>
      <c r="P350" s="1" t="s">
        <v>19</v>
      </c>
    </row>
    <row r="351" spans="1:16" ht="15.75" customHeight="1" x14ac:dyDescent="0.35">
      <c r="A351" s="1" t="s">
        <v>55</v>
      </c>
      <c r="B351" s="1" t="s">
        <v>582</v>
      </c>
      <c r="D351" s="1" t="s">
        <v>583</v>
      </c>
      <c r="E351" s="1" t="s">
        <v>85</v>
      </c>
      <c r="F351" s="1" t="s">
        <v>53</v>
      </c>
      <c r="G351" s="1" t="s">
        <v>24</v>
      </c>
      <c r="I351">
        <f>IF(Table1[[#This Row],[Claim_Amount]]&lt;0,0,Table1[[#This Row],[Claim_Amount]])</f>
        <v>0</v>
      </c>
      <c r="J351" t="str">
        <f>IF(Table1[[#This Row],[Column1]]=0,"",Table1[[#This Row],[Column1]])</f>
        <v/>
      </c>
      <c r="K351" t="s">
        <v>1098</v>
      </c>
      <c r="M351" s="1" t="s">
        <v>36</v>
      </c>
      <c r="N351" s="1" t="s">
        <v>49</v>
      </c>
      <c r="O351" s="1">
        <v>49</v>
      </c>
      <c r="P351" s="1" t="s">
        <v>19</v>
      </c>
    </row>
    <row r="352" spans="1:16" ht="15.75" customHeight="1" x14ac:dyDescent="0.35">
      <c r="A352" s="1" t="s">
        <v>117</v>
      </c>
      <c r="B352" s="1" t="s">
        <v>584</v>
      </c>
      <c r="C352" s="1" t="s">
        <v>290</v>
      </c>
      <c r="D352" s="1" t="s">
        <v>385</v>
      </c>
      <c r="E352" s="1" t="s">
        <v>92</v>
      </c>
      <c r="F352" s="1" t="s">
        <v>53</v>
      </c>
      <c r="I352">
        <f>IF(Table1[[#This Row],[Claim_Amount]]&lt;0,0,Table1[[#This Row],[Claim_Amount]])</f>
        <v>0</v>
      </c>
      <c r="J352" t="str">
        <f>IF(Table1[[#This Row],[Column1]]=0,"",Table1[[#This Row],[Column1]])</f>
        <v/>
      </c>
      <c r="K352" t="s">
        <v>1098</v>
      </c>
      <c r="M352" s="1" t="s">
        <v>42</v>
      </c>
      <c r="N352" s="1" t="s">
        <v>57</v>
      </c>
      <c r="P352" s="1" t="s">
        <v>65</v>
      </c>
    </row>
    <row r="353" spans="1:16" ht="15.75" customHeight="1" x14ac:dyDescent="0.35">
      <c r="A353" s="1" t="s">
        <v>102</v>
      </c>
      <c r="C353" s="1" t="s">
        <v>469</v>
      </c>
      <c r="D353" s="1" t="s">
        <v>559</v>
      </c>
      <c r="E353" s="1" t="s">
        <v>22</v>
      </c>
      <c r="F353" s="1" t="s">
        <v>31</v>
      </c>
      <c r="G353" s="1" t="s">
        <v>41</v>
      </c>
      <c r="I353">
        <f>IF(Table1[[#This Row],[Claim_Amount]]&lt;0,0,Table1[[#This Row],[Claim_Amount]])</f>
        <v>0</v>
      </c>
      <c r="J353" t="str">
        <f>IF(Table1[[#This Row],[Column1]]=0,"",Table1[[#This Row],[Column1]])</f>
        <v/>
      </c>
      <c r="K353" t="s">
        <v>1098</v>
      </c>
      <c r="M353" s="1" t="s">
        <v>25</v>
      </c>
      <c r="N353" s="1" t="s">
        <v>57</v>
      </c>
    </row>
    <row r="354" spans="1:16" ht="15.75" customHeight="1" x14ac:dyDescent="0.35">
      <c r="A354" s="1" t="s">
        <v>198</v>
      </c>
      <c r="C354" s="1" t="s">
        <v>378</v>
      </c>
      <c r="D354" s="1" t="s">
        <v>585</v>
      </c>
      <c r="E354" s="1" t="s">
        <v>22</v>
      </c>
      <c r="F354" s="1" t="s">
        <v>93</v>
      </c>
      <c r="H354" s="1">
        <v>-131</v>
      </c>
      <c r="I354" s="1">
        <f>IF(Table1[[#This Row],[Claim_Amount]]&lt;0,0,Table1[[#This Row],[Claim_Amount]])</f>
        <v>0</v>
      </c>
      <c r="J354" s="1" t="str">
        <f>IF(Table1[[#This Row],[Column1]]=0,"",Table1[[#This Row],[Column1]])</f>
        <v/>
      </c>
      <c r="K354" s="1" t="s">
        <v>1098</v>
      </c>
      <c r="M354" s="1" t="s">
        <v>25</v>
      </c>
      <c r="N354" s="1" t="s">
        <v>26</v>
      </c>
      <c r="P354" s="1" t="s">
        <v>27</v>
      </c>
    </row>
    <row r="355" spans="1:16" ht="15.75" customHeight="1" x14ac:dyDescent="0.35">
      <c r="A355" s="1" t="s">
        <v>187</v>
      </c>
      <c r="D355" s="1" t="s">
        <v>586</v>
      </c>
      <c r="E355" s="1" t="s">
        <v>85</v>
      </c>
      <c r="F355" s="1" t="s">
        <v>93</v>
      </c>
      <c r="G355" s="1" t="s">
        <v>61</v>
      </c>
      <c r="H355" s="1">
        <v>2451.0500000000002</v>
      </c>
      <c r="I355" s="1">
        <f>IF(Table1[[#This Row],[Claim_Amount]]&lt;0,0,Table1[[#This Row],[Claim_Amount]])</f>
        <v>2451.0500000000002</v>
      </c>
      <c r="J355" s="1">
        <f>IF(Table1[[#This Row],[Column1]]=0,"",Table1[[#This Row],[Column1]])</f>
        <v>2451.0500000000002</v>
      </c>
      <c r="K355" s="1">
        <v>2451.0500000000002</v>
      </c>
      <c r="M355" s="1" t="s">
        <v>121</v>
      </c>
      <c r="N355" s="1" t="s">
        <v>57</v>
      </c>
      <c r="P355" s="1" t="s">
        <v>37</v>
      </c>
    </row>
    <row r="356" spans="1:16" ht="15.75" customHeight="1" x14ac:dyDescent="0.35">
      <c r="A356" s="1" t="s">
        <v>212</v>
      </c>
      <c r="C356" s="1" t="s">
        <v>139</v>
      </c>
      <c r="D356" s="1" t="s">
        <v>587</v>
      </c>
      <c r="E356" s="1" t="s">
        <v>85</v>
      </c>
      <c r="G356" s="1" t="s">
        <v>48</v>
      </c>
      <c r="I356">
        <f>IF(Table1[[#This Row],[Claim_Amount]]&lt;0,0,Table1[[#This Row],[Claim_Amount]])</f>
        <v>0</v>
      </c>
      <c r="J356" t="str">
        <f>IF(Table1[[#This Row],[Column1]]=0,"",Table1[[#This Row],[Column1]])</f>
        <v/>
      </c>
      <c r="K356" t="s">
        <v>1098</v>
      </c>
      <c r="M356" s="1" t="s">
        <v>121</v>
      </c>
      <c r="N356" s="1" t="s">
        <v>26</v>
      </c>
      <c r="P356" s="1" t="s">
        <v>65</v>
      </c>
    </row>
    <row r="357" spans="1:16" ht="15.75" customHeight="1" x14ac:dyDescent="0.35">
      <c r="A357" s="1" t="s">
        <v>187</v>
      </c>
      <c r="D357" s="1" t="s">
        <v>588</v>
      </c>
      <c r="E357" s="1" t="s">
        <v>85</v>
      </c>
      <c r="G357" s="1" t="s">
        <v>41</v>
      </c>
      <c r="I357">
        <f>IF(Table1[[#This Row],[Claim_Amount]]&lt;0,0,Table1[[#This Row],[Claim_Amount]])</f>
        <v>0</v>
      </c>
      <c r="J357" t="str">
        <f>IF(Table1[[#This Row],[Column1]]=0,"",Table1[[#This Row],[Column1]])</f>
        <v/>
      </c>
      <c r="K357" t="s">
        <v>1098</v>
      </c>
      <c r="M357" s="1" t="s">
        <v>36</v>
      </c>
      <c r="N357" s="1" t="s">
        <v>26</v>
      </c>
      <c r="O357" s="1">
        <v>17</v>
      </c>
      <c r="P357" s="1" t="s">
        <v>19</v>
      </c>
    </row>
    <row r="358" spans="1:16" ht="15.75" customHeight="1" x14ac:dyDescent="0.35">
      <c r="A358" s="1" t="s">
        <v>173</v>
      </c>
      <c r="D358" s="1" t="s">
        <v>589</v>
      </c>
      <c r="E358" s="1" t="s">
        <v>22</v>
      </c>
      <c r="G358" s="1" t="s">
        <v>54</v>
      </c>
      <c r="I358">
        <f>IF(Table1[[#This Row],[Claim_Amount]]&lt;0,0,Table1[[#This Row],[Claim_Amount]])</f>
        <v>0</v>
      </c>
      <c r="J358" t="str">
        <f>IF(Table1[[#This Row],[Column1]]=0,"",Table1[[#This Row],[Column1]])</f>
        <v/>
      </c>
      <c r="K358" t="s">
        <v>1098</v>
      </c>
      <c r="M358" s="1" t="s">
        <v>121</v>
      </c>
      <c r="N358" s="1" t="s">
        <v>18</v>
      </c>
      <c r="P358" s="1" t="s">
        <v>37</v>
      </c>
    </row>
    <row r="359" spans="1:16" ht="15.75" customHeight="1" x14ac:dyDescent="0.35">
      <c r="A359" s="1" t="s">
        <v>38</v>
      </c>
      <c r="C359" s="1" t="s">
        <v>75</v>
      </c>
      <c r="D359" s="1" t="s">
        <v>590</v>
      </c>
      <c r="E359" s="1" t="s">
        <v>85</v>
      </c>
      <c r="F359" s="1" t="s">
        <v>47</v>
      </c>
      <c r="G359" s="1" t="s">
        <v>24</v>
      </c>
      <c r="H359" s="1">
        <v>-11</v>
      </c>
      <c r="I359" s="1">
        <f>IF(Table1[[#This Row],[Claim_Amount]]&lt;0,0,Table1[[#This Row],[Claim_Amount]])</f>
        <v>0</v>
      </c>
      <c r="J359" s="1" t="str">
        <f>IF(Table1[[#This Row],[Column1]]=0,"",Table1[[#This Row],[Column1]])</f>
        <v/>
      </c>
      <c r="K359" s="1" t="s">
        <v>1098</v>
      </c>
      <c r="L359" s="1">
        <v>4901.91</v>
      </c>
      <c r="M359" s="1" t="s">
        <v>121</v>
      </c>
      <c r="N359" s="1" t="s">
        <v>57</v>
      </c>
    </row>
    <row r="360" spans="1:16" ht="15.75" customHeight="1" x14ac:dyDescent="0.35">
      <c r="A360" s="1" t="s">
        <v>78</v>
      </c>
      <c r="D360" s="1" t="s">
        <v>591</v>
      </c>
      <c r="E360" s="1" t="s">
        <v>22</v>
      </c>
      <c r="F360" s="1" t="s">
        <v>23</v>
      </c>
      <c r="I360">
        <f>IF(Table1[[#This Row],[Claim_Amount]]&lt;0,0,Table1[[#This Row],[Claim_Amount]])</f>
        <v>0</v>
      </c>
      <c r="J360" t="str">
        <f>IF(Table1[[#This Row],[Column1]]=0,"",Table1[[#This Row],[Column1]])</f>
        <v/>
      </c>
      <c r="K360" t="s">
        <v>1098</v>
      </c>
      <c r="L360" s="1">
        <v>1824.11</v>
      </c>
      <c r="M360" s="1" t="s">
        <v>25</v>
      </c>
      <c r="N360" s="1" t="s">
        <v>26</v>
      </c>
      <c r="P360" s="1" t="s">
        <v>27</v>
      </c>
    </row>
    <row r="361" spans="1:16" ht="15.75" customHeight="1" x14ac:dyDescent="0.35">
      <c r="A361" s="1" t="s">
        <v>132</v>
      </c>
      <c r="C361" s="1" t="s">
        <v>156</v>
      </c>
      <c r="D361" s="1" t="s">
        <v>304</v>
      </c>
      <c r="E361" s="1" t="s">
        <v>77</v>
      </c>
      <c r="F361" s="1" t="s">
        <v>93</v>
      </c>
      <c r="G361" s="1" t="s">
        <v>41</v>
      </c>
      <c r="H361" s="1">
        <v>3152.71</v>
      </c>
      <c r="I361" s="1">
        <f>IF(Table1[[#This Row],[Claim_Amount]]&lt;0,0,Table1[[#This Row],[Claim_Amount]])</f>
        <v>3152.71</v>
      </c>
      <c r="J361" s="1">
        <f>IF(Table1[[#This Row],[Column1]]=0,"",Table1[[#This Row],[Column1]])</f>
        <v>3152.71</v>
      </c>
      <c r="K361" s="1">
        <v>3152.71</v>
      </c>
      <c r="L361" s="1">
        <v>4308.8900000000003</v>
      </c>
      <c r="M361" s="1" t="s">
        <v>121</v>
      </c>
      <c r="N361" s="1" t="s">
        <v>32</v>
      </c>
      <c r="O361" s="1">
        <v>33</v>
      </c>
      <c r="P361" s="1" t="s">
        <v>27</v>
      </c>
    </row>
    <row r="362" spans="1:16" ht="15.75" customHeight="1" x14ac:dyDescent="0.35">
      <c r="A362" s="1" t="s">
        <v>62</v>
      </c>
      <c r="C362" s="1" t="s">
        <v>592</v>
      </c>
      <c r="D362" s="1" t="s">
        <v>593</v>
      </c>
      <c r="E362" s="1" t="s">
        <v>35</v>
      </c>
      <c r="F362" s="1" t="s">
        <v>23</v>
      </c>
      <c r="G362" s="1" t="s">
        <v>54</v>
      </c>
      <c r="I362">
        <f>IF(Table1[[#This Row],[Claim_Amount]]&lt;0,0,Table1[[#This Row],[Claim_Amount]])</f>
        <v>0</v>
      </c>
      <c r="J362" t="str">
        <f>IF(Table1[[#This Row],[Column1]]=0,"",Table1[[#This Row],[Column1]])</f>
        <v/>
      </c>
      <c r="K362" t="s">
        <v>1098</v>
      </c>
      <c r="L362" s="1">
        <v>4445.49</v>
      </c>
      <c r="M362" s="1" t="s">
        <v>121</v>
      </c>
      <c r="N362" s="1" t="s">
        <v>32</v>
      </c>
      <c r="P362" s="1" t="s">
        <v>19</v>
      </c>
    </row>
    <row r="363" spans="1:16" ht="15.75" customHeight="1" x14ac:dyDescent="0.35">
      <c r="A363" s="1" t="s">
        <v>242</v>
      </c>
      <c r="B363" s="1" t="s">
        <v>594</v>
      </c>
      <c r="C363" s="1" t="s">
        <v>336</v>
      </c>
      <c r="D363" s="1" t="s">
        <v>595</v>
      </c>
      <c r="E363" s="1" t="s">
        <v>92</v>
      </c>
      <c r="F363" s="1" t="s">
        <v>93</v>
      </c>
      <c r="G363" s="1" t="s">
        <v>54</v>
      </c>
      <c r="I363">
        <f>IF(Table1[[#This Row],[Claim_Amount]]&lt;0,0,Table1[[#This Row],[Claim_Amount]])</f>
        <v>0</v>
      </c>
      <c r="J363" t="str">
        <f>IF(Table1[[#This Row],[Column1]]=0,"",Table1[[#This Row],[Column1]])</f>
        <v/>
      </c>
      <c r="K363" t="s">
        <v>1098</v>
      </c>
      <c r="L363" s="1">
        <v>3778.21</v>
      </c>
      <c r="M363" s="1" t="s">
        <v>42</v>
      </c>
      <c r="N363" s="1" t="s">
        <v>32</v>
      </c>
    </row>
    <row r="364" spans="1:16" ht="15.75" customHeight="1" x14ac:dyDescent="0.35">
      <c r="A364" s="1" t="s">
        <v>275</v>
      </c>
      <c r="C364" s="1" t="s">
        <v>416</v>
      </c>
      <c r="D364" s="1" t="s">
        <v>596</v>
      </c>
      <c r="E364" s="1" t="s">
        <v>30</v>
      </c>
      <c r="F364" s="1" t="s">
        <v>47</v>
      </c>
      <c r="G364" s="1" t="s">
        <v>61</v>
      </c>
      <c r="I364">
        <f>IF(Table1[[#This Row],[Claim_Amount]]&lt;0,0,Table1[[#This Row],[Claim_Amount]])</f>
        <v>0</v>
      </c>
      <c r="J364" t="str">
        <f>IF(Table1[[#This Row],[Column1]]=0,"",Table1[[#This Row],[Column1]])</f>
        <v/>
      </c>
      <c r="K364" t="s">
        <v>1098</v>
      </c>
      <c r="M364" s="1" t="s">
        <v>25</v>
      </c>
      <c r="N364" s="1" t="s">
        <v>18</v>
      </c>
      <c r="P364" s="1" t="s">
        <v>19</v>
      </c>
    </row>
    <row r="365" spans="1:16" ht="15.75" customHeight="1" x14ac:dyDescent="0.35">
      <c r="A365" s="1" t="s">
        <v>96</v>
      </c>
      <c r="B365" s="1" t="s">
        <v>597</v>
      </c>
      <c r="C365" s="1" t="s">
        <v>112</v>
      </c>
      <c r="D365" s="1" t="s">
        <v>598</v>
      </c>
      <c r="E365" s="1" t="s">
        <v>35</v>
      </c>
      <c r="F365" s="1" t="s">
        <v>93</v>
      </c>
      <c r="G365" s="1" t="s">
        <v>48</v>
      </c>
      <c r="H365" s="1">
        <v>794.97</v>
      </c>
      <c r="I365" s="1">
        <f>IF(Table1[[#This Row],[Claim_Amount]]&lt;0,0,Table1[[#This Row],[Claim_Amount]])</f>
        <v>794.97</v>
      </c>
      <c r="J365" s="1">
        <f>IF(Table1[[#This Row],[Column1]]=0,"",Table1[[#This Row],[Column1]])</f>
        <v>794.97</v>
      </c>
      <c r="K365" s="1">
        <v>794.97</v>
      </c>
      <c r="M365" s="1" t="s">
        <v>36</v>
      </c>
      <c r="N365" s="1" t="s">
        <v>18</v>
      </c>
      <c r="P365" s="1" t="s">
        <v>37</v>
      </c>
    </row>
    <row r="366" spans="1:16" ht="15.75" customHeight="1" x14ac:dyDescent="0.35">
      <c r="A366" s="1" t="s">
        <v>215</v>
      </c>
      <c r="D366" s="1" t="s">
        <v>405</v>
      </c>
      <c r="E366" s="1" t="s">
        <v>22</v>
      </c>
      <c r="F366" s="1" t="s">
        <v>47</v>
      </c>
      <c r="I366">
        <f>IF(Table1[[#This Row],[Claim_Amount]]&lt;0,0,Table1[[#This Row],[Claim_Amount]])</f>
        <v>0</v>
      </c>
      <c r="J366" t="str">
        <f>IF(Table1[[#This Row],[Column1]]=0,"",Table1[[#This Row],[Column1]])</f>
        <v/>
      </c>
      <c r="K366" t="s">
        <v>1098</v>
      </c>
      <c r="M366" s="1" t="s">
        <v>121</v>
      </c>
      <c r="N366" s="1" t="s">
        <v>57</v>
      </c>
    </row>
    <row r="367" spans="1:16" ht="15.75" customHeight="1" x14ac:dyDescent="0.35">
      <c r="A367" s="1" t="s">
        <v>20</v>
      </c>
      <c r="C367" s="1" t="s">
        <v>94</v>
      </c>
      <c r="D367" s="1" t="s">
        <v>599</v>
      </c>
      <c r="E367" s="1" t="s">
        <v>77</v>
      </c>
      <c r="F367" s="1" t="s">
        <v>31</v>
      </c>
      <c r="G367" s="1" t="s">
        <v>41</v>
      </c>
      <c r="I367">
        <f>IF(Table1[[#This Row],[Claim_Amount]]&lt;0,0,Table1[[#This Row],[Claim_Amount]])</f>
        <v>0</v>
      </c>
      <c r="J367" t="str">
        <f>IF(Table1[[#This Row],[Column1]]=0,"",Table1[[#This Row],[Column1]])</f>
        <v/>
      </c>
      <c r="K367" t="s">
        <v>1098</v>
      </c>
      <c r="M367" s="1" t="s">
        <v>17</v>
      </c>
      <c r="N367" s="1" t="s">
        <v>57</v>
      </c>
      <c r="O367" s="1">
        <v>59</v>
      </c>
    </row>
    <row r="368" spans="1:16" ht="15.75" customHeight="1" x14ac:dyDescent="0.35">
      <c r="A368" s="1" t="s">
        <v>261</v>
      </c>
      <c r="B368" s="1" t="s">
        <v>600</v>
      </c>
      <c r="C368" s="1" t="s">
        <v>271</v>
      </c>
      <c r="D368" s="1" t="s">
        <v>601</v>
      </c>
      <c r="E368" s="1" t="s">
        <v>92</v>
      </c>
      <c r="F368" s="1" t="s">
        <v>47</v>
      </c>
      <c r="G368" s="1" t="s">
        <v>24</v>
      </c>
      <c r="I368">
        <f>IF(Table1[[#This Row],[Claim_Amount]]&lt;0,0,Table1[[#This Row],[Claim_Amount]])</f>
        <v>0</v>
      </c>
      <c r="J368" t="str">
        <f>IF(Table1[[#This Row],[Column1]]=0,"",Table1[[#This Row],[Column1]])</f>
        <v/>
      </c>
      <c r="K368" t="s">
        <v>1098</v>
      </c>
      <c r="M368" s="1" t="s">
        <v>25</v>
      </c>
      <c r="N368" s="1" t="s">
        <v>32</v>
      </c>
      <c r="O368" s="1">
        <v>22</v>
      </c>
      <c r="P368" s="1" t="s">
        <v>27</v>
      </c>
    </row>
    <row r="369" spans="1:16" ht="15.75" customHeight="1" x14ac:dyDescent="0.35">
      <c r="A369" s="1" t="s">
        <v>215</v>
      </c>
      <c r="B369" s="1" t="s">
        <v>602</v>
      </c>
      <c r="D369" s="1" t="s">
        <v>603</v>
      </c>
      <c r="E369" s="1" t="s">
        <v>22</v>
      </c>
      <c r="F369" s="1" t="s">
        <v>93</v>
      </c>
      <c r="G369" s="1" t="s">
        <v>48</v>
      </c>
      <c r="H369" s="1">
        <v>4642.67</v>
      </c>
      <c r="I369" s="1">
        <f>IF(Table1[[#This Row],[Claim_Amount]]&lt;0,0,Table1[[#This Row],[Claim_Amount]])</f>
        <v>4642.67</v>
      </c>
      <c r="J369" s="1">
        <f>IF(Table1[[#This Row],[Column1]]=0,"",Table1[[#This Row],[Column1]])</f>
        <v>4642.67</v>
      </c>
      <c r="K369" s="1">
        <v>4642.67</v>
      </c>
      <c r="M369" s="1" t="s">
        <v>36</v>
      </c>
      <c r="N369" s="1" t="s">
        <v>32</v>
      </c>
      <c r="P369" s="1" t="s">
        <v>27</v>
      </c>
    </row>
    <row r="370" spans="1:16" ht="15.75" customHeight="1" x14ac:dyDescent="0.35">
      <c r="A370" s="1" t="s">
        <v>285</v>
      </c>
      <c r="C370" s="1" t="s">
        <v>158</v>
      </c>
      <c r="D370" s="1" t="s">
        <v>604</v>
      </c>
      <c r="E370" s="1" t="s">
        <v>16</v>
      </c>
      <c r="G370" s="1" t="s">
        <v>48</v>
      </c>
      <c r="H370" s="1">
        <v>4505.8599999999997</v>
      </c>
      <c r="I370" s="1">
        <f>IF(Table1[[#This Row],[Claim_Amount]]&lt;0,0,Table1[[#This Row],[Claim_Amount]])</f>
        <v>4505.8599999999997</v>
      </c>
      <c r="J370" s="1">
        <f>IF(Table1[[#This Row],[Column1]]=0,"",Table1[[#This Row],[Column1]])</f>
        <v>4505.8599999999997</v>
      </c>
      <c r="K370" s="1">
        <v>4505.8599999999997</v>
      </c>
      <c r="M370" s="1" t="s">
        <v>36</v>
      </c>
      <c r="N370" s="1" t="s">
        <v>18</v>
      </c>
      <c r="P370" s="1" t="s">
        <v>19</v>
      </c>
    </row>
    <row r="371" spans="1:16" ht="15.75" customHeight="1" x14ac:dyDescent="0.35">
      <c r="A371" s="1" t="s">
        <v>58</v>
      </c>
      <c r="C371" s="1" t="s">
        <v>336</v>
      </c>
      <c r="D371" s="1" t="s">
        <v>605</v>
      </c>
      <c r="E371" s="1" t="s">
        <v>85</v>
      </c>
      <c r="F371" s="1" t="s">
        <v>23</v>
      </c>
      <c r="G371" s="1" t="s">
        <v>61</v>
      </c>
      <c r="H371" s="1">
        <v>2715.14</v>
      </c>
      <c r="I371" s="1">
        <f>IF(Table1[[#This Row],[Claim_Amount]]&lt;0,0,Table1[[#This Row],[Claim_Amount]])</f>
        <v>2715.14</v>
      </c>
      <c r="J371" s="1">
        <f>IF(Table1[[#This Row],[Column1]]=0,"",Table1[[#This Row],[Column1]])</f>
        <v>2715.14</v>
      </c>
      <c r="K371" s="1">
        <v>2715.14</v>
      </c>
      <c r="M371" s="1" t="s">
        <v>17</v>
      </c>
      <c r="N371" s="1" t="s">
        <v>49</v>
      </c>
    </row>
    <row r="372" spans="1:16" ht="15.75" customHeight="1" x14ac:dyDescent="0.35">
      <c r="A372" s="1" t="s">
        <v>163</v>
      </c>
      <c r="D372" s="1" t="s">
        <v>606</v>
      </c>
      <c r="E372" s="1" t="s">
        <v>92</v>
      </c>
      <c r="F372" s="1" t="s">
        <v>23</v>
      </c>
      <c r="G372" s="1" t="s">
        <v>41</v>
      </c>
      <c r="H372" s="1">
        <v>-88</v>
      </c>
      <c r="I372" s="1">
        <f>IF(Table1[[#This Row],[Claim_Amount]]&lt;0,0,Table1[[#This Row],[Claim_Amount]])</f>
        <v>0</v>
      </c>
      <c r="J372" s="1" t="str">
        <f>IF(Table1[[#This Row],[Column1]]=0,"",Table1[[#This Row],[Column1]])</f>
        <v/>
      </c>
      <c r="K372" s="1" t="s">
        <v>1098</v>
      </c>
      <c r="L372" s="1">
        <v>4377.79</v>
      </c>
      <c r="M372" s="1" t="s">
        <v>17</v>
      </c>
      <c r="N372" s="1" t="s">
        <v>49</v>
      </c>
      <c r="P372" s="1" t="s">
        <v>37</v>
      </c>
    </row>
    <row r="373" spans="1:16" ht="15.75" customHeight="1" x14ac:dyDescent="0.35">
      <c r="A373" s="1" t="s">
        <v>261</v>
      </c>
      <c r="D373" s="1" t="s">
        <v>607</v>
      </c>
      <c r="E373" s="1" t="s">
        <v>85</v>
      </c>
      <c r="F373" s="1" t="s">
        <v>93</v>
      </c>
      <c r="G373" s="1" t="s">
        <v>41</v>
      </c>
      <c r="I373">
        <f>IF(Table1[[#This Row],[Claim_Amount]]&lt;0,0,Table1[[#This Row],[Claim_Amount]])</f>
        <v>0</v>
      </c>
      <c r="J373" t="str">
        <f>IF(Table1[[#This Row],[Column1]]=0,"",Table1[[#This Row],[Column1]])</f>
        <v/>
      </c>
      <c r="K373" t="s">
        <v>1098</v>
      </c>
      <c r="M373" s="1" t="s">
        <v>121</v>
      </c>
      <c r="N373" s="1" t="s">
        <v>26</v>
      </c>
      <c r="P373" s="1" t="s">
        <v>27</v>
      </c>
    </row>
    <row r="374" spans="1:16" ht="15.75" customHeight="1" x14ac:dyDescent="0.35">
      <c r="A374" s="1" t="s">
        <v>70</v>
      </c>
      <c r="C374" s="1" t="s">
        <v>503</v>
      </c>
      <c r="D374" s="1" t="s">
        <v>608</v>
      </c>
      <c r="E374" s="1" t="s">
        <v>30</v>
      </c>
      <c r="F374" s="1" t="s">
        <v>53</v>
      </c>
      <c r="G374" s="1" t="s">
        <v>61</v>
      </c>
      <c r="I374">
        <f>IF(Table1[[#This Row],[Claim_Amount]]&lt;0,0,Table1[[#This Row],[Claim_Amount]])</f>
        <v>0</v>
      </c>
      <c r="J374" t="str">
        <f>IF(Table1[[#This Row],[Column1]]=0,"",Table1[[#This Row],[Column1]])</f>
        <v/>
      </c>
      <c r="K374" t="s">
        <v>1098</v>
      </c>
      <c r="M374" s="1" t="s">
        <v>121</v>
      </c>
      <c r="N374" s="1" t="s">
        <v>18</v>
      </c>
      <c r="O374" s="1">
        <v>1</v>
      </c>
      <c r="P374" s="1" t="s">
        <v>65</v>
      </c>
    </row>
    <row r="375" spans="1:16" ht="15.75" customHeight="1" x14ac:dyDescent="0.35">
      <c r="A375" s="1" t="s">
        <v>247</v>
      </c>
      <c r="D375" s="1" t="s">
        <v>609</v>
      </c>
      <c r="E375" s="1" t="s">
        <v>77</v>
      </c>
      <c r="F375" s="1" t="s">
        <v>93</v>
      </c>
      <c r="G375" s="1" t="s">
        <v>48</v>
      </c>
      <c r="I375">
        <f>IF(Table1[[#This Row],[Claim_Amount]]&lt;0,0,Table1[[#This Row],[Claim_Amount]])</f>
        <v>0</v>
      </c>
      <c r="J375" t="str">
        <f>IF(Table1[[#This Row],[Column1]]=0,"",Table1[[#This Row],[Column1]])</f>
        <v/>
      </c>
      <c r="K375" t="s">
        <v>1098</v>
      </c>
      <c r="M375" s="1" t="s">
        <v>121</v>
      </c>
      <c r="N375" s="1" t="s">
        <v>26</v>
      </c>
      <c r="P375" s="1" t="s">
        <v>27</v>
      </c>
    </row>
    <row r="376" spans="1:16" ht="15.75" customHeight="1" x14ac:dyDescent="0.35">
      <c r="A376" s="1" t="s">
        <v>66</v>
      </c>
      <c r="D376" s="1" t="s">
        <v>393</v>
      </c>
      <c r="E376" s="1" t="s">
        <v>22</v>
      </c>
      <c r="F376" s="1" t="s">
        <v>23</v>
      </c>
      <c r="G376" s="1" t="s">
        <v>41</v>
      </c>
      <c r="H376" s="1">
        <v>2587</v>
      </c>
      <c r="I376" s="1">
        <f>IF(Table1[[#This Row],[Claim_Amount]]&lt;0,0,Table1[[#This Row],[Claim_Amount]])</f>
        <v>2587</v>
      </c>
      <c r="J376" s="1">
        <f>IF(Table1[[#This Row],[Column1]]=0,"",Table1[[#This Row],[Column1]])</f>
        <v>2587</v>
      </c>
      <c r="K376" s="1">
        <v>2587</v>
      </c>
      <c r="L376" s="1">
        <v>4234.1400000000003</v>
      </c>
      <c r="M376" s="1" t="s">
        <v>36</v>
      </c>
      <c r="N376" s="1" t="s">
        <v>26</v>
      </c>
      <c r="P376" s="1" t="s">
        <v>37</v>
      </c>
    </row>
    <row r="377" spans="1:16" ht="15.75" customHeight="1" x14ac:dyDescent="0.35">
      <c r="A377" s="1" t="s">
        <v>321</v>
      </c>
      <c r="C377" s="1" t="s">
        <v>491</v>
      </c>
      <c r="D377" s="1" t="s">
        <v>610</v>
      </c>
      <c r="E377" s="1" t="s">
        <v>92</v>
      </c>
      <c r="F377" s="1" t="s">
        <v>23</v>
      </c>
      <c r="G377" s="1" t="s">
        <v>41</v>
      </c>
      <c r="H377" s="1">
        <v>1493.74</v>
      </c>
      <c r="I377" s="1">
        <f>IF(Table1[[#This Row],[Claim_Amount]]&lt;0,0,Table1[[#This Row],[Claim_Amount]])</f>
        <v>1493.74</v>
      </c>
      <c r="J377" s="1">
        <f>IF(Table1[[#This Row],[Column1]]=0,"",Table1[[#This Row],[Column1]])</f>
        <v>1493.74</v>
      </c>
      <c r="K377" s="1">
        <v>1493.74</v>
      </c>
      <c r="M377" s="1" t="s">
        <v>17</v>
      </c>
      <c r="N377" s="1" t="s">
        <v>26</v>
      </c>
      <c r="O377" s="1">
        <v>38</v>
      </c>
    </row>
    <row r="378" spans="1:16" ht="15.75" customHeight="1" x14ac:dyDescent="0.35">
      <c r="A378" s="1" t="s">
        <v>58</v>
      </c>
      <c r="D378" s="1" t="s">
        <v>611</v>
      </c>
      <c r="E378" s="1" t="s">
        <v>16</v>
      </c>
      <c r="F378" s="1" t="s">
        <v>47</v>
      </c>
      <c r="G378" s="1" t="s">
        <v>54</v>
      </c>
      <c r="H378" s="1">
        <v>1790.57</v>
      </c>
      <c r="I378" s="1">
        <f>IF(Table1[[#This Row],[Claim_Amount]]&lt;0,0,Table1[[#This Row],[Claim_Amount]])</f>
        <v>1790.57</v>
      </c>
      <c r="J378" s="1">
        <f>IF(Table1[[#This Row],[Column1]]=0,"",Table1[[#This Row],[Column1]])</f>
        <v>1790.57</v>
      </c>
      <c r="K378" s="1">
        <v>1790.57</v>
      </c>
      <c r="M378" s="1" t="s">
        <v>42</v>
      </c>
      <c r="N378" s="1" t="s">
        <v>49</v>
      </c>
      <c r="P378" s="1" t="s">
        <v>65</v>
      </c>
    </row>
    <row r="379" spans="1:16" ht="15.75" customHeight="1" x14ac:dyDescent="0.35">
      <c r="A379" s="1" t="s">
        <v>108</v>
      </c>
      <c r="B379" s="1" t="s">
        <v>612</v>
      </c>
      <c r="C379" s="1" t="s">
        <v>613</v>
      </c>
      <c r="D379" s="1" t="s">
        <v>475</v>
      </c>
      <c r="E379" s="1" t="s">
        <v>22</v>
      </c>
      <c r="F379" s="1" t="s">
        <v>47</v>
      </c>
      <c r="G379" s="1" t="s">
        <v>54</v>
      </c>
      <c r="H379" s="1">
        <v>3577.11</v>
      </c>
      <c r="I379" s="1">
        <f>IF(Table1[[#This Row],[Claim_Amount]]&lt;0,0,Table1[[#This Row],[Claim_Amount]])</f>
        <v>3577.11</v>
      </c>
      <c r="J379" s="1">
        <f>IF(Table1[[#This Row],[Column1]]=0,"",Table1[[#This Row],[Column1]])</f>
        <v>3577.11</v>
      </c>
      <c r="K379" s="1">
        <v>3577.11</v>
      </c>
      <c r="L379" s="1">
        <v>2115.86</v>
      </c>
      <c r="M379" s="1" t="s">
        <v>25</v>
      </c>
      <c r="N379" s="1" t="s">
        <v>18</v>
      </c>
      <c r="O379" s="1">
        <v>59</v>
      </c>
      <c r="P379" s="1" t="s">
        <v>37</v>
      </c>
    </row>
    <row r="380" spans="1:16" ht="15.75" customHeight="1" x14ac:dyDescent="0.35">
      <c r="A380" s="1" t="s">
        <v>28</v>
      </c>
      <c r="C380" s="1" t="s">
        <v>356</v>
      </c>
      <c r="D380" s="1" t="s">
        <v>189</v>
      </c>
      <c r="E380" s="1" t="s">
        <v>85</v>
      </c>
      <c r="G380" s="1" t="s">
        <v>41</v>
      </c>
      <c r="I380">
        <f>IF(Table1[[#This Row],[Claim_Amount]]&lt;0,0,Table1[[#This Row],[Claim_Amount]])</f>
        <v>0</v>
      </c>
      <c r="J380" t="str">
        <f>IF(Table1[[#This Row],[Column1]]=0,"",Table1[[#This Row],[Column1]])</f>
        <v/>
      </c>
      <c r="K380" t="s">
        <v>1098</v>
      </c>
      <c r="M380" s="1" t="s">
        <v>17</v>
      </c>
      <c r="N380" s="1" t="s">
        <v>18</v>
      </c>
      <c r="O380" s="1">
        <v>19</v>
      </c>
      <c r="P380" s="1" t="s">
        <v>65</v>
      </c>
    </row>
    <row r="381" spans="1:16" ht="15.75" customHeight="1" x14ac:dyDescent="0.35">
      <c r="A381" s="1" t="s">
        <v>277</v>
      </c>
      <c r="C381" s="1" t="s">
        <v>614</v>
      </c>
      <c r="D381" s="1" t="s">
        <v>615</v>
      </c>
      <c r="E381" s="1" t="s">
        <v>16</v>
      </c>
      <c r="F381" s="1" t="s">
        <v>93</v>
      </c>
      <c r="G381" s="1" t="s">
        <v>61</v>
      </c>
      <c r="H381" s="1">
        <v>212.32</v>
      </c>
      <c r="I381" s="1">
        <f>IF(Table1[[#This Row],[Claim_Amount]]&lt;0,0,Table1[[#This Row],[Claim_Amount]])</f>
        <v>212.32</v>
      </c>
      <c r="J381" s="1">
        <f>IF(Table1[[#This Row],[Column1]]=0,"",Table1[[#This Row],[Column1]])</f>
        <v>212.32</v>
      </c>
      <c r="K381" s="1">
        <v>212.32</v>
      </c>
      <c r="M381" s="1" t="s">
        <v>25</v>
      </c>
      <c r="N381" s="1" t="s">
        <v>26</v>
      </c>
      <c r="P381" s="1" t="s">
        <v>19</v>
      </c>
    </row>
    <row r="382" spans="1:16" ht="15.75" customHeight="1" x14ac:dyDescent="0.35">
      <c r="A382" s="1" t="s">
        <v>231</v>
      </c>
      <c r="B382" s="1" t="s">
        <v>616</v>
      </c>
      <c r="C382" s="1" t="s">
        <v>161</v>
      </c>
      <c r="D382" s="1" t="s">
        <v>617</v>
      </c>
      <c r="E382" s="1" t="s">
        <v>92</v>
      </c>
      <c r="F382" s="1" t="s">
        <v>23</v>
      </c>
      <c r="G382" s="1" t="s">
        <v>61</v>
      </c>
      <c r="I382">
        <f>IF(Table1[[#This Row],[Claim_Amount]]&lt;0,0,Table1[[#This Row],[Claim_Amount]])</f>
        <v>0</v>
      </c>
      <c r="J382" t="str">
        <f>IF(Table1[[#This Row],[Column1]]=0,"",Table1[[#This Row],[Column1]])</f>
        <v/>
      </c>
      <c r="K382" t="s">
        <v>1098</v>
      </c>
      <c r="M382" s="1" t="s">
        <v>36</v>
      </c>
      <c r="N382" s="1" t="s">
        <v>18</v>
      </c>
      <c r="P382" s="1" t="s">
        <v>19</v>
      </c>
    </row>
    <row r="383" spans="1:16" ht="15.75" customHeight="1" x14ac:dyDescent="0.35">
      <c r="A383" s="1" t="s">
        <v>108</v>
      </c>
      <c r="B383" s="1" t="s">
        <v>618</v>
      </c>
      <c r="C383" s="1" t="s">
        <v>530</v>
      </c>
      <c r="D383" s="1" t="s">
        <v>619</v>
      </c>
      <c r="E383" s="1" t="s">
        <v>16</v>
      </c>
      <c r="G383" s="1" t="s">
        <v>61</v>
      </c>
      <c r="H383" s="1">
        <v>-139</v>
      </c>
      <c r="I383" s="1">
        <f>IF(Table1[[#This Row],[Claim_Amount]]&lt;0,0,Table1[[#This Row],[Claim_Amount]])</f>
        <v>0</v>
      </c>
      <c r="J383" s="1" t="str">
        <f>IF(Table1[[#This Row],[Column1]]=0,"",Table1[[#This Row],[Column1]])</f>
        <v/>
      </c>
      <c r="K383" s="1" t="s">
        <v>1098</v>
      </c>
      <c r="M383" s="1" t="s">
        <v>17</v>
      </c>
      <c r="N383" s="1" t="s">
        <v>49</v>
      </c>
      <c r="O383" s="1">
        <v>43</v>
      </c>
      <c r="P383" s="1" t="s">
        <v>65</v>
      </c>
    </row>
    <row r="384" spans="1:16" ht="15.75" customHeight="1" x14ac:dyDescent="0.35">
      <c r="A384" s="1" t="s">
        <v>28</v>
      </c>
      <c r="C384" s="1" t="s">
        <v>620</v>
      </c>
      <c r="D384" s="1" t="s">
        <v>621</v>
      </c>
      <c r="E384" s="1" t="s">
        <v>77</v>
      </c>
      <c r="F384" s="1" t="s">
        <v>23</v>
      </c>
      <c r="G384" s="1" t="s">
        <v>54</v>
      </c>
      <c r="I384">
        <f>IF(Table1[[#This Row],[Claim_Amount]]&lt;0,0,Table1[[#This Row],[Claim_Amount]])</f>
        <v>0</v>
      </c>
      <c r="J384" t="str">
        <f>IF(Table1[[#This Row],[Column1]]=0,"",Table1[[#This Row],[Column1]])</f>
        <v/>
      </c>
      <c r="K384" t="s">
        <v>1098</v>
      </c>
      <c r="L384" s="1">
        <v>2807.8</v>
      </c>
      <c r="M384" s="1" t="s">
        <v>25</v>
      </c>
      <c r="N384" s="1" t="s">
        <v>32</v>
      </c>
      <c r="O384" s="1">
        <v>31</v>
      </c>
      <c r="P384" s="1" t="s">
        <v>37</v>
      </c>
    </row>
    <row r="385" spans="1:16" ht="15.75" customHeight="1" x14ac:dyDescent="0.35">
      <c r="A385" s="1" t="s">
        <v>261</v>
      </c>
      <c r="D385" s="1" t="s">
        <v>622</v>
      </c>
      <c r="E385" s="1" t="s">
        <v>77</v>
      </c>
      <c r="F385" s="1" t="s">
        <v>31</v>
      </c>
      <c r="G385" s="1" t="s">
        <v>48</v>
      </c>
      <c r="H385" s="1">
        <v>-27</v>
      </c>
      <c r="I385" s="1">
        <f>IF(Table1[[#This Row],[Claim_Amount]]&lt;0,0,Table1[[#This Row],[Claim_Amount]])</f>
        <v>0</v>
      </c>
      <c r="J385" s="1" t="str">
        <f>IF(Table1[[#This Row],[Column1]]=0,"",Table1[[#This Row],[Column1]])</f>
        <v/>
      </c>
      <c r="K385" s="1" t="s">
        <v>1098</v>
      </c>
      <c r="M385" s="1" t="s">
        <v>17</v>
      </c>
      <c r="N385" s="1" t="s">
        <v>26</v>
      </c>
      <c r="P385" s="1" t="s">
        <v>19</v>
      </c>
    </row>
    <row r="386" spans="1:16" ht="15.75" customHeight="1" x14ac:dyDescent="0.35">
      <c r="A386" s="1" t="s">
        <v>78</v>
      </c>
      <c r="C386" s="1" t="s">
        <v>378</v>
      </c>
      <c r="D386" s="1" t="s">
        <v>623</v>
      </c>
      <c r="E386" s="1" t="s">
        <v>35</v>
      </c>
      <c r="F386" s="1" t="s">
        <v>47</v>
      </c>
      <c r="G386" s="1" t="s">
        <v>61</v>
      </c>
      <c r="H386" s="1">
        <v>3720.09</v>
      </c>
      <c r="I386" s="1">
        <f>IF(Table1[[#This Row],[Claim_Amount]]&lt;0,0,Table1[[#This Row],[Claim_Amount]])</f>
        <v>3720.09</v>
      </c>
      <c r="J386" s="1">
        <f>IF(Table1[[#This Row],[Column1]]=0,"",Table1[[#This Row],[Column1]])</f>
        <v>3720.09</v>
      </c>
      <c r="K386" s="1">
        <v>3720.09</v>
      </c>
      <c r="L386" s="1">
        <v>1850.36</v>
      </c>
      <c r="M386" s="1" t="s">
        <v>42</v>
      </c>
      <c r="N386" s="1" t="s">
        <v>18</v>
      </c>
      <c r="P386" s="1" t="s">
        <v>19</v>
      </c>
    </row>
    <row r="387" spans="1:16" ht="15.75" customHeight="1" x14ac:dyDescent="0.35">
      <c r="A387" s="1" t="s">
        <v>198</v>
      </c>
      <c r="D387" s="1" t="s">
        <v>624</v>
      </c>
      <c r="E387" s="1" t="s">
        <v>22</v>
      </c>
      <c r="G387" s="1" t="s">
        <v>48</v>
      </c>
      <c r="H387" s="1">
        <v>-180</v>
      </c>
      <c r="I387" s="1">
        <f>IF(Table1[[#This Row],[Claim_Amount]]&lt;0,0,Table1[[#This Row],[Claim_Amount]])</f>
        <v>0</v>
      </c>
      <c r="J387" s="1" t="str">
        <f>IF(Table1[[#This Row],[Column1]]=0,"",Table1[[#This Row],[Column1]])</f>
        <v/>
      </c>
      <c r="K387" s="1" t="s">
        <v>1098</v>
      </c>
      <c r="M387" s="1" t="s">
        <v>42</v>
      </c>
      <c r="N387" s="1" t="s">
        <v>18</v>
      </c>
      <c r="P387" s="1" t="s">
        <v>19</v>
      </c>
    </row>
    <row r="388" spans="1:16" ht="15.75" customHeight="1" x14ac:dyDescent="0.35">
      <c r="A388" s="1" t="s">
        <v>55</v>
      </c>
      <c r="C388" s="1" t="s">
        <v>625</v>
      </c>
      <c r="D388" s="1" t="s">
        <v>626</v>
      </c>
      <c r="E388" s="1" t="s">
        <v>35</v>
      </c>
      <c r="F388" s="1" t="s">
        <v>23</v>
      </c>
      <c r="G388" s="1" t="s">
        <v>61</v>
      </c>
      <c r="I388">
        <f>IF(Table1[[#This Row],[Claim_Amount]]&lt;0,0,Table1[[#This Row],[Claim_Amount]])</f>
        <v>0</v>
      </c>
      <c r="J388" t="str">
        <f>IF(Table1[[#This Row],[Column1]]=0,"",Table1[[#This Row],[Column1]])</f>
        <v/>
      </c>
      <c r="K388" t="s">
        <v>1098</v>
      </c>
      <c r="M388" s="1" t="s">
        <v>42</v>
      </c>
      <c r="N388" s="1" t="s">
        <v>18</v>
      </c>
    </row>
    <row r="389" spans="1:16" ht="15.75" customHeight="1" x14ac:dyDescent="0.35">
      <c r="A389" s="1" t="s">
        <v>108</v>
      </c>
      <c r="B389" s="1" t="s">
        <v>627</v>
      </c>
      <c r="D389" s="1" t="s">
        <v>628</v>
      </c>
      <c r="E389" s="1" t="s">
        <v>77</v>
      </c>
      <c r="F389" s="1" t="s">
        <v>53</v>
      </c>
      <c r="G389" s="1" t="s">
        <v>54</v>
      </c>
      <c r="H389" s="1">
        <v>1345.24</v>
      </c>
      <c r="I389" s="1">
        <f>IF(Table1[[#This Row],[Claim_Amount]]&lt;0,0,Table1[[#This Row],[Claim_Amount]])</f>
        <v>1345.24</v>
      </c>
      <c r="J389" s="1">
        <f>IF(Table1[[#This Row],[Column1]]=0,"",Table1[[#This Row],[Column1]])</f>
        <v>1345.24</v>
      </c>
      <c r="K389" s="1">
        <v>1345.24</v>
      </c>
      <c r="L389" s="1">
        <v>4765.2700000000004</v>
      </c>
      <c r="M389" s="1" t="s">
        <v>121</v>
      </c>
      <c r="N389" s="1" t="s">
        <v>26</v>
      </c>
      <c r="P389" s="1" t="s">
        <v>27</v>
      </c>
    </row>
    <row r="390" spans="1:16" ht="15.75" customHeight="1" x14ac:dyDescent="0.35">
      <c r="A390" s="1" t="s">
        <v>33</v>
      </c>
      <c r="C390" s="1" t="s">
        <v>469</v>
      </c>
      <c r="D390" s="1" t="s">
        <v>629</v>
      </c>
      <c r="E390" s="1" t="s">
        <v>35</v>
      </c>
      <c r="F390" s="1" t="s">
        <v>93</v>
      </c>
      <c r="G390" s="1" t="s">
        <v>48</v>
      </c>
      <c r="H390" s="1">
        <v>-89</v>
      </c>
      <c r="I390" s="1">
        <f>IF(Table1[[#This Row],[Claim_Amount]]&lt;0,0,Table1[[#This Row],[Claim_Amount]])</f>
        <v>0</v>
      </c>
      <c r="J390" s="1" t="str">
        <f>IF(Table1[[#This Row],[Column1]]=0,"",Table1[[#This Row],[Column1]])</f>
        <v/>
      </c>
      <c r="K390" s="1" t="s">
        <v>1098</v>
      </c>
      <c r="L390" s="1">
        <v>2462.9</v>
      </c>
      <c r="M390" s="1" t="s">
        <v>36</v>
      </c>
      <c r="N390" s="1" t="s">
        <v>49</v>
      </c>
    </row>
    <row r="391" spans="1:16" ht="15.75" customHeight="1" x14ac:dyDescent="0.35">
      <c r="A391" s="1" t="s">
        <v>209</v>
      </c>
      <c r="C391" s="1" t="s">
        <v>39</v>
      </c>
      <c r="D391" s="1" t="s">
        <v>630</v>
      </c>
      <c r="E391" s="1" t="s">
        <v>77</v>
      </c>
      <c r="F391" s="1" t="s">
        <v>47</v>
      </c>
      <c r="G391" s="1" t="s">
        <v>48</v>
      </c>
      <c r="I391">
        <f>IF(Table1[[#This Row],[Claim_Amount]]&lt;0,0,Table1[[#This Row],[Claim_Amount]])</f>
        <v>0</v>
      </c>
      <c r="J391" t="str">
        <f>IF(Table1[[#This Row],[Column1]]=0,"",Table1[[#This Row],[Column1]])</f>
        <v/>
      </c>
      <c r="K391" t="s">
        <v>1098</v>
      </c>
      <c r="L391" s="1">
        <v>1636.39</v>
      </c>
      <c r="M391" s="1" t="s">
        <v>36</v>
      </c>
      <c r="N391" s="1" t="s">
        <v>26</v>
      </c>
      <c r="P391" s="1" t="s">
        <v>27</v>
      </c>
    </row>
    <row r="392" spans="1:16" ht="15.75" customHeight="1" x14ac:dyDescent="0.35">
      <c r="A392" s="1" t="s">
        <v>148</v>
      </c>
      <c r="B392" s="1" t="s">
        <v>631</v>
      </c>
      <c r="D392" s="1" t="s">
        <v>264</v>
      </c>
      <c r="E392" s="1" t="s">
        <v>92</v>
      </c>
      <c r="F392" s="1" t="s">
        <v>53</v>
      </c>
      <c r="G392" s="1" t="s">
        <v>41</v>
      </c>
      <c r="I392">
        <f>IF(Table1[[#This Row],[Claim_Amount]]&lt;0,0,Table1[[#This Row],[Claim_Amount]])</f>
        <v>0</v>
      </c>
      <c r="J392" t="str">
        <f>IF(Table1[[#This Row],[Column1]]=0,"",Table1[[#This Row],[Column1]])</f>
        <v/>
      </c>
      <c r="K392" t="s">
        <v>1098</v>
      </c>
      <c r="M392" s="1" t="s">
        <v>36</v>
      </c>
      <c r="N392" s="1" t="s">
        <v>26</v>
      </c>
      <c r="P392" s="1" t="s">
        <v>19</v>
      </c>
    </row>
    <row r="393" spans="1:16" ht="15.75" customHeight="1" x14ac:dyDescent="0.35">
      <c r="A393" s="1" t="s">
        <v>192</v>
      </c>
      <c r="C393" s="1" t="s">
        <v>632</v>
      </c>
      <c r="D393" s="1" t="s">
        <v>633</v>
      </c>
      <c r="E393" s="1" t="s">
        <v>35</v>
      </c>
      <c r="F393" s="1" t="s">
        <v>53</v>
      </c>
      <c r="G393" s="1" t="s">
        <v>54</v>
      </c>
      <c r="I393">
        <f>IF(Table1[[#This Row],[Claim_Amount]]&lt;0,0,Table1[[#This Row],[Claim_Amount]])</f>
        <v>0</v>
      </c>
      <c r="J393" t="str">
        <f>IF(Table1[[#This Row],[Column1]]=0,"",Table1[[#This Row],[Column1]])</f>
        <v/>
      </c>
      <c r="K393" t="s">
        <v>1098</v>
      </c>
      <c r="M393" s="1" t="s">
        <v>36</v>
      </c>
      <c r="N393" s="1" t="s">
        <v>26</v>
      </c>
    </row>
    <row r="394" spans="1:16" ht="15.75" customHeight="1" x14ac:dyDescent="0.35">
      <c r="A394" s="1" t="s">
        <v>33</v>
      </c>
      <c r="D394" s="1" t="s">
        <v>144</v>
      </c>
      <c r="E394" s="1" t="s">
        <v>92</v>
      </c>
      <c r="F394" s="1" t="s">
        <v>53</v>
      </c>
      <c r="G394" s="1" t="s">
        <v>54</v>
      </c>
      <c r="I394">
        <f>IF(Table1[[#This Row],[Claim_Amount]]&lt;0,0,Table1[[#This Row],[Claim_Amount]])</f>
        <v>0</v>
      </c>
      <c r="J394" t="str">
        <f>IF(Table1[[#This Row],[Column1]]=0,"",Table1[[#This Row],[Column1]])</f>
        <v/>
      </c>
      <c r="K394" t="s">
        <v>1098</v>
      </c>
      <c r="M394" s="1" t="s">
        <v>42</v>
      </c>
      <c r="N394" s="1" t="s">
        <v>49</v>
      </c>
      <c r="P394" s="1" t="s">
        <v>19</v>
      </c>
    </row>
    <row r="395" spans="1:16" ht="15.75" customHeight="1" x14ac:dyDescent="0.35">
      <c r="A395" s="1" t="s">
        <v>73</v>
      </c>
      <c r="C395" s="1" t="s">
        <v>45</v>
      </c>
      <c r="D395" s="1" t="s">
        <v>388</v>
      </c>
      <c r="E395" s="1" t="s">
        <v>30</v>
      </c>
      <c r="G395" s="1" t="s">
        <v>61</v>
      </c>
      <c r="H395" s="1">
        <v>3602.65</v>
      </c>
      <c r="I395" s="1">
        <f>IF(Table1[[#This Row],[Claim_Amount]]&lt;0,0,Table1[[#This Row],[Claim_Amount]])</f>
        <v>3602.65</v>
      </c>
      <c r="J395" s="1">
        <f>IF(Table1[[#This Row],[Column1]]=0,"",Table1[[#This Row],[Column1]])</f>
        <v>3602.65</v>
      </c>
      <c r="K395" s="1">
        <v>3602.65</v>
      </c>
      <c r="M395" s="1" t="s">
        <v>25</v>
      </c>
      <c r="N395" s="1" t="s">
        <v>57</v>
      </c>
      <c r="P395" s="1" t="s">
        <v>37</v>
      </c>
    </row>
    <row r="396" spans="1:16" ht="15.75" customHeight="1" x14ac:dyDescent="0.35">
      <c r="A396" s="1" t="s">
        <v>62</v>
      </c>
      <c r="D396" s="1" t="s">
        <v>634</v>
      </c>
      <c r="E396" s="1" t="s">
        <v>30</v>
      </c>
      <c r="F396" s="1" t="s">
        <v>31</v>
      </c>
      <c r="G396" s="1" t="s">
        <v>24</v>
      </c>
      <c r="H396" s="1">
        <v>-74</v>
      </c>
      <c r="I396" s="1">
        <f>IF(Table1[[#This Row],[Claim_Amount]]&lt;0,0,Table1[[#This Row],[Claim_Amount]])</f>
        <v>0</v>
      </c>
      <c r="J396" s="1" t="str">
        <f>IF(Table1[[#This Row],[Column1]]=0,"",Table1[[#This Row],[Column1]])</f>
        <v/>
      </c>
      <c r="K396" s="1" t="s">
        <v>1098</v>
      </c>
      <c r="M396" s="1" t="s">
        <v>17</v>
      </c>
      <c r="N396" s="1" t="s">
        <v>26</v>
      </c>
    </row>
    <row r="397" spans="1:16" ht="15.75" customHeight="1" x14ac:dyDescent="0.35">
      <c r="A397" s="1" t="s">
        <v>102</v>
      </c>
      <c r="D397" s="1" t="s">
        <v>635</v>
      </c>
      <c r="E397" s="1" t="s">
        <v>22</v>
      </c>
      <c r="F397" s="1" t="s">
        <v>53</v>
      </c>
      <c r="G397" s="1" t="s">
        <v>54</v>
      </c>
      <c r="I397">
        <f>IF(Table1[[#This Row],[Claim_Amount]]&lt;0,0,Table1[[#This Row],[Claim_Amount]])</f>
        <v>0</v>
      </c>
      <c r="J397" t="str">
        <f>IF(Table1[[#This Row],[Column1]]=0,"",Table1[[#This Row],[Column1]])</f>
        <v/>
      </c>
      <c r="K397" t="s">
        <v>1098</v>
      </c>
      <c r="L397" s="1">
        <v>1853.16</v>
      </c>
      <c r="M397" s="1" t="s">
        <v>17</v>
      </c>
      <c r="N397" s="1" t="s">
        <v>18</v>
      </c>
      <c r="P397" s="1" t="s">
        <v>27</v>
      </c>
    </row>
    <row r="398" spans="1:16" ht="15.75" customHeight="1" x14ac:dyDescent="0.35">
      <c r="A398" s="1" t="s">
        <v>62</v>
      </c>
      <c r="C398" s="1" t="s">
        <v>636</v>
      </c>
      <c r="D398" s="1" t="s">
        <v>248</v>
      </c>
      <c r="E398" s="1" t="s">
        <v>85</v>
      </c>
      <c r="F398" s="1" t="s">
        <v>31</v>
      </c>
      <c r="I398">
        <f>IF(Table1[[#This Row],[Claim_Amount]]&lt;0,0,Table1[[#This Row],[Claim_Amount]])</f>
        <v>0</v>
      </c>
      <c r="J398" t="str">
        <f>IF(Table1[[#This Row],[Column1]]=0,"",Table1[[#This Row],[Column1]])</f>
        <v/>
      </c>
      <c r="K398" t="s">
        <v>1098</v>
      </c>
      <c r="L398" s="1">
        <v>612.11</v>
      </c>
      <c r="M398" s="1" t="s">
        <v>25</v>
      </c>
      <c r="N398" s="1" t="s">
        <v>18</v>
      </c>
      <c r="P398" s="1" t="s">
        <v>37</v>
      </c>
    </row>
    <row r="399" spans="1:16" ht="15.75" customHeight="1" x14ac:dyDescent="0.35">
      <c r="A399" s="1" t="s">
        <v>117</v>
      </c>
      <c r="C399" s="1" t="s">
        <v>75</v>
      </c>
      <c r="D399" s="1" t="s">
        <v>637</v>
      </c>
      <c r="E399" s="1" t="s">
        <v>16</v>
      </c>
      <c r="F399" s="1" t="s">
        <v>31</v>
      </c>
      <c r="G399" s="1" t="s">
        <v>41</v>
      </c>
      <c r="H399" s="1">
        <v>3310.42</v>
      </c>
      <c r="I399" s="1">
        <f>IF(Table1[[#This Row],[Claim_Amount]]&lt;0,0,Table1[[#This Row],[Claim_Amount]])</f>
        <v>3310.42</v>
      </c>
      <c r="J399" s="1">
        <f>IF(Table1[[#This Row],[Column1]]=0,"",Table1[[#This Row],[Column1]])</f>
        <v>3310.42</v>
      </c>
      <c r="K399" s="1">
        <v>3310.42</v>
      </c>
      <c r="M399" s="1" t="s">
        <v>25</v>
      </c>
      <c r="N399" s="1" t="s">
        <v>26</v>
      </c>
      <c r="O399" s="1">
        <v>55</v>
      </c>
      <c r="P399" s="1" t="s">
        <v>27</v>
      </c>
    </row>
    <row r="400" spans="1:16" ht="15.75" customHeight="1" x14ac:dyDescent="0.35">
      <c r="A400" s="1" t="s">
        <v>154</v>
      </c>
      <c r="B400" s="1" t="s">
        <v>638</v>
      </c>
      <c r="D400" s="1" t="s">
        <v>639</v>
      </c>
      <c r="E400" s="1" t="s">
        <v>22</v>
      </c>
      <c r="G400" s="1" t="s">
        <v>24</v>
      </c>
      <c r="H400" s="1">
        <v>1218.4000000000001</v>
      </c>
      <c r="I400" s="1">
        <f>IF(Table1[[#This Row],[Claim_Amount]]&lt;0,0,Table1[[#This Row],[Claim_Amount]])</f>
        <v>1218.4000000000001</v>
      </c>
      <c r="J400" s="1">
        <f>IF(Table1[[#This Row],[Column1]]=0,"",Table1[[#This Row],[Column1]])</f>
        <v>1218.4000000000001</v>
      </c>
      <c r="K400" s="1">
        <v>1218.4000000000001</v>
      </c>
      <c r="M400" s="1" t="s">
        <v>36</v>
      </c>
      <c r="N400" s="1" t="s">
        <v>32</v>
      </c>
      <c r="O400" s="1">
        <v>31</v>
      </c>
      <c r="P400" s="1" t="s">
        <v>65</v>
      </c>
    </row>
    <row r="401" spans="1:16" ht="15.75" customHeight="1" x14ac:dyDescent="0.35">
      <c r="A401" s="1" t="s">
        <v>154</v>
      </c>
      <c r="D401" s="1" t="s">
        <v>640</v>
      </c>
      <c r="E401" s="1" t="s">
        <v>16</v>
      </c>
      <c r="F401" s="1" t="s">
        <v>93</v>
      </c>
      <c r="G401" s="1" t="s">
        <v>24</v>
      </c>
      <c r="H401" s="1">
        <v>-122</v>
      </c>
      <c r="I401" s="1">
        <f>IF(Table1[[#This Row],[Claim_Amount]]&lt;0,0,Table1[[#This Row],[Claim_Amount]])</f>
        <v>0</v>
      </c>
      <c r="J401" s="1" t="str">
        <f>IF(Table1[[#This Row],[Column1]]=0,"",Table1[[#This Row],[Column1]])</f>
        <v/>
      </c>
      <c r="K401" s="1" t="s">
        <v>1098</v>
      </c>
      <c r="M401" s="1" t="s">
        <v>25</v>
      </c>
      <c r="N401" s="1" t="s">
        <v>49</v>
      </c>
      <c r="P401" s="1" t="s">
        <v>19</v>
      </c>
    </row>
    <row r="402" spans="1:16" ht="15.75" customHeight="1" x14ac:dyDescent="0.35">
      <c r="A402" s="1" t="s">
        <v>58</v>
      </c>
      <c r="C402" s="1" t="s">
        <v>458</v>
      </c>
      <c r="D402" s="1" t="s">
        <v>641</v>
      </c>
      <c r="E402" s="1" t="s">
        <v>35</v>
      </c>
      <c r="F402" s="1" t="s">
        <v>31</v>
      </c>
      <c r="G402" s="1" t="s">
        <v>41</v>
      </c>
      <c r="H402" s="1">
        <v>154.32</v>
      </c>
      <c r="I402" s="1">
        <f>IF(Table1[[#This Row],[Claim_Amount]]&lt;0,0,Table1[[#This Row],[Claim_Amount]])</f>
        <v>154.32</v>
      </c>
      <c r="J402" s="1">
        <f>IF(Table1[[#This Row],[Column1]]=0,"",Table1[[#This Row],[Column1]])</f>
        <v>154.32</v>
      </c>
      <c r="K402" s="1">
        <v>154.32</v>
      </c>
      <c r="M402" s="1" t="s">
        <v>25</v>
      </c>
      <c r="N402" s="1" t="s">
        <v>18</v>
      </c>
      <c r="P402" s="1" t="s">
        <v>37</v>
      </c>
    </row>
    <row r="403" spans="1:16" ht="15.75" customHeight="1" x14ac:dyDescent="0.35">
      <c r="A403" s="1" t="s">
        <v>192</v>
      </c>
      <c r="C403" s="1" t="s">
        <v>356</v>
      </c>
      <c r="D403" s="1" t="s">
        <v>549</v>
      </c>
      <c r="E403" s="1" t="s">
        <v>16</v>
      </c>
      <c r="F403" s="1" t="s">
        <v>53</v>
      </c>
      <c r="G403" s="1" t="s">
        <v>41</v>
      </c>
      <c r="I403">
        <f>IF(Table1[[#This Row],[Claim_Amount]]&lt;0,0,Table1[[#This Row],[Claim_Amount]])</f>
        <v>0</v>
      </c>
      <c r="J403" t="str">
        <f>IF(Table1[[#This Row],[Column1]]=0,"",Table1[[#This Row],[Column1]])</f>
        <v/>
      </c>
      <c r="K403" t="s">
        <v>1098</v>
      </c>
      <c r="L403" s="1">
        <v>1091.4100000000001</v>
      </c>
      <c r="M403" s="1" t="s">
        <v>121</v>
      </c>
      <c r="N403" s="1" t="s">
        <v>32</v>
      </c>
      <c r="P403" s="1" t="s">
        <v>37</v>
      </c>
    </row>
    <row r="404" spans="1:16" ht="15.75" customHeight="1" x14ac:dyDescent="0.35">
      <c r="A404" s="1" t="s">
        <v>179</v>
      </c>
      <c r="D404" s="1" t="s">
        <v>412</v>
      </c>
      <c r="E404" s="1" t="s">
        <v>77</v>
      </c>
      <c r="F404" s="1" t="s">
        <v>23</v>
      </c>
      <c r="G404" s="1" t="s">
        <v>24</v>
      </c>
      <c r="H404" s="1">
        <v>3507.49</v>
      </c>
      <c r="I404" s="1">
        <f>IF(Table1[[#This Row],[Claim_Amount]]&lt;0,0,Table1[[#This Row],[Claim_Amount]])</f>
        <v>3507.49</v>
      </c>
      <c r="J404" s="1">
        <f>IF(Table1[[#This Row],[Column1]]=0,"",Table1[[#This Row],[Column1]])</f>
        <v>3507.49</v>
      </c>
      <c r="K404" s="1">
        <v>3507.49</v>
      </c>
      <c r="M404" s="1" t="s">
        <v>36</v>
      </c>
      <c r="N404" s="1" t="s">
        <v>32</v>
      </c>
      <c r="P404" s="1" t="s">
        <v>19</v>
      </c>
    </row>
    <row r="405" spans="1:16" ht="15.75" customHeight="1" x14ac:dyDescent="0.35">
      <c r="A405" s="1" t="s">
        <v>231</v>
      </c>
      <c r="C405" s="1" t="s">
        <v>336</v>
      </c>
      <c r="D405" s="1" t="s">
        <v>565</v>
      </c>
      <c r="E405" s="1" t="s">
        <v>16</v>
      </c>
      <c r="F405" s="1" t="s">
        <v>53</v>
      </c>
      <c r="G405" s="1" t="s">
        <v>24</v>
      </c>
      <c r="H405" s="1">
        <v>3160.07</v>
      </c>
      <c r="I405" s="1">
        <f>IF(Table1[[#This Row],[Claim_Amount]]&lt;0,0,Table1[[#This Row],[Claim_Amount]])</f>
        <v>3160.07</v>
      </c>
      <c r="J405" s="1">
        <f>IF(Table1[[#This Row],[Column1]]=0,"",Table1[[#This Row],[Column1]])</f>
        <v>3160.07</v>
      </c>
      <c r="K405" s="1">
        <v>3160.07</v>
      </c>
      <c r="L405" s="1">
        <v>598.6</v>
      </c>
      <c r="M405" s="1" t="s">
        <v>36</v>
      </c>
      <c r="N405" s="1" t="s">
        <v>18</v>
      </c>
      <c r="P405" s="1" t="s">
        <v>37</v>
      </c>
    </row>
    <row r="406" spans="1:16" ht="15.75" customHeight="1" x14ac:dyDescent="0.35">
      <c r="A406" s="1" t="s">
        <v>179</v>
      </c>
      <c r="C406" s="1" t="s">
        <v>642</v>
      </c>
      <c r="D406" s="1" t="s">
        <v>643</v>
      </c>
      <c r="E406" s="1" t="s">
        <v>22</v>
      </c>
      <c r="F406" s="1" t="s">
        <v>31</v>
      </c>
      <c r="G406" s="1" t="s">
        <v>41</v>
      </c>
      <c r="I406">
        <f>IF(Table1[[#This Row],[Claim_Amount]]&lt;0,0,Table1[[#This Row],[Claim_Amount]])</f>
        <v>0</v>
      </c>
      <c r="J406" t="str">
        <f>IF(Table1[[#This Row],[Column1]]=0,"",Table1[[#This Row],[Column1]])</f>
        <v/>
      </c>
      <c r="K406" t="s">
        <v>1098</v>
      </c>
      <c r="M406" s="1" t="s">
        <v>36</v>
      </c>
      <c r="N406" s="1" t="s">
        <v>18</v>
      </c>
      <c r="O406" s="1">
        <v>1</v>
      </c>
    </row>
    <row r="407" spans="1:16" ht="15.75" customHeight="1" x14ac:dyDescent="0.35">
      <c r="A407" s="1" t="s">
        <v>43</v>
      </c>
      <c r="C407" s="1" t="s">
        <v>644</v>
      </c>
      <c r="D407" s="1" t="s">
        <v>457</v>
      </c>
      <c r="E407" s="1" t="s">
        <v>22</v>
      </c>
      <c r="F407" s="1" t="s">
        <v>93</v>
      </c>
      <c r="G407" s="1" t="s">
        <v>61</v>
      </c>
      <c r="I407">
        <f>IF(Table1[[#This Row],[Claim_Amount]]&lt;0,0,Table1[[#This Row],[Claim_Amount]])</f>
        <v>0</v>
      </c>
      <c r="J407" t="str">
        <f>IF(Table1[[#This Row],[Column1]]=0,"",Table1[[#This Row],[Column1]])</f>
        <v/>
      </c>
      <c r="K407" t="s">
        <v>1098</v>
      </c>
      <c r="M407" s="1" t="s">
        <v>17</v>
      </c>
      <c r="N407" s="1" t="s">
        <v>57</v>
      </c>
      <c r="O407" s="1">
        <v>7</v>
      </c>
    </row>
    <row r="408" spans="1:16" ht="15.75" customHeight="1" x14ac:dyDescent="0.35">
      <c r="A408" s="1" t="s">
        <v>62</v>
      </c>
      <c r="D408" s="1" t="s">
        <v>645</v>
      </c>
      <c r="E408" s="1" t="s">
        <v>85</v>
      </c>
      <c r="F408" s="1" t="s">
        <v>31</v>
      </c>
      <c r="G408" s="1" t="s">
        <v>41</v>
      </c>
      <c r="I408">
        <f>IF(Table1[[#This Row],[Claim_Amount]]&lt;0,0,Table1[[#This Row],[Claim_Amount]])</f>
        <v>0</v>
      </c>
      <c r="J408" t="str">
        <f>IF(Table1[[#This Row],[Column1]]=0,"",Table1[[#This Row],[Column1]])</f>
        <v/>
      </c>
      <c r="K408" t="s">
        <v>1098</v>
      </c>
      <c r="L408" s="1">
        <v>2184.98</v>
      </c>
      <c r="M408" s="1" t="s">
        <v>36</v>
      </c>
      <c r="N408" s="1" t="s">
        <v>18</v>
      </c>
      <c r="P408" s="1" t="s">
        <v>65</v>
      </c>
    </row>
    <row r="409" spans="1:16" ht="15.75" customHeight="1" x14ac:dyDescent="0.35">
      <c r="A409" s="1" t="s">
        <v>70</v>
      </c>
      <c r="C409" s="1" t="s">
        <v>119</v>
      </c>
      <c r="D409" s="1" t="s">
        <v>646</v>
      </c>
      <c r="E409" s="1" t="s">
        <v>77</v>
      </c>
      <c r="F409" s="1" t="s">
        <v>93</v>
      </c>
      <c r="G409" s="1" t="s">
        <v>41</v>
      </c>
      <c r="H409" s="1">
        <v>-175</v>
      </c>
      <c r="I409" s="1">
        <f>IF(Table1[[#This Row],[Claim_Amount]]&lt;0,0,Table1[[#This Row],[Claim_Amount]])</f>
        <v>0</v>
      </c>
      <c r="J409" s="1" t="str">
        <f>IF(Table1[[#This Row],[Column1]]=0,"",Table1[[#This Row],[Column1]])</f>
        <v/>
      </c>
      <c r="K409" s="1" t="s">
        <v>1098</v>
      </c>
      <c r="M409" s="1" t="s">
        <v>17</v>
      </c>
      <c r="N409" s="1" t="s">
        <v>32</v>
      </c>
      <c r="P409" s="1" t="s">
        <v>65</v>
      </c>
    </row>
    <row r="410" spans="1:16" ht="15.75" customHeight="1" x14ac:dyDescent="0.35">
      <c r="A410" s="1" t="s">
        <v>137</v>
      </c>
      <c r="D410" s="1" t="s">
        <v>256</v>
      </c>
      <c r="E410" s="1" t="s">
        <v>16</v>
      </c>
      <c r="F410" s="1" t="s">
        <v>31</v>
      </c>
      <c r="G410" s="1" t="s">
        <v>24</v>
      </c>
      <c r="H410" s="1">
        <v>2381.12</v>
      </c>
      <c r="I410" s="1">
        <f>IF(Table1[[#This Row],[Claim_Amount]]&lt;0,0,Table1[[#This Row],[Claim_Amount]])</f>
        <v>2381.12</v>
      </c>
      <c r="J410" s="1">
        <f>IF(Table1[[#This Row],[Column1]]=0,"",Table1[[#This Row],[Column1]])</f>
        <v>2381.12</v>
      </c>
      <c r="K410" s="1">
        <v>2381.12</v>
      </c>
      <c r="M410" s="1" t="s">
        <v>36</v>
      </c>
      <c r="N410" s="1" t="s">
        <v>49</v>
      </c>
      <c r="P410" s="1" t="s">
        <v>27</v>
      </c>
    </row>
    <row r="411" spans="1:16" ht="15.75" customHeight="1" x14ac:dyDescent="0.35">
      <c r="A411" s="1" t="s">
        <v>277</v>
      </c>
      <c r="B411" s="1" t="s">
        <v>647</v>
      </c>
      <c r="C411" s="1" t="s">
        <v>221</v>
      </c>
      <c r="D411" s="1" t="s">
        <v>648</v>
      </c>
      <c r="E411" s="1" t="s">
        <v>92</v>
      </c>
      <c r="F411" s="1" t="s">
        <v>53</v>
      </c>
      <c r="G411" s="1" t="s">
        <v>24</v>
      </c>
      <c r="H411" s="1">
        <v>-191</v>
      </c>
      <c r="I411" s="1">
        <f>IF(Table1[[#This Row],[Claim_Amount]]&lt;0,0,Table1[[#This Row],[Claim_Amount]])</f>
        <v>0</v>
      </c>
      <c r="J411" s="1" t="str">
        <f>IF(Table1[[#This Row],[Column1]]=0,"",Table1[[#This Row],[Column1]])</f>
        <v/>
      </c>
      <c r="K411" s="1" t="s">
        <v>1098</v>
      </c>
      <c r="L411" s="1">
        <v>751.89</v>
      </c>
      <c r="M411" s="1" t="s">
        <v>42</v>
      </c>
      <c r="N411" s="1" t="s">
        <v>26</v>
      </c>
      <c r="P411" s="1" t="s">
        <v>27</v>
      </c>
    </row>
    <row r="412" spans="1:16" ht="15.75" customHeight="1" x14ac:dyDescent="0.35">
      <c r="A412" s="1" t="s">
        <v>148</v>
      </c>
      <c r="D412" s="1" t="s">
        <v>81</v>
      </c>
      <c r="E412" s="1" t="s">
        <v>77</v>
      </c>
      <c r="F412" s="1" t="s">
        <v>93</v>
      </c>
      <c r="G412" s="1" t="s">
        <v>41</v>
      </c>
      <c r="I412">
        <f>IF(Table1[[#This Row],[Claim_Amount]]&lt;0,0,Table1[[#This Row],[Claim_Amount]])</f>
        <v>0</v>
      </c>
      <c r="J412" t="str">
        <f>IF(Table1[[#This Row],[Column1]]=0,"",Table1[[#This Row],[Column1]])</f>
        <v/>
      </c>
      <c r="K412" t="s">
        <v>1098</v>
      </c>
      <c r="M412" s="1" t="s">
        <v>121</v>
      </c>
      <c r="N412" s="1" t="s">
        <v>26</v>
      </c>
      <c r="O412" s="1">
        <v>12</v>
      </c>
      <c r="P412" s="1" t="s">
        <v>19</v>
      </c>
    </row>
    <row r="413" spans="1:16" ht="15.75" customHeight="1" x14ac:dyDescent="0.35">
      <c r="A413" s="1" t="s">
        <v>198</v>
      </c>
      <c r="B413" s="1" t="s">
        <v>600</v>
      </c>
      <c r="D413" s="1" t="s">
        <v>649</v>
      </c>
      <c r="E413" s="1" t="s">
        <v>16</v>
      </c>
      <c r="F413" s="1" t="s">
        <v>53</v>
      </c>
      <c r="G413" s="1" t="s">
        <v>61</v>
      </c>
      <c r="H413" s="1">
        <v>-191</v>
      </c>
      <c r="I413" s="1">
        <f>IF(Table1[[#This Row],[Claim_Amount]]&lt;0,0,Table1[[#This Row],[Claim_Amount]])</f>
        <v>0</v>
      </c>
      <c r="J413" s="1" t="str">
        <f>IF(Table1[[#This Row],[Column1]]=0,"",Table1[[#This Row],[Column1]])</f>
        <v/>
      </c>
      <c r="K413" s="1" t="s">
        <v>1098</v>
      </c>
      <c r="L413" s="1">
        <v>2315.91</v>
      </c>
      <c r="M413" s="1" t="s">
        <v>17</v>
      </c>
      <c r="N413" s="1" t="s">
        <v>26</v>
      </c>
      <c r="O413" s="1">
        <v>22</v>
      </c>
      <c r="P413" s="1" t="s">
        <v>65</v>
      </c>
    </row>
    <row r="414" spans="1:16" ht="15.75" customHeight="1" x14ac:dyDescent="0.35">
      <c r="A414" s="1" t="s">
        <v>261</v>
      </c>
      <c r="B414" s="1" t="s">
        <v>650</v>
      </c>
      <c r="D414" s="1" t="s">
        <v>651</v>
      </c>
      <c r="E414" s="1" t="s">
        <v>30</v>
      </c>
      <c r="F414" s="1" t="s">
        <v>23</v>
      </c>
      <c r="G414" s="1" t="s">
        <v>54</v>
      </c>
      <c r="H414" s="1">
        <v>-56</v>
      </c>
      <c r="I414" s="1">
        <f>IF(Table1[[#This Row],[Claim_Amount]]&lt;0,0,Table1[[#This Row],[Claim_Amount]])</f>
        <v>0</v>
      </c>
      <c r="J414" s="1" t="str">
        <f>IF(Table1[[#This Row],[Column1]]=0,"",Table1[[#This Row],[Column1]])</f>
        <v/>
      </c>
      <c r="K414" s="1" t="s">
        <v>1098</v>
      </c>
      <c r="L414" s="1">
        <v>4606.05</v>
      </c>
      <c r="M414" s="1" t="s">
        <v>121</v>
      </c>
      <c r="N414" s="1" t="s">
        <v>26</v>
      </c>
      <c r="P414" s="1" t="s">
        <v>19</v>
      </c>
    </row>
    <row r="415" spans="1:16" ht="15.75" customHeight="1" x14ac:dyDescent="0.35">
      <c r="A415" s="1" t="s">
        <v>261</v>
      </c>
      <c r="D415" s="1" t="s">
        <v>652</v>
      </c>
      <c r="E415" s="1" t="s">
        <v>85</v>
      </c>
      <c r="F415" s="1" t="s">
        <v>23</v>
      </c>
      <c r="G415" s="1" t="s">
        <v>61</v>
      </c>
      <c r="H415" s="1">
        <v>-191</v>
      </c>
      <c r="I415" s="1">
        <f>IF(Table1[[#This Row],[Claim_Amount]]&lt;0,0,Table1[[#This Row],[Claim_Amount]])</f>
        <v>0</v>
      </c>
      <c r="J415" s="1" t="str">
        <f>IF(Table1[[#This Row],[Column1]]=0,"",Table1[[#This Row],[Column1]])</f>
        <v/>
      </c>
      <c r="K415" s="1" t="s">
        <v>1098</v>
      </c>
      <c r="M415" s="1" t="s">
        <v>36</v>
      </c>
      <c r="N415" s="1" t="s">
        <v>26</v>
      </c>
      <c r="O415" s="1">
        <v>21</v>
      </c>
    </row>
    <row r="416" spans="1:16" ht="15.75" customHeight="1" x14ac:dyDescent="0.35">
      <c r="A416" s="1" t="s">
        <v>215</v>
      </c>
      <c r="C416" s="1" t="s">
        <v>183</v>
      </c>
      <c r="D416" s="1" t="s">
        <v>653</v>
      </c>
      <c r="E416" s="1" t="s">
        <v>92</v>
      </c>
      <c r="F416" s="1" t="s">
        <v>23</v>
      </c>
      <c r="H416" s="1">
        <v>-164</v>
      </c>
      <c r="I416" s="1">
        <f>IF(Table1[[#This Row],[Claim_Amount]]&lt;0,0,Table1[[#This Row],[Claim_Amount]])</f>
        <v>0</v>
      </c>
      <c r="J416" s="1" t="str">
        <f>IF(Table1[[#This Row],[Column1]]=0,"",Table1[[#This Row],[Column1]])</f>
        <v/>
      </c>
      <c r="K416" s="1" t="s">
        <v>1098</v>
      </c>
      <c r="M416" s="1" t="s">
        <v>17</v>
      </c>
      <c r="N416" s="1" t="s">
        <v>18</v>
      </c>
      <c r="P416" s="1" t="s">
        <v>19</v>
      </c>
    </row>
    <row r="417" spans="1:16" ht="15.75" customHeight="1" x14ac:dyDescent="0.35">
      <c r="A417" s="1" t="s">
        <v>105</v>
      </c>
      <c r="B417" s="1" t="s">
        <v>654</v>
      </c>
      <c r="D417" s="1" t="s">
        <v>454</v>
      </c>
      <c r="E417" s="1" t="s">
        <v>16</v>
      </c>
      <c r="F417" s="1" t="s">
        <v>31</v>
      </c>
      <c r="G417" s="1" t="s">
        <v>48</v>
      </c>
      <c r="I417">
        <f>IF(Table1[[#This Row],[Claim_Amount]]&lt;0,0,Table1[[#This Row],[Claim_Amount]])</f>
        <v>0</v>
      </c>
      <c r="J417" t="str">
        <f>IF(Table1[[#This Row],[Column1]]=0,"",Table1[[#This Row],[Column1]])</f>
        <v/>
      </c>
      <c r="K417" t="s">
        <v>1098</v>
      </c>
      <c r="M417" s="1" t="s">
        <v>17</v>
      </c>
      <c r="N417" s="1" t="s">
        <v>32</v>
      </c>
      <c r="O417" s="1">
        <v>42</v>
      </c>
      <c r="P417" s="1" t="s">
        <v>27</v>
      </c>
    </row>
    <row r="418" spans="1:16" ht="15.75" customHeight="1" x14ac:dyDescent="0.35">
      <c r="A418" s="1" t="s">
        <v>163</v>
      </c>
      <c r="D418" s="1" t="s">
        <v>655</v>
      </c>
      <c r="E418" s="1" t="s">
        <v>77</v>
      </c>
      <c r="F418" s="1" t="s">
        <v>23</v>
      </c>
      <c r="G418" s="1" t="s">
        <v>48</v>
      </c>
      <c r="I418">
        <f>IF(Table1[[#This Row],[Claim_Amount]]&lt;0,0,Table1[[#This Row],[Claim_Amount]])</f>
        <v>0</v>
      </c>
      <c r="J418" t="str">
        <f>IF(Table1[[#This Row],[Column1]]=0,"",Table1[[#This Row],[Column1]])</f>
        <v/>
      </c>
      <c r="K418" t="s">
        <v>1098</v>
      </c>
      <c r="M418" s="1" t="s">
        <v>25</v>
      </c>
      <c r="N418" s="1" t="s">
        <v>26</v>
      </c>
      <c r="P418" s="1" t="s">
        <v>37</v>
      </c>
    </row>
    <row r="419" spans="1:16" ht="15.75" customHeight="1" x14ac:dyDescent="0.35">
      <c r="A419" s="1" t="s">
        <v>275</v>
      </c>
      <c r="C419" s="1" t="s">
        <v>135</v>
      </c>
      <c r="D419" s="1" t="s">
        <v>656</v>
      </c>
      <c r="E419" s="1" t="s">
        <v>30</v>
      </c>
      <c r="F419" s="1" t="s">
        <v>23</v>
      </c>
      <c r="G419" s="1" t="s">
        <v>41</v>
      </c>
      <c r="H419" s="1">
        <v>-30</v>
      </c>
      <c r="I419" s="1">
        <f>IF(Table1[[#This Row],[Claim_Amount]]&lt;0,0,Table1[[#This Row],[Claim_Amount]])</f>
        <v>0</v>
      </c>
      <c r="J419" s="1" t="str">
        <f>IF(Table1[[#This Row],[Column1]]=0,"",Table1[[#This Row],[Column1]])</f>
        <v/>
      </c>
      <c r="K419" s="1" t="s">
        <v>1098</v>
      </c>
      <c r="L419" s="1">
        <v>1536.95</v>
      </c>
      <c r="M419" s="1" t="s">
        <v>42</v>
      </c>
      <c r="N419" s="1" t="s">
        <v>18</v>
      </c>
      <c r="P419" s="1" t="s">
        <v>27</v>
      </c>
    </row>
    <row r="420" spans="1:16" ht="15.75" customHeight="1" x14ac:dyDescent="0.35">
      <c r="A420" s="1" t="s">
        <v>209</v>
      </c>
      <c r="C420" s="1" t="s">
        <v>68</v>
      </c>
      <c r="D420" s="1" t="s">
        <v>657</v>
      </c>
      <c r="E420" s="1" t="s">
        <v>77</v>
      </c>
      <c r="F420" s="1" t="s">
        <v>23</v>
      </c>
      <c r="G420" s="1" t="s">
        <v>48</v>
      </c>
      <c r="I420">
        <f>IF(Table1[[#This Row],[Claim_Amount]]&lt;0,0,Table1[[#This Row],[Claim_Amount]])</f>
        <v>0</v>
      </c>
      <c r="J420" t="str">
        <f>IF(Table1[[#This Row],[Column1]]=0,"",Table1[[#This Row],[Column1]])</f>
        <v/>
      </c>
      <c r="K420" t="s">
        <v>1098</v>
      </c>
      <c r="M420" s="1" t="s">
        <v>25</v>
      </c>
      <c r="N420" s="1" t="s">
        <v>57</v>
      </c>
      <c r="O420" s="1">
        <v>1</v>
      </c>
      <c r="P420" s="1" t="s">
        <v>37</v>
      </c>
    </row>
    <row r="421" spans="1:16" ht="15.75" customHeight="1" x14ac:dyDescent="0.35">
      <c r="A421" s="1" t="s">
        <v>102</v>
      </c>
      <c r="C421" s="1" t="s">
        <v>238</v>
      </c>
      <c r="D421" s="1" t="s">
        <v>401</v>
      </c>
      <c r="E421" s="1" t="s">
        <v>30</v>
      </c>
      <c r="G421" s="1" t="s">
        <v>48</v>
      </c>
      <c r="I421">
        <f>IF(Table1[[#This Row],[Claim_Amount]]&lt;0,0,Table1[[#This Row],[Claim_Amount]])</f>
        <v>0</v>
      </c>
      <c r="J421" t="str">
        <f>IF(Table1[[#This Row],[Column1]]=0,"",Table1[[#This Row],[Column1]])</f>
        <v/>
      </c>
      <c r="K421" t="s">
        <v>1098</v>
      </c>
      <c r="L421" s="1">
        <v>1739.61</v>
      </c>
      <c r="M421" s="1" t="s">
        <v>17</v>
      </c>
      <c r="N421" s="1" t="s">
        <v>18</v>
      </c>
    </row>
    <row r="422" spans="1:16" ht="15.75" customHeight="1" x14ac:dyDescent="0.35">
      <c r="A422" s="1" t="s">
        <v>247</v>
      </c>
      <c r="B422" s="1" t="s">
        <v>658</v>
      </c>
      <c r="C422" s="1" t="s">
        <v>100</v>
      </c>
      <c r="D422" s="1" t="s">
        <v>659</v>
      </c>
      <c r="E422" s="1" t="s">
        <v>85</v>
      </c>
      <c r="G422" s="1" t="s">
        <v>48</v>
      </c>
      <c r="H422" s="1">
        <v>-113</v>
      </c>
      <c r="I422" s="1">
        <f>IF(Table1[[#This Row],[Claim_Amount]]&lt;0,0,Table1[[#This Row],[Claim_Amount]])</f>
        <v>0</v>
      </c>
      <c r="J422" s="1" t="str">
        <f>IF(Table1[[#This Row],[Column1]]=0,"",Table1[[#This Row],[Column1]])</f>
        <v/>
      </c>
      <c r="K422" s="1" t="s">
        <v>1098</v>
      </c>
      <c r="M422" s="1" t="s">
        <v>42</v>
      </c>
      <c r="N422" s="1" t="s">
        <v>49</v>
      </c>
      <c r="P422" s="1" t="s">
        <v>19</v>
      </c>
    </row>
    <row r="423" spans="1:16" ht="15.75" customHeight="1" x14ac:dyDescent="0.35">
      <c r="A423" s="1" t="s">
        <v>277</v>
      </c>
      <c r="B423" s="1" t="s">
        <v>382</v>
      </c>
      <c r="C423" s="1" t="s">
        <v>395</v>
      </c>
      <c r="D423" s="1" t="s">
        <v>660</v>
      </c>
      <c r="E423" s="1" t="s">
        <v>85</v>
      </c>
      <c r="F423" s="1" t="s">
        <v>53</v>
      </c>
      <c r="H423" s="1">
        <v>-71</v>
      </c>
      <c r="I423" s="1">
        <f>IF(Table1[[#This Row],[Claim_Amount]]&lt;0,0,Table1[[#This Row],[Claim_Amount]])</f>
        <v>0</v>
      </c>
      <c r="J423" s="1" t="str">
        <f>IF(Table1[[#This Row],[Column1]]=0,"",Table1[[#This Row],[Column1]])</f>
        <v/>
      </c>
      <c r="K423" s="1" t="s">
        <v>1098</v>
      </c>
      <c r="M423" s="1" t="s">
        <v>17</v>
      </c>
      <c r="N423" s="1" t="s">
        <v>26</v>
      </c>
      <c r="P423" s="1" t="s">
        <v>65</v>
      </c>
    </row>
    <row r="424" spans="1:16" ht="15.75" customHeight="1" x14ac:dyDescent="0.35">
      <c r="A424" s="1" t="s">
        <v>285</v>
      </c>
      <c r="B424" s="1" t="s">
        <v>661</v>
      </c>
      <c r="C424" s="1" t="s">
        <v>425</v>
      </c>
      <c r="D424" s="1" t="s">
        <v>662</v>
      </c>
      <c r="E424" s="1" t="s">
        <v>77</v>
      </c>
      <c r="F424" s="1" t="s">
        <v>23</v>
      </c>
      <c r="G424" s="1" t="s">
        <v>48</v>
      </c>
      <c r="I424">
        <f>IF(Table1[[#This Row],[Claim_Amount]]&lt;0,0,Table1[[#This Row],[Claim_Amount]])</f>
        <v>0</v>
      </c>
      <c r="J424" t="str">
        <f>IF(Table1[[#This Row],[Column1]]=0,"",Table1[[#This Row],[Column1]])</f>
        <v/>
      </c>
      <c r="K424" t="s">
        <v>1098</v>
      </c>
      <c r="M424" s="1" t="s">
        <v>25</v>
      </c>
      <c r="N424" s="1" t="s">
        <v>32</v>
      </c>
      <c r="O424" s="1">
        <v>0</v>
      </c>
      <c r="P424" s="1" t="s">
        <v>37</v>
      </c>
    </row>
    <row r="425" spans="1:16" ht="15.75" customHeight="1" x14ac:dyDescent="0.35">
      <c r="A425" s="1" t="s">
        <v>70</v>
      </c>
      <c r="D425" s="1" t="s">
        <v>383</v>
      </c>
      <c r="E425" s="1" t="s">
        <v>30</v>
      </c>
      <c r="F425" s="1" t="s">
        <v>47</v>
      </c>
      <c r="H425" s="1">
        <v>-183</v>
      </c>
      <c r="I425" s="1">
        <f>IF(Table1[[#This Row],[Claim_Amount]]&lt;0,0,Table1[[#This Row],[Claim_Amount]])</f>
        <v>0</v>
      </c>
      <c r="J425" s="1" t="str">
        <f>IF(Table1[[#This Row],[Column1]]=0,"",Table1[[#This Row],[Column1]])</f>
        <v/>
      </c>
      <c r="K425" s="1" t="s">
        <v>1098</v>
      </c>
      <c r="L425" s="1">
        <v>1197.93</v>
      </c>
      <c r="M425" s="1" t="s">
        <v>36</v>
      </c>
      <c r="N425" s="1" t="s">
        <v>26</v>
      </c>
      <c r="P425" s="1" t="s">
        <v>27</v>
      </c>
    </row>
    <row r="426" spans="1:16" ht="15.75" customHeight="1" x14ac:dyDescent="0.35">
      <c r="A426" s="1" t="s">
        <v>20</v>
      </c>
      <c r="D426" s="1" t="s">
        <v>663</v>
      </c>
      <c r="E426" s="1" t="s">
        <v>35</v>
      </c>
      <c r="F426" s="1" t="s">
        <v>31</v>
      </c>
      <c r="G426" s="1" t="s">
        <v>48</v>
      </c>
      <c r="I426">
        <f>IF(Table1[[#This Row],[Claim_Amount]]&lt;0,0,Table1[[#This Row],[Claim_Amount]])</f>
        <v>0</v>
      </c>
      <c r="J426" t="str">
        <f>IF(Table1[[#This Row],[Column1]]=0,"",Table1[[#This Row],[Column1]])</f>
        <v/>
      </c>
      <c r="K426" t="s">
        <v>1098</v>
      </c>
      <c r="L426" s="1">
        <v>1475.65</v>
      </c>
      <c r="M426" s="1" t="s">
        <v>121</v>
      </c>
      <c r="N426" s="1" t="s">
        <v>32</v>
      </c>
      <c r="O426" s="1">
        <v>28</v>
      </c>
    </row>
    <row r="427" spans="1:16" ht="15.75" customHeight="1" x14ac:dyDescent="0.35">
      <c r="A427" s="1" t="s">
        <v>198</v>
      </c>
      <c r="D427" s="1" t="s">
        <v>664</v>
      </c>
      <c r="E427" s="1" t="s">
        <v>77</v>
      </c>
      <c r="I427">
        <f>IF(Table1[[#This Row],[Claim_Amount]]&lt;0,0,Table1[[#This Row],[Claim_Amount]])</f>
        <v>0</v>
      </c>
      <c r="J427" t="str">
        <f>IF(Table1[[#This Row],[Column1]]=0,"",Table1[[#This Row],[Column1]])</f>
        <v/>
      </c>
      <c r="K427" t="s">
        <v>1098</v>
      </c>
      <c r="M427" s="1" t="s">
        <v>25</v>
      </c>
      <c r="N427" s="1" t="s">
        <v>49</v>
      </c>
      <c r="O427" s="1">
        <v>8</v>
      </c>
      <c r="P427" s="1" t="s">
        <v>65</v>
      </c>
    </row>
    <row r="428" spans="1:16" ht="15.75" customHeight="1" x14ac:dyDescent="0.35">
      <c r="A428" s="1" t="s">
        <v>132</v>
      </c>
      <c r="D428" s="1" t="s">
        <v>380</v>
      </c>
      <c r="E428" s="1" t="s">
        <v>30</v>
      </c>
      <c r="F428" s="1" t="s">
        <v>23</v>
      </c>
      <c r="G428" s="1" t="s">
        <v>61</v>
      </c>
      <c r="I428">
        <f>IF(Table1[[#This Row],[Claim_Amount]]&lt;0,0,Table1[[#This Row],[Claim_Amount]])</f>
        <v>0</v>
      </c>
      <c r="J428" t="str">
        <f>IF(Table1[[#This Row],[Column1]]=0,"",Table1[[#This Row],[Column1]])</f>
        <v/>
      </c>
      <c r="K428" t="s">
        <v>1098</v>
      </c>
      <c r="L428" s="1">
        <v>3400.79</v>
      </c>
      <c r="M428" s="1" t="s">
        <v>36</v>
      </c>
      <c r="N428" s="1" t="s">
        <v>26</v>
      </c>
      <c r="O428" s="1">
        <v>51</v>
      </c>
      <c r="P428" s="1" t="s">
        <v>27</v>
      </c>
    </row>
    <row r="429" spans="1:16" ht="15.75" customHeight="1" x14ac:dyDescent="0.35">
      <c r="A429" s="1" t="s">
        <v>62</v>
      </c>
      <c r="C429" s="1" t="s">
        <v>644</v>
      </c>
      <c r="D429" s="1" t="s">
        <v>665</v>
      </c>
      <c r="E429" s="1" t="s">
        <v>92</v>
      </c>
      <c r="F429" s="1" t="s">
        <v>31</v>
      </c>
      <c r="G429" s="1" t="s">
        <v>61</v>
      </c>
      <c r="I429">
        <f>IF(Table1[[#This Row],[Claim_Amount]]&lt;0,0,Table1[[#This Row],[Claim_Amount]])</f>
        <v>0</v>
      </c>
      <c r="J429" t="str">
        <f>IF(Table1[[#This Row],[Column1]]=0,"",Table1[[#This Row],[Column1]])</f>
        <v/>
      </c>
      <c r="K429" t="s">
        <v>1098</v>
      </c>
      <c r="M429" s="1" t="s">
        <v>36</v>
      </c>
      <c r="N429" s="1" t="s">
        <v>57</v>
      </c>
      <c r="O429" s="1">
        <v>42</v>
      </c>
      <c r="P429" s="1" t="s">
        <v>19</v>
      </c>
    </row>
    <row r="430" spans="1:16" ht="15.75" customHeight="1" x14ac:dyDescent="0.35">
      <c r="A430" s="1" t="s">
        <v>215</v>
      </c>
      <c r="B430" s="1" t="s">
        <v>44</v>
      </c>
      <c r="C430" s="1" t="s">
        <v>479</v>
      </c>
      <c r="D430" s="1" t="s">
        <v>595</v>
      </c>
      <c r="E430" s="1" t="s">
        <v>85</v>
      </c>
      <c r="G430" s="1" t="s">
        <v>61</v>
      </c>
      <c r="I430">
        <f>IF(Table1[[#This Row],[Claim_Amount]]&lt;0,0,Table1[[#This Row],[Claim_Amount]])</f>
        <v>0</v>
      </c>
      <c r="J430" t="str">
        <f>IF(Table1[[#This Row],[Column1]]=0,"",Table1[[#This Row],[Column1]])</f>
        <v/>
      </c>
      <c r="K430" t="s">
        <v>1098</v>
      </c>
      <c r="M430" s="1" t="s">
        <v>121</v>
      </c>
      <c r="N430" s="1" t="s">
        <v>57</v>
      </c>
      <c r="P430" s="1" t="s">
        <v>19</v>
      </c>
    </row>
    <row r="431" spans="1:16" ht="15.75" customHeight="1" x14ac:dyDescent="0.35">
      <c r="A431" s="1" t="s">
        <v>50</v>
      </c>
      <c r="C431" s="1" t="s">
        <v>666</v>
      </c>
      <c r="D431" s="1" t="s">
        <v>512</v>
      </c>
      <c r="E431" s="1" t="s">
        <v>22</v>
      </c>
      <c r="F431" s="1" t="s">
        <v>23</v>
      </c>
      <c r="G431" s="1" t="s">
        <v>24</v>
      </c>
      <c r="I431">
        <f>IF(Table1[[#This Row],[Claim_Amount]]&lt;0,0,Table1[[#This Row],[Claim_Amount]])</f>
        <v>0</v>
      </c>
      <c r="J431" t="str">
        <f>IF(Table1[[#This Row],[Column1]]=0,"",Table1[[#This Row],[Column1]])</f>
        <v/>
      </c>
      <c r="K431" t="s">
        <v>1098</v>
      </c>
      <c r="L431" s="1">
        <v>1469.45</v>
      </c>
      <c r="M431" s="1" t="s">
        <v>25</v>
      </c>
      <c r="N431" s="1" t="s">
        <v>32</v>
      </c>
      <c r="P431" s="1" t="s">
        <v>37</v>
      </c>
    </row>
    <row r="432" spans="1:16" ht="15.75" customHeight="1" x14ac:dyDescent="0.35">
      <c r="A432" s="1" t="s">
        <v>242</v>
      </c>
      <c r="C432" s="1" t="s">
        <v>455</v>
      </c>
      <c r="D432" s="1" t="s">
        <v>667</v>
      </c>
      <c r="E432" s="1" t="s">
        <v>22</v>
      </c>
      <c r="F432" s="1" t="s">
        <v>53</v>
      </c>
      <c r="G432" s="1" t="s">
        <v>48</v>
      </c>
      <c r="I432">
        <f>IF(Table1[[#This Row],[Claim_Amount]]&lt;0,0,Table1[[#This Row],[Claim_Amount]])</f>
        <v>0</v>
      </c>
      <c r="J432" t="str">
        <f>IF(Table1[[#This Row],[Column1]]=0,"",Table1[[#This Row],[Column1]])</f>
        <v/>
      </c>
      <c r="K432" t="s">
        <v>1098</v>
      </c>
      <c r="M432" s="1" t="s">
        <v>17</v>
      </c>
      <c r="N432" s="1" t="s">
        <v>26</v>
      </c>
      <c r="P432" s="1" t="s">
        <v>19</v>
      </c>
    </row>
    <row r="433" spans="1:16" ht="15.75" customHeight="1" x14ac:dyDescent="0.35">
      <c r="A433" s="1" t="s">
        <v>96</v>
      </c>
      <c r="C433" s="1" t="s">
        <v>442</v>
      </c>
      <c r="D433" s="1" t="s">
        <v>668</v>
      </c>
      <c r="E433" s="1" t="s">
        <v>35</v>
      </c>
      <c r="G433" s="1" t="s">
        <v>24</v>
      </c>
      <c r="I433">
        <f>IF(Table1[[#This Row],[Claim_Amount]]&lt;0,0,Table1[[#This Row],[Claim_Amount]])</f>
        <v>0</v>
      </c>
      <c r="J433" t="str">
        <f>IF(Table1[[#This Row],[Column1]]=0,"",Table1[[#This Row],[Column1]])</f>
        <v/>
      </c>
      <c r="K433" t="s">
        <v>1098</v>
      </c>
      <c r="M433" s="1" t="s">
        <v>36</v>
      </c>
      <c r="N433" s="1" t="s">
        <v>32</v>
      </c>
      <c r="P433" s="1" t="s">
        <v>27</v>
      </c>
    </row>
    <row r="434" spans="1:16" ht="15.75" customHeight="1" x14ac:dyDescent="0.35">
      <c r="A434" s="1" t="s">
        <v>28</v>
      </c>
      <c r="C434" s="1" t="s">
        <v>530</v>
      </c>
      <c r="D434" s="1" t="s">
        <v>669</v>
      </c>
      <c r="E434" s="1" t="s">
        <v>85</v>
      </c>
      <c r="F434" s="1" t="s">
        <v>47</v>
      </c>
      <c r="G434" s="1" t="s">
        <v>54</v>
      </c>
      <c r="H434" s="1">
        <v>-176</v>
      </c>
      <c r="I434" s="1">
        <f>IF(Table1[[#This Row],[Claim_Amount]]&lt;0,0,Table1[[#This Row],[Claim_Amount]])</f>
        <v>0</v>
      </c>
      <c r="J434" s="1" t="str">
        <f>IF(Table1[[#This Row],[Column1]]=0,"",Table1[[#This Row],[Column1]])</f>
        <v/>
      </c>
      <c r="K434" s="1" t="s">
        <v>1098</v>
      </c>
      <c r="M434" s="1" t="s">
        <v>121</v>
      </c>
      <c r="N434" s="1" t="s">
        <v>18</v>
      </c>
      <c r="P434" s="1" t="s">
        <v>19</v>
      </c>
    </row>
    <row r="435" spans="1:16" ht="15.75" customHeight="1" x14ac:dyDescent="0.35">
      <c r="A435" s="1" t="s">
        <v>166</v>
      </c>
      <c r="C435" s="1" t="s">
        <v>447</v>
      </c>
      <c r="D435" s="1" t="s">
        <v>670</v>
      </c>
      <c r="E435" s="1" t="s">
        <v>16</v>
      </c>
      <c r="F435" s="1" t="s">
        <v>47</v>
      </c>
      <c r="G435" s="1" t="s">
        <v>54</v>
      </c>
      <c r="I435">
        <f>IF(Table1[[#This Row],[Claim_Amount]]&lt;0,0,Table1[[#This Row],[Claim_Amount]])</f>
        <v>0</v>
      </c>
      <c r="J435" t="str">
        <f>IF(Table1[[#This Row],[Column1]]=0,"",Table1[[#This Row],[Column1]])</f>
        <v/>
      </c>
      <c r="K435" t="s">
        <v>1098</v>
      </c>
      <c r="M435" s="1" t="s">
        <v>36</v>
      </c>
      <c r="N435" s="1" t="s">
        <v>32</v>
      </c>
      <c r="P435" s="1" t="s">
        <v>37</v>
      </c>
    </row>
    <row r="436" spans="1:16" ht="15.75" customHeight="1" x14ac:dyDescent="0.35">
      <c r="A436" s="1" t="s">
        <v>163</v>
      </c>
      <c r="D436" s="1" t="s">
        <v>214</v>
      </c>
      <c r="E436" s="1" t="s">
        <v>16</v>
      </c>
      <c r="F436" s="1" t="s">
        <v>23</v>
      </c>
      <c r="I436">
        <f>IF(Table1[[#This Row],[Claim_Amount]]&lt;0,0,Table1[[#This Row],[Claim_Amount]])</f>
        <v>0</v>
      </c>
      <c r="J436" t="str">
        <f>IF(Table1[[#This Row],[Column1]]=0,"",Table1[[#This Row],[Column1]])</f>
        <v/>
      </c>
      <c r="K436" t="s">
        <v>1098</v>
      </c>
      <c r="L436" s="1">
        <v>2883.55</v>
      </c>
      <c r="M436" s="1" t="s">
        <v>121</v>
      </c>
      <c r="N436" s="1" t="s">
        <v>32</v>
      </c>
    </row>
    <row r="437" spans="1:16" ht="15.75" customHeight="1" x14ac:dyDescent="0.35">
      <c r="A437" s="1" t="s">
        <v>209</v>
      </c>
      <c r="C437" s="1" t="s">
        <v>158</v>
      </c>
      <c r="D437" s="1" t="s">
        <v>478</v>
      </c>
      <c r="E437" s="1" t="s">
        <v>22</v>
      </c>
      <c r="G437" s="1" t="s">
        <v>54</v>
      </c>
      <c r="H437" s="1">
        <v>-192</v>
      </c>
      <c r="I437" s="1">
        <f>IF(Table1[[#This Row],[Claim_Amount]]&lt;0,0,Table1[[#This Row],[Claim_Amount]])</f>
        <v>0</v>
      </c>
      <c r="J437" s="1" t="str">
        <f>IF(Table1[[#This Row],[Column1]]=0,"",Table1[[#This Row],[Column1]])</f>
        <v/>
      </c>
      <c r="K437" s="1" t="s">
        <v>1098</v>
      </c>
      <c r="L437" s="1">
        <v>2622.35</v>
      </c>
      <c r="M437" s="1" t="s">
        <v>25</v>
      </c>
      <c r="N437" s="1" t="s">
        <v>32</v>
      </c>
      <c r="P437" s="1" t="s">
        <v>65</v>
      </c>
    </row>
    <row r="438" spans="1:16" ht="15.75" customHeight="1" x14ac:dyDescent="0.35">
      <c r="A438" s="1" t="s">
        <v>202</v>
      </c>
      <c r="C438" s="1" t="s">
        <v>574</v>
      </c>
      <c r="D438" s="1" t="s">
        <v>671</v>
      </c>
      <c r="E438" s="1" t="s">
        <v>16</v>
      </c>
      <c r="F438" s="1" t="s">
        <v>23</v>
      </c>
      <c r="G438" s="1" t="s">
        <v>48</v>
      </c>
      <c r="I438">
        <f>IF(Table1[[#This Row],[Claim_Amount]]&lt;0,0,Table1[[#This Row],[Claim_Amount]])</f>
        <v>0</v>
      </c>
      <c r="J438" t="str">
        <f>IF(Table1[[#This Row],[Column1]]=0,"",Table1[[#This Row],[Column1]])</f>
        <v/>
      </c>
      <c r="K438" t="s">
        <v>1098</v>
      </c>
      <c r="M438" s="1" t="s">
        <v>36</v>
      </c>
      <c r="N438" s="1" t="s">
        <v>49</v>
      </c>
    </row>
    <row r="439" spans="1:16" ht="15.75" customHeight="1" x14ac:dyDescent="0.35">
      <c r="A439" s="1" t="s">
        <v>202</v>
      </c>
      <c r="D439" s="1" t="s">
        <v>672</v>
      </c>
      <c r="E439" s="1" t="s">
        <v>77</v>
      </c>
      <c r="G439" s="1" t="s">
        <v>48</v>
      </c>
      <c r="I439">
        <f>IF(Table1[[#This Row],[Claim_Amount]]&lt;0,0,Table1[[#This Row],[Claim_Amount]])</f>
        <v>0</v>
      </c>
      <c r="J439" t="str">
        <f>IF(Table1[[#This Row],[Column1]]=0,"",Table1[[#This Row],[Column1]])</f>
        <v/>
      </c>
      <c r="K439" t="s">
        <v>1098</v>
      </c>
      <c r="M439" s="1" t="s">
        <v>17</v>
      </c>
      <c r="N439" s="1" t="s">
        <v>57</v>
      </c>
      <c r="P439" s="1" t="s">
        <v>19</v>
      </c>
    </row>
    <row r="440" spans="1:16" ht="15.75" customHeight="1" x14ac:dyDescent="0.35">
      <c r="A440" s="1" t="s">
        <v>321</v>
      </c>
      <c r="C440" s="1" t="s">
        <v>458</v>
      </c>
      <c r="D440" s="1" t="s">
        <v>673</v>
      </c>
      <c r="E440" s="1" t="s">
        <v>30</v>
      </c>
      <c r="F440" s="1" t="s">
        <v>53</v>
      </c>
      <c r="G440" s="1" t="s">
        <v>61</v>
      </c>
      <c r="I440">
        <f>IF(Table1[[#This Row],[Claim_Amount]]&lt;0,0,Table1[[#This Row],[Claim_Amount]])</f>
        <v>0</v>
      </c>
      <c r="J440" t="str">
        <f>IF(Table1[[#This Row],[Column1]]=0,"",Table1[[#This Row],[Column1]])</f>
        <v/>
      </c>
      <c r="K440" t="s">
        <v>1098</v>
      </c>
      <c r="L440" s="1">
        <v>249.4</v>
      </c>
      <c r="M440" s="1" t="s">
        <v>25</v>
      </c>
      <c r="N440" s="1" t="s">
        <v>32</v>
      </c>
      <c r="P440" s="1" t="s">
        <v>27</v>
      </c>
    </row>
    <row r="441" spans="1:16" ht="15.75" customHeight="1" x14ac:dyDescent="0.35">
      <c r="A441" s="1" t="s">
        <v>261</v>
      </c>
      <c r="B441" s="1" t="s">
        <v>674</v>
      </c>
      <c r="C441" s="1" t="s">
        <v>119</v>
      </c>
      <c r="D441" s="1" t="s">
        <v>675</v>
      </c>
      <c r="E441" s="1" t="s">
        <v>92</v>
      </c>
      <c r="F441" s="1" t="s">
        <v>93</v>
      </c>
      <c r="G441" s="1" t="s">
        <v>24</v>
      </c>
      <c r="H441" s="1">
        <v>4104.67</v>
      </c>
      <c r="I441" s="1">
        <f>IF(Table1[[#This Row],[Claim_Amount]]&lt;0,0,Table1[[#This Row],[Claim_Amount]])</f>
        <v>4104.67</v>
      </c>
      <c r="J441" s="1">
        <f>IF(Table1[[#This Row],[Column1]]=0,"",Table1[[#This Row],[Column1]])</f>
        <v>4104.67</v>
      </c>
      <c r="K441" s="1">
        <v>4104.67</v>
      </c>
      <c r="M441" s="1" t="s">
        <v>25</v>
      </c>
      <c r="N441" s="1" t="s">
        <v>26</v>
      </c>
    </row>
    <row r="442" spans="1:16" ht="15.75" customHeight="1" x14ac:dyDescent="0.35">
      <c r="A442" s="1" t="s">
        <v>192</v>
      </c>
      <c r="D442" s="1" t="s">
        <v>676</v>
      </c>
      <c r="E442" s="1" t="s">
        <v>30</v>
      </c>
      <c r="G442" s="1" t="s">
        <v>48</v>
      </c>
      <c r="H442" s="1">
        <v>-180</v>
      </c>
      <c r="I442" s="1">
        <f>IF(Table1[[#This Row],[Claim_Amount]]&lt;0,0,Table1[[#This Row],[Claim_Amount]])</f>
        <v>0</v>
      </c>
      <c r="J442" s="1" t="str">
        <f>IF(Table1[[#This Row],[Column1]]=0,"",Table1[[#This Row],[Column1]])</f>
        <v/>
      </c>
      <c r="K442" s="1" t="s">
        <v>1098</v>
      </c>
      <c r="M442" s="1" t="s">
        <v>42</v>
      </c>
      <c r="N442" s="1" t="s">
        <v>26</v>
      </c>
    </row>
    <row r="443" spans="1:16" ht="15.75" customHeight="1" x14ac:dyDescent="0.35">
      <c r="A443" s="1" t="s">
        <v>70</v>
      </c>
      <c r="B443" s="1" t="s">
        <v>677</v>
      </c>
      <c r="D443" s="1" t="s">
        <v>678</v>
      </c>
      <c r="E443" s="1" t="s">
        <v>35</v>
      </c>
      <c r="F443" s="1" t="s">
        <v>31</v>
      </c>
      <c r="H443" s="1">
        <v>488.22</v>
      </c>
      <c r="I443" s="1">
        <f>IF(Table1[[#This Row],[Claim_Amount]]&lt;0,0,Table1[[#This Row],[Claim_Amount]])</f>
        <v>488.22</v>
      </c>
      <c r="J443" s="1">
        <f>IF(Table1[[#This Row],[Column1]]=0,"",Table1[[#This Row],[Column1]])</f>
        <v>488.22</v>
      </c>
      <c r="K443" s="1">
        <v>488.22</v>
      </c>
      <c r="M443" s="1" t="s">
        <v>42</v>
      </c>
      <c r="N443" s="1" t="s">
        <v>57</v>
      </c>
      <c r="O443" s="1">
        <v>41</v>
      </c>
    </row>
    <row r="444" spans="1:16" ht="15.75" customHeight="1" x14ac:dyDescent="0.35">
      <c r="A444" s="1" t="s">
        <v>96</v>
      </c>
      <c r="C444" s="1" t="s">
        <v>174</v>
      </c>
      <c r="D444" s="1" t="s">
        <v>679</v>
      </c>
      <c r="E444" s="1" t="s">
        <v>30</v>
      </c>
      <c r="F444" s="1" t="s">
        <v>23</v>
      </c>
      <c r="G444" s="1" t="s">
        <v>61</v>
      </c>
      <c r="I444">
        <f>IF(Table1[[#This Row],[Claim_Amount]]&lt;0,0,Table1[[#This Row],[Claim_Amount]])</f>
        <v>0</v>
      </c>
      <c r="J444" t="str">
        <f>IF(Table1[[#This Row],[Column1]]=0,"",Table1[[#This Row],[Column1]])</f>
        <v/>
      </c>
      <c r="K444" t="s">
        <v>1098</v>
      </c>
      <c r="M444" s="1" t="s">
        <v>17</v>
      </c>
      <c r="N444" s="1" t="s">
        <v>18</v>
      </c>
    </row>
    <row r="445" spans="1:16" ht="15.75" customHeight="1" x14ac:dyDescent="0.35">
      <c r="A445" s="1" t="s">
        <v>215</v>
      </c>
      <c r="D445" s="1" t="s">
        <v>680</v>
      </c>
      <c r="E445" s="1" t="s">
        <v>22</v>
      </c>
      <c r="F445" s="1" t="s">
        <v>23</v>
      </c>
      <c r="G445" s="1" t="s">
        <v>41</v>
      </c>
      <c r="H445" s="1">
        <v>2213.2399999999998</v>
      </c>
      <c r="I445" s="1">
        <f>IF(Table1[[#This Row],[Claim_Amount]]&lt;0,0,Table1[[#This Row],[Claim_Amount]])</f>
        <v>2213.2399999999998</v>
      </c>
      <c r="J445" s="1">
        <f>IF(Table1[[#This Row],[Column1]]=0,"",Table1[[#This Row],[Column1]])</f>
        <v>2213.2399999999998</v>
      </c>
      <c r="K445" s="1">
        <v>2213.2399999999998</v>
      </c>
      <c r="M445" s="1" t="s">
        <v>121</v>
      </c>
      <c r="N445" s="1" t="s">
        <v>32</v>
      </c>
      <c r="O445" s="1">
        <v>5</v>
      </c>
      <c r="P445" s="1" t="s">
        <v>19</v>
      </c>
    </row>
    <row r="446" spans="1:16" ht="15.75" customHeight="1" x14ac:dyDescent="0.35">
      <c r="A446" s="1" t="s">
        <v>73</v>
      </c>
      <c r="C446" s="1" t="s">
        <v>119</v>
      </c>
      <c r="D446" s="1" t="s">
        <v>681</v>
      </c>
      <c r="E446" s="1" t="s">
        <v>77</v>
      </c>
      <c r="G446" s="1" t="s">
        <v>24</v>
      </c>
      <c r="I446">
        <f>IF(Table1[[#This Row],[Claim_Amount]]&lt;0,0,Table1[[#This Row],[Claim_Amount]])</f>
        <v>0</v>
      </c>
      <c r="J446" t="str">
        <f>IF(Table1[[#This Row],[Column1]]=0,"",Table1[[#This Row],[Column1]])</f>
        <v/>
      </c>
      <c r="K446" t="s">
        <v>1098</v>
      </c>
      <c r="L446" s="1">
        <v>184.5</v>
      </c>
      <c r="M446" s="1" t="s">
        <v>42</v>
      </c>
      <c r="N446" s="1" t="s">
        <v>49</v>
      </c>
      <c r="P446" s="1" t="s">
        <v>65</v>
      </c>
    </row>
    <row r="447" spans="1:16" ht="15.75" customHeight="1" x14ac:dyDescent="0.35">
      <c r="A447" s="1" t="s">
        <v>70</v>
      </c>
      <c r="C447" s="1" t="s">
        <v>80</v>
      </c>
      <c r="D447" s="1" t="s">
        <v>682</v>
      </c>
      <c r="E447" s="1" t="s">
        <v>30</v>
      </c>
      <c r="F447" s="1" t="s">
        <v>93</v>
      </c>
      <c r="G447" s="1" t="s">
        <v>48</v>
      </c>
      <c r="H447" s="1">
        <v>-139</v>
      </c>
      <c r="I447" s="1">
        <f>IF(Table1[[#This Row],[Claim_Amount]]&lt;0,0,Table1[[#This Row],[Claim_Amount]])</f>
        <v>0</v>
      </c>
      <c r="J447" s="1" t="str">
        <f>IF(Table1[[#This Row],[Column1]]=0,"",Table1[[#This Row],[Column1]])</f>
        <v/>
      </c>
      <c r="K447" s="1" t="s">
        <v>1098</v>
      </c>
      <c r="M447" s="1" t="s">
        <v>25</v>
      </c>
      <c r="N447" s="1" t="s">
        <v>32</v>
      </c>
      <c r="P447" s="1" t="s">
        <v>37</v>
      </c>
    </row>
    <row r="448" spans="1:16" ht="15.75" customHeight="1" x14ac:dyDescent="0.35">
      <c r="A448" s="1" t="s">
        <v>430</v>
      </c>
      <c r="B448" s="1" t="s">
        <v>273</v>
      </c>
      <c r="C448" s="1" t="s">
        <v>305</v>
      </c>
      <c r="D448" s="1" t="s">
        <v>683</v>
      </c>
      <c r="E448" s="1" t="s">
        <v>35</v>
      </c>
      <c r="F448" s="1" t="s">
        <v>23</v>
      </c>
      <c r="G448" s="1" t="s">
        <v>24</v>
      </c>
      <c r="I448">
        <f>IF(Table1[[#This Row],[Claim_Amount]]&lt;0,0,Table1[[#This Row],[Claim_Amount]])</f>
        <v>0</v>
      </c>
      <c r="J448" t="str">
        <f>IF(Table1[[#This Row],[Column1]]=0,"",Table1[[#This Row],[Column1]])</f>
        <v/>
      </c>
      <c r="K448" t="s">
        <v>1098</v>
      </c>
      <c r="M448" s="1" t="s">
        <v>121</v>
      </c>
      <c r="N448" s="1" t="s">
        <v>26</v>
      </c>
    </row>
    <row r="449" spans="1:16" ht="15.75" customHeight="1" x14ac:dyDescent="0.35">
      <c r="A449" s="1" t="s">
        <v>187</v>
      </c>
      <c r="C449" s="1" t="s">
        <v>174</v>
      </c>
      <c r="D449" s="1" t="s">
        <v>684</v>
      </c>
      <c r="E449" s="1" t="s">
        <v>77</v>
      </c>
      <c r="F449" s="1" t="s">
        <v>23</v>
      </c>
      <c r="G449" s="1" t="s">
        <v>61</v>
      </c>
      <c r="I449">
        <f>IF(Table1[[#This Row],[Claim_Amount]]&lt;0,0,Table1[[#This Row],[Claim_Amount]])</f>
        <v>0</v>
      </c>
      <c r="J449" t="str">
        <f>IF(Table1[[#This Row],[Column1]]=0,"",Table1[[#This Row],[Column1]])</f>
        <v/>
      </c>
      <c r="K449" t="s">
        <v>1098</v>
      </c>
      <c r="L449" s="1">
        <v>3282.64</v>
      </c>
      <c r="M449" s="1" t="s">
        <v>25</v>
      </c>
      <c r="N449" s="1" t="s">
        <v>26</v>
      </c>
      <c r="P449" s="1" t="s">
        <v>27</v>
      </c>
    </row>
    <row r="450" spans="1:16" ht="15.75" customHeight="1" x14ac:dyDescent="0.35">
      <c r="A450" s="1" t="s">
        <v>154</v>
      </c>
      <c r="D450" s="1" t="s">
        <v>685</v>
      </c>
      <c r="E450" s="1" t="s">
        <v>92</v>
      </c>
      <c r="F450" s="1" t="s">
        <v>23</v>
      </c>
      <c r="G450" s="1" t="s">
        <v>24</v>
      </c>
      <c r="H450" s="1">
        <v>3708.96</v>
      </c>
      <c r="I450" s="1">
        <f>IF(Table1[[#This Row],[Claim_Amount]]&lt;0,0,Table1[[#This Row],[Claim_Amount]])</f>
        <v>3708.96</v>
      </c>
      <c r="J450" s="1">
        <f>IF(Table1[[#This Row],[Column1]]=0,"",Table1[[#This Row],[Column1]])</f>
        <v>3708.96</v>
      </c>
      <c r="K450" s="1">
        <v>3708.96</v>
      </c>
      <c r="M450" s="1" t="s">
        <v>25</v>
      </c>
      <c r="N450" s="1" t="s">
        <v>18</v>
      </c>
      <c r="P450" s="1" t="s">
        <v>27</v>
      </c>
    </row>
    <row r="451" spans="1:16" ht="15.75" customHeight="1" x14ac:dyDescent="0.35">
      <c r="A451" s="1" t="s">
        <v>62</v>
      </c>
      <c r="D451" s="1" t="s">
        <v>686</v>
      </c>
      <c r="E451" s="1" t="s">
        <v>22</v>
      </c>
      <c r="G451" s="1" t="s">
        <v>48</v>
      </c>
      <c r="I451">
        <f>IF(Table1[[#This Row],[Claim_Amount]]&lt;0,0,Table1[[#This Row],[Claim_Amount]])</f>
        <v>0</v>
      </c>
      <c r="J451" t="str">
        <f>IF(Table1[[#This Row],[Column1]]=0,"",Table1[[#This Row],[Column1]])</f>
        <v/>
      </c>
      <c r="K451" t="s">
        <v>1098</v>
      </c>
      <c r="M451" s="1" t="s">
        <v>36</v>
      </c>
      <c r="N451" s="1" t="s">
        <v>32</v>
      </c>
      <c r="P451" s="1" t="s">
        <v>65</v>
      </c>
    </row>
    <row r="452" spans="1:16" ht="15.75" customHeight="1" x14ac:dyDescent="0.35">
      <c r="A452" s="1" t="s">
        <v>43</v>
      </c>
      <c r="C452" s="1" t="s">
        <v>458</v>
      </c>
      <c r="D452" s="1" t="s">
        <v>181</v>
      </c>
      <c r="E452" s="1" t="s">
        <v>30</v>
      </c>
      <c r="H452" s="1">
        <v>2470.4299999999998</v>
      </c>
      <c r="I452" s="1">
        <f>IF(Table1[[#This Row],[Claim_Amount]]&lt;0,0,Table1[[#This Row],[Claim_Amount]])</f>
        <v>2470.4299999999998</v>
      </c>
      <c r="J452" s="1">
        <f>IF(Table1[[#This Row],[Column1]]=0,"",Table1[[#This Row],[Column1]])</f>
        <v>2470.4299999999998</v>
      </c>
      <c r="K452" s="1">
        <v>2470.4299999999998</v>
      </c>
      <c r="M452" s="1" t="s">
        <v>25</v>
      </c>
      <c r="N452" s="1" t="s">
        <v>57</v>
      </c>
      <c r="P452" s="1" t="s">
        <v>37</v>
      </c>
    </row>
    <row r="453" spans="1:16" ht="15.75" customHeight="1" x14ac:dyDescent="0.35">
      <c r="A453" s="1" t="s">
        <v>275</v>
      </c>
      <c r="D453" s="1" t="s">
        <v>377</v>
      </c>
      <c r="E453" s="1" t="s">
        <v>16</v>
      </c>
      <c r="F453" s="1" t="s">
        <v>53</v>
      </c>
      <c r="G453" s="1" t="s">
        <v>41</v>
      </c>
      <c r="H453" s="1">
        <v>4684.43</v>
      </c>
      <c r="I453" s="1">
        <f>IF(Table1[[#This Row],[Claim_Amount]]&lt;0,0,Table1[[#This Row],[Claim_Amount]])</f>
        <v>4684.43</v>
      </c>
      <c r="J453" s="1">
        <f>IF(Table1[[#This Row],[Column1]]=0,"",Table1[[#This Row],[Column1]])</f>
        <v>4684.43</v>
      </c>
      <c r="K453" s="1">
        <v>4684.43</v>
      </c>
      <c r="L453" s="1">
        <v>1146.53</v>
      </c>
      <c r="M453" s="1" t="s">
        <v>42</v>
      </c>
      <c r="N453" s="1" t="s">
        <v>32</v>
      </c>
      <c r="O453" s="1">
        <v>12</v>
      </c>
    </row>
    <row r="454" spans="1:16" ht="15.75" customHeight="1" x14ac:dyDescent="0.35">
      <c r="A454" s="1" t="s">
        <v>13</v>
      </c>
      <c r="C454" s="1" t="s">
        <v>581</v>
      </c>
      <c r="D454" s="1" t="s">
        <v>687</v>
      </c>
      <c r="E454" s="1" t="s">
        <v>77</v>
      </c>
      <c r="I454">
        <f>IF(Table1[[#This Row],[Claim_Amount]]&lt;0,0,Table1[[#This Row],[Claim_Amount]])</f>
        <v>0</v>
      </c>
      <c r="J454" t="str">
        <f>IF(Table1[[#This Row],[Column1]]=0,"",Table1[[#This Row],[Column1]])</f>
        <v/>
      </c>
      <c r="K454" t="s">
        <v>1098</v>
      </c>
      <c r="M454" s="1" t="s">
        <v>121</v>
      </c>
      <c r="N454" s="1" t="s">
        <v>26</v>
      </c>
    </row>
    <row r="455" spans="1:16" ht="15.75" customHeight="1" x14ac:dyDescent="0.35">
      <c r="A455" s="1" t="s">
        <v>163</v>
      </c>
      <c r="B455" s="1" t="s">
        <v>688</v>
      </c>
      <c r="C455" s="1" t="s">
        <v>228</v>
      </c>
      <c r="D455" s="1" t="s">
        <v>291</v>
      </c>
      <c r="E455" s="1" t="s">
        <v>30</v>
      </c>
      <c r="F455" s="1" t="s">
        <v>47</v>
      </c>
      <c r="G455" s="1" t="s">
        <v>24</v>
      </c>
      <c r="H455" s="1">
        <v>373.54</v>
      </c>
      <c r="I455" s="1">
        <f>IF(Table1[[#This Row],[Claim_Amount]]&lt;0,0,Table1[[#This Row],[Claim_Amount]])</f>
        <v>373.54</v>
      </c>
      <c r="J455" s="1">
        <f>IF(Table1[[#This Row],[Column1]]=0,"",Table1[[#This Row],[Column1]])</f>
        <v>373.54</v>
      </c>
      <c r="K455" s="1">
        <v>373.54</v>
      </c>
      <c r="M455" s="1" t="s">
        <v>17</v>
      </c>
      <c r="N455" s="1" t="s">
        <v>57</v>
      </c>
      <c r="P455" s="1" t="s">
        <v>65</v>
      </c>
    </row>
    <row r="456" spans="1:16" ht="15.75" customHeight="1" x14ac:dyDescent="0.35">
      <c r="A456" s="1" t="s">
        <v>275</v>
      </c>
      <c r="D456" s="1" t="s">
        <v>409</v>
      </c>
      <c r="E456" s="1" t="s">
        <v>77</v>
      </c>
      <c r="I456">
        <f>IF(Table1[[#This Row],[Claim_Amount]]&lt;0,0,Table1[[#This Row],[Claim_Amount]])</f>
        <v>0</v>
      </c>
      <c r="J456" t="str">
        <f>IF(Table1[[#This Row],[Column1]]=0,"",Table1[[#This Row],[Column1]])</f>
        <v/>
      </c>
      <c r="K456" t="s">
        <v>1098</v>
      </c>
      <c r="M456" s="1" t="s">
        <v>42</v>
      </c>
      <c r="N456" s="1" t="s">
        <v>26</v>
      </c>
      <c r="P456" s="1" t="s">
        <v>37</v>
      </c>
    </row>
    <row r="457" spans="1:16" ht="15.75" customHeight="1" x14ac:dyDescent="0.35">
      <c r="A457" s="1" t="s">
        <v>117</v>
      </c>
      <c r="C457" s="1" t="s">
        <v>245</v>
      </c>
      <c r="D457" s="1" t="s">
        <v>653</v>
      </c>
      <c r="E457" s="1" t="s">
        <v>30</v>
      </c>
      <c r="F457" s="1" t="s">
        <v>53</v>
      </c>
      <c r="G457" s="1" t="s">
        <v>41</v>
      </c>
      <c r="I457">
        <f>IF(Table1[[#This Row],[Claim_Amount]]&lt;0,0,Table1[[#This Row],[Claim_Amount]])</f>
        <v>0</v>
      </c>
      <c r="J457" t="str">
        <f>IF(Table1[[#This Row],[Column1]]=0,"",Table1[[#This Row],[Column1]])</f>
        <v/>
      </c>
      <c r="K457" t="s">
        <v>1098</v>
      </c>
      <c r="M457" s="1" t="s">
        <v>25</v>
      </c>
      <c r="N457" s="1" t="s">
        <v>18</v>
      </c>
      <c r="P457" s="1" t="s">
        <v>19</v>
      </c>
    </row>
    <row r="458" spans="1:16" ht="15.75" customHeight="1" x14ac:dyDescent="0.35">
      <c r="A458" s="1" t="s">
        <v>170</v>
      </c>
      <c r="B458" s="1" t="s">
        <v>689</v>
      </c>
      <c r="D458" s="1" t="s">
        <v>690</v>
      </c>
      <c r="E458" s="1" t="s">
        <v>16</v>
      </c>
      <c r="F458" s="1" t="s">
        <v>53</v>
      </c>
      <c r="G458" s="1" t="s">
        <v>48</v>
      </c>
      <c r="I458">
        <f>IF(Table1[[#This Row],[Claim_Amount]]&lt;0,0,Table1[[#This Row],[Claim_Amount]])</f>
        <v>0</v>
      </c>
      <c r="J458" t="str">
        <f>IF(Table1[[#This Row],[Column1]]=0,"",Table1[[#This Row],[Column1]])</f>
        <v/>
      </c>
      <c r="K458" t="s">
        <v>1098</v>
      </c>
      <c r="L458" s="1">
        <v>4210.51</v>
      </c>
      <c r="M458" s="1" t="s">
        <v>25</v>
      </c>
      <c r="N458" s="1" t="s">
        <v>49</v>
      </c>
      <c r="P458" s="1" t="s">
        <v>19</v>
      </c>
    </row>
    <row r="459" spans="1:16" ht="15.75" customHeight="1" x14ac:dyDescent="0.35">
      <c r="A459" s="1" t="s">
        <v>114</v>
      </c>
      <c r="B459" s="1" t="s">
        <v>691</v>
      </c>
      <c r="D459" s="1" t="s">
        <v>669</v>
      </c>
      <c r="E459" s="1" t="s">
        <v>16</v>
      </c>
      <c r="F459" s="1" t="s">
        <v>23</v>
      </c>
      <c r="G459" s="1" t="s">
        <v>61</v>
      </c>
      <c r="I459">
        <f>IF(Table1[[#This Row],[Claim_Amount]]&lt;0,0,Table1[[#This Row],[Claim_Amount]])</f>
        <v>0</v>
      </c>
      <c r="J459" t="str">
        <f>IF(Table1[[#This Row],[Column1]]=0,"",Table1[[#This Row],[Column1]])</f>
        <v/>
      </c>
      <c r="K459" t="s">
        <v>1098</v>
      </c>
      <c r="M459" s="1" t="s">
        <v>25</v>
      </c>
      <c r="N459" s="1" t="s">
        <v>18</v>
      </c>
      <c r="P459" s="1" t="s">
        <v>19</v>
      </c>
    </row>
    <row r="460" spans="1:16" ht="15.75" customHeight="1" x14ac:dyDescent="0.35">
      <c r="A460" s="1" t="s">
        <v>192</v>
      </c>
      <c r="C460" s="1" t="s">
        <v>100</v>
      </c>
      <c r="D460" s="1" t="s">
        <v>400</v>
      </c>
      <c r="E460" s="1" t="s">
        <v>16</v>
      </c>
      <c r="F460" s="1" t="s">
        <v>31</v>
      </c>
      <c r="G460" s="1" t="s">
        <v>48</v>
      </c>
      <c r="H460" s="1">
        <v>-168</v>
      </c>
      <c r="I460" s="1">
        <f>IF(Table1[[#This Row],[Claim_Amount]]&lt;0,0,Table1[[#This Row],[Claim_Amount]])</f>
        <v>0</v>
      </c>
      <c r="J460" s="1" t="str">
        <f>IF(Table1[[#This Row],[Column1]]=0,"",Table1[[#This Row],[Column1]])</f>
        <v/>
      </c>
      <c r="K460" s="1" t="s">
        <v>1098</v>
      </c>
      <c r="M460" s="1" t="s">
        <v>36</v>
      </c>
      <c r="N460" s="1" t="s">
        <v>26</v>
      </c>
      <c r="P460" s="1" t="s">
        <v>37</v>
      </c>
    </row>
    <row r="461" spans="1:16" ht="15.75" customHeight="1" x14ac:dyDescent="0.35">
      <c r="A461" s="1" t="s">
        <v>179</v>
      </c>
      <c r="C461" s="1" t="s">
        <v>87</v>
      </c>
      <c r="D461" s="1" t="s">
        <v>692</v>
      </c>
      <c r="E461" s="1" t="s">
        <v>77</v>
      </c>
      <c r="F461" s="1" t="s">
        <v>47</v>
      </c>
      <c r="G461" s="1" t="s">
        <v>41</v>
      </c>
      <c r="H461" s="1">
        <v>2959.68</v>
      </c>
      <c r="I461" s="1">
        <f>IF(Table1[[#This Row],[Claim_Amount]]&lt;0,0,Table1[[#This Row],[Claim_Amount]])</f>
        <v>2959.68</v>
      </c>
      <c r="J461" s="1">
        <f>IF(Table1[[#This Row],[Column1]]=0,"",Table1[[#This Row],[Column1]])</f>
        <v>2959.68</v>
      </c>
      <c r="K461" s="1">
        <v>2959.68</v>
      </c>
      <c r="M461" s="1" t="s">
        <v>25</v>
      </c>
      <c r="N461" s="1" t="s">
        <v>57</v>
      </c>
      <c r="O461" s="1">
        <v>50</v>
      </c>
    </row>
    <row r="462" spans="1:16" ht="15.75" customHeight="1" x14ac:dyDescent="0.35">
      <c r="A462" s="1" t="s">
        <v>277</v>
      </c>
      <c r="D462" s="1" t="s">
        <v>693</v>
      </c>
      <c r="E462" s="1" t="s">
        <v>85</v>
      </c>
      <c r="F462" s="1" t="s">
        <v>93</v>
      </c>
      <c r="G462" s="1" t="s">
        <v>24</v>
      </c>
      <c r="I462">
        <f>IF(Table1[[#This Row],[Claim_Amount]]&lt;0,0,Table1[[#This Row],[Claim_Amount]])</f>
        <v>0</v>
      </c>
      <c r="J462" t="str">
        <f>IF(Table1[[#This Row],[Column1]]=0,"",Table1[[#This Row],[Column1]])</f>
        <v/>
      </c>
      <c r="K462" t="s">
        <v>1098</v>
      </c>
      <c r="M462" s="1" t="s">
        <v>36</v>
      </c>
      <c r="N462" s="1" t="s">
        <v>32</v>
      </c>
    </row>
    <row r="463" spans="1:16" ht="15.75" customHeight="1" x14ac:dyDescent="0.35">
      <c r="A463" s="1" t="s">
        <v>202</v>
      </c>
      <c r="B463" s="1" t="s">
        <v>694</v>
      </c>
      <c r="D463" s="1" t="s">
        <v>686</v>
      </c>
      <c r="E463" s="1" t="s">
        <v>16</v>
      </c>
      <c r="F463" s="1" t="s">
        <v>47</v>
      </c>
      <c r="G463" s="1" t="s">
        <v>54</v>
      </c>
      <c r="H463" s="1">
        <v>3305.5</v>
      </c>
      <c r="I463" s="1">
        <f>IF(Table1[[#This Row],[Claim_Amount]]&lt;0,0,Table1[[#This Row],[Claim_Amount]])</f>
        <v>3305.5</v>
      </c>
      <c r="J463" s="1">
        <f>IF(Table1[[#This Row],[Column1]]=0,"",Table1[[#This Row],[Column1]])</f>
        <v>3305.5</v>
      </c>
      <c r="K463" s="1">
        <v>3305.5</v>
      </c>
      <c r="M463" s="1" t="s">
        <v>25</v>
      </c>
      <c r="N463" s="1" t="s">
        <v>49</v>
      </c>
      <c r="O463" s="1">
        <v>22</v>
      </c>
      <c r="P463" s="1" t="s">
        <v>65</v>
      </c>
    </row>
    <row r="464" spans="1:16" ht="15.75" customHeight="1" x14ac:dyDescent="0.35">
      <c r="A464" s="1" t="s">
        <v>13</v>
      </c>
      <c r="B464" s="1" t="s">
        <v>695</v>
      </c>
      <c r="C464" s="1" t="s">
        <v>696</v>
      </c>
      <c r="D464" s="1" t="s">
        <v>697</v>
      </c>
      <c r="E464" s="1" t="s">
        <v>77</v>
      </c>
      <c r="F464" s="1" t="s">
        <v>47</v>
      </c>
      <c r="I464">
        <f>IF(Table1[[#This Row],[Claim_Amount]]&lt;0,0,Table1[[#This Row],[Claim_Amount]])</f>
        <v>0</v>
      </c>
      <c r="J464" t="str">
        <f>IF(Table1[[#This Row],[Column1]]=0,"",Table1[[#This Row],[Column1]])</f>
        <v/>
      </c>
      <c r="K464" t="s">
        <v>1098</v>
      </c>
      <c r="M464" s="1" t="s">
        <v>42</v>
      </c>
      <c r="N464" s="1" t="s">
        <v>18</v>
      </c>
      <c r="P464" s="1" t="s">
        <v>19</v>
      </c>
    </row>
    <row r="465" spans="1:16" ht="15.75" customHeight="1" x14ac:dyDescent="0.35">
      <c r="A465" s="1" t="s">
        <v>117</v>
      </c>
      <c r="B465" s="1" t="s">
        <v>67</v>
      </c>
      <c r="C465" s="1" t="s">
        <v>308</v>
      </c>
      <c r="D465" s="1" t="s">
        <v>698</v>
      </c>
      <c r="E465" s="1" t="s">
        <v>85</v>
      </c>
      <c r="F465" s="1" t="s">
        <v>93</v>
      </c>
      <c r="G465" s="1" t="s">
        <v>48</v>
      </c>
      <c r="H465" s="1">
        <v>-94</v>
      </c>
      <c r="I465" s="1">
        <f>IF(Table1[[#This Row],[Claim_Amount]]&lt;0,0,Table1[[#This Row],[Claim_Amount]])</f>
        <v>0</v>
      </c>
      <c r="J465" s="1" t="str">
        <f>IF(Table1[[#This Row],[Column1]]=0,"",Table1[[#This Row],[Column1]])</f>
        <v/>
      </c>
      <c r="K465" s="1" t="s">
        <v>1098</v>
      </c>
      <c r="L465" s="1">
        <v>1066.32</v>
      </c>
      <c r="M465" s="1" t="s">
        <v>25</v>
      </c>
      <c r="N465" s="1" t="s">
        <v>32</v>
      </c>
      <c r="O465" s="1">
        <v>0</v>
      </c>
      <c r="P465" s="1" t="s">
        <v>27</v>
      </c>
    </row>
    <row r="466" spans="1:16" ht="15.75" customHeight="1" x14ac:dyDescent="0.35">
      <c r="A466" s="1" t="s">
        <v>105</v>
      </c>
      <c r="B466" s="1" t="s">
        <v>699</v>
      </c>
      <c r="D466" s="1" t="s">
        <v>700</v>
      </c>
      <c r="E466" s="1" t="s">
        <v>22</v>
      </c>
      <c r="F466" s="1" t="s">
        <v>31</v>
      </c>
      <c r="G466" s="1" t="s">
        <v>61</v>
      </c>
      <c r="I466">
        <f>IF(Table1[[#This Row],[Claim_Amount]]&lt;0,0,Table1[[#This Row],[Claim_Amount]])</f>
        <v>0</v>
      </c>
      <c r="J466" t="str">
        <f>IF(Table1[[#This Row],[Column1]]=0,"",Table1[[#This Row],[Column1]])</f>
        <v/>
      </c>
      <c r="K466" t="s">
        <v>1098</v>
      </c>
      <c r="L466" s="1">
        <v>1456.3</v>
      </c>
      <c r="M466" s="1" t="s">
        <v>42</v>
      </c>
      <c r="N466" s="1" t="s">
        <v>18</v>
      </c>
      <c r="P466" s="1" t="s">
        <v>65</v>
      </c>
    </row>
    <row r="467" spans="1:16" ht="15.75" customHeight="1" x14ac:dyDescent="0.35">
      <c r="A467" s="1" t="s">
        <v>102</v>
      </c>
      <c r="B467" s="1" t="s">
        <v>689</v>
      </c>
      <c r="D467" s="1" t="s">
        <v>144</v>
      </c>
      <c r="E467" s="1" t="s">
        <v>77</v>
      </c>
      <c r="G467" s="1" t="s">
        <v>61</v>
      </c>
      <c r="I467">
        <f>IF(Table1[[#This Row],[Claim_Amount]]&lt;0,0,Table1[[#This Row],[Claim_Amount]])</f>
        <v>0</v>
      </c>
      <c r="J467" t="str">
        <f>IF(Table1[[#This Row],[Column1]]=0,"",Table1[[#This Row],[Column1]])</f>
        <v/>
      </c>
      <c r="K467" t="s">
        <v>1098</v>
      </c>
      <c r="M467" s="1" t="s">
        <v>42</v>
      </c>
      <c r="N467" s="1" t="s">
        <v>18</v>
      </c>
    </row>
    <row r="468" spans="1:16" ht="15.75" customHeight="1" x14ac:dyDescent="0.35">
      <c r="A468" s="1" t="s">
        <v>62</v>
      </c>
      <c r="B468" s="1" t="s">
        <v>372</v>
      </c>
      <c r="C468" s="1" t="s">
        <v>538</v>
      </c>
      <c r="D468" s="1" t="s">
        <v>701</v>
      </c>
      <c r="E468" s="1" t="s">
        <v>77</v>
      </c>
      <c r="G468" s="1" t="s">
        <v>41</v>
      </c>
      <c r="I468">
        <f>IF(Table1[[#This Row],[Claim_Amount]]&lt;0,0,Table1[[#This Row],[Claim_Amount]])</f>
        <v>0</v>
      </c>
      <c r="J468" t="str">
        <f>IF(Table1[[#This Row],[Column1]]=0,"",Table1[[#This Row],[Column1]])</f>
        <v/>
      </c>
      <c r="K468" t="s">
        <v>1098</v>
      </c>
      <c r="M468" s="1" t="s">
        <v>36</v>
      </c>
      <c r="N468" s="1" t="s">
        <v>18</v>
      </c>
      <c r="P468" s="1" t="s">
        <v>27</v>
      </c>
    </row>
    <row r="469" spans="1:16" ht="15.75" customHeight="1" x14ac:dyDescent="0.35">
      <c r="A469" s="1" t="s">
        <v>179</v>
      </c>
      <c r="C469" s="1" t="s">
        <v>455</v>
      </c>
      <c r="D469" s="1" t="s">
        <v>702</v>
      </c>
      <c r="E469" s="1" t="s">
        <v>30</v>
      </c>
      <c r="F469" s="1" t="s">
        <v>53</v>
      </c>
      <c r="G469" s="1" t="s">
        <v>24</v>
      </c>
      <c r="H469" s="1">
        <v>3650.13</v>
      </c>
      <c r="I469" s="1">
        <f>IF(Table1[[#This Row],[Claim_Amount]]&lt;0,0,Table1[[#This Row],[Claim_Amount]])</f>
        <v>3650.13</v>
      </c>
      <c r="J469" s="1">
        <f>IF(Table1[[#This Row],[Column1]]=0,"",Table1[[#This Row],[Column1]])</f>
        <v>3650.13</v>
      </c>
      <c r="K469" s="1">
        <v>3650.13</v>
      </c>
      <c r="M469" s="1" t="s">
        <v>36</v>
      </c>
      <c r="N469" s="1" t="s">
        <v>32</v>
      </c>
      <c r="P469" s="1" t="s">
        <v>37</v>
      </c>
    </row>
    <row r="470" spans="1:16" ht="15.75" customHeight="1" x14ac:dyDescent="0.35">
      <c r="A470" s="1" t="s">
        <v>102</v>
      </c>
      <c r="D470" s="1" t="s">
        <v>339</v>
      </c>
      <c r="E470" s="1" t="s">
        <v>77</v>
      </c>
      <c r="G470" s="1" t="s">
        <v>54</v>
      </c>
      <c r="I470">
        <f>IF(Table1[[#This Row],[Claim_Amount]]&lt;0,0,Table1[[#This Row],[Claim_Amount]])</f>
        <v>0</v>
      </c>
      <c r="J470" t="str">
        <f>IF(Table1[[#This Row],[Column1]]=0,"",Table1[[#This Row],[Column1]])</f>
        <v/>
      </c>
      <c r="K470" t="s">
        <v>1098</v>
      </c>
      <c r="M470" s="1" t="s">
        <v>17</v>
      </c>
      <c r="N470" s="1" t="s">
        <v>49</v>
      </c>
      <c r="P470" s="1" t="s">
        <v>37</v>
      </c>
    </row>
    <row r="471" spans="1:16" ht="15.75" customHeight="1" x14ac:dyDescent="0.35">
      <c r="A471" s="1" t="s">
        <v>33</v>
      </c>
      <c r="B471" s="1" t="s">
        <v>703</v>
      </c>
      <c r="D471" s="1" t="s">
        <v>536</v>
      </c>
      <c r="E471" s="1" t="s">
        <v>92</v>
      </c>
      <c r="F471" s="1" t="s">
        <v>53</v>
      </c>
      <c r="G471" s="1" t="s">
        <v>54</v>
      </c>
      <c r="H471" s="1">
        <v>1790.3</v>
      </c>
      <c r="I471" s="1">
        <f>IF(Table1[[#This Row],[Claim_Amount]]&lt;0,0,Table1[[#This Row],[Claim_Amount]])</f>
        <v>1790.3</v>
      </c>
      <c r="J471" s="1">
        <f>IF(Table1[[#This Row],[Column1]]=0,"",Table1[[#This Row],[Column1]])</f>
        <v>1790.3</v>
      </c>
      <c r="K471" s="1">
        <v>1790.3</v>
      </c>
      <c r="M471" s="1" t="s">
        <v>42</v>
      </c>
      <c r="N471" s="1" t="s">
        <v>49</v>
      </c>
      <c r="P471" s="1" t="s">
        <v>37</v>
      </c>
    </row>
    <row r="472" spans="1:16" ht="15.75" customHeight="1" x14ac:dyDescent="0.35">
      <c r="A472" s="1" t="s">
        <v>70</v>
      </c>
      <c r="D472" s="1" t="s">
        <v>603</v>
      </c>
      <c r="E472" s="1" t="s">
        <v>85</v>
      </c>
      <c r="F472" s="1" t="s">
        <v>31</v>
      </c>
      <c r="I472">
        <f>IF(Table1[[#This Row],[Claim_Amount]]&lt;0,0,Table1[[#This Row],[Claim_Amount]])</f>
        <v>0</v>
      </c>
      <c r="J472" t="str">
        <f>IF(Table1[[#This Row],[Column1]]=0,"",Table1[[#This Row],[Column1]])</f>
        <v/>
      </c>
      <c r="K472" t="s">
        <v>1098</v>
      </c>
      <c r="M472" s="1" t="s">
        <v>36</v>
      </c>
      <c r="N472" s="1" t="s">
        <v>26</v>
      </c>
      <c r="P472" s="1" t="s">
        <v>65</v>
      </c>
    </row>
    <row r="473" spans="1:16" ht="15.75" customHeight="1" x14ac:dyDescent="0.35">
      <c r="A473" s="1" t="s">
        <v>108</v>
      </c>
      <c r="B473" s="1" t="s">
        <v>704</v>
      </c>
      <c r="C473" s="1" t="s">
        <v>356</v>
      </c>
      <c r="D473" s="1" t="s">
        <v>705</v>
      </c>
      <c r="E473" s="1" t="s">
        <v>35</v>
      </c>
      <c r="F473" s="1" t="s">
        <v>31</v>
      </c>
      <c r="G473" s="1" t="s">
        <v>41</v>
      </c>
      <c r="I473">
        <f>IF(Table1[[#This Row],[Claim_Amount]]&lt;0,0,Table1[[#This Row],[Claim_Amount]])</f>
        <v>0</v>
      </c>
      <c r="J473" t="str">
        <f>IF(Table1[[#This Row],[Column1]]=0,"",Table1[[#This Row],[Column1]])</f>
        <v/>
      </c>
      <c r="K473" t="s">
        <v>1098</v>
      </c>
      <c r="M473" s="1" t="s">
        <v>17</v>
      </c>
      <c r="N473" s="1" t="s">
        <v>57</v>
      </c>
      <c r="P473" s="1" t="s">
        <v>19</v>
      </c>
    </row>
    <row r="474" spans="1:16" ht="15.75" customHeight="1" x14ac:dyDescent="0.35">
      <c r="A474" s="1" t="s">
        <v>202</v>
      </c>
      <c r="D474" s="1" t="s">
        <v>706</v>
      </c>
      <c r="E474" s="1" t="s">
        <v>77</v>
      </c>
      <c r="G474" s="1" t="s">
        <v>54</v>
      </c>
      <c r="H474" s="1">
        <v>-48</v>
      </c>
      <c r="I474" s="1">
        <f>IF(Table1[[#This Row],[Claim_Amount]]&lt;0,0,Table1[[#This Row],[Claim_Amount]])</f>
        <v>0</v>
      </c>
      <c r="J474" s="1" t="str">
        <f>IF(Table1[[#This Row],[Column1]]=0,"",Table1[[#This Row],[Column1]])</f>
        <v/>
      </c>
      <c r="K474" s="1" t="s">
        <v>1098</v>
      </c>
      <c r="M474" s="1" t="s">
        <v>17</v>
      </c>
      <c r="N474" s="1" t="s">
        <v>49</v>
      </c>
    </row>
    <row r="475" spans="1:16" ht="15.75" customHeight="1" x14ac:dyDescent="0.35">
      <c r="A475" s="1" t="s">
        <v>179</v>
      </c>
      <c r="D475" s="1" t="s">
        <v>707</v>
      </c>
      <c r="E475" s="1" t="s">
        <v>77</v>
      </c>
      <c r="G475" s="1" t="s">
        <v>48</v>
      </c>
      <c r="H475" s="1">
        <v>1087.44</v>
      </c>
      <c r="I475" s="1">
        <f>IF(Table1[[#This Row],[Claim_Amount]]&lt;0,0,Table1[[#This Row],[Claim_Amount]])</f>
        <v>1087.44</v>
      </c>
      <c r="J475" s="1">
        <f>IF(Table1[[#This Row],[Column1]]=0,"",Table1[[#This Row],[Column1]])</f>
        <v>1087.44</v>
      </c>
      <c r="K475" s="1">
        <v>1087.44</v>
      </c>
      <c r="M475" s="1" t="s">
        <v>17</v>
      </c>
      <c r="N475" s="1" t="s">
        <v>32</v>
      </c>
      <c r="P475" s="1" t="s">
        <v>19</v>
      </c>
    </row>
    <row r="476" spans="1:16" ht="15.75" customHeight="1" x14ac:dyDescent="0.35">
      <c r="A476" s="1" t="s">
        <v>117</v>
      </c>
      <c r="C476" s="1" t="s">
        <v>696</v>
      </c>
      <c r="D476" s="1" t="s">
        <v>489</v>
      </c>
      <c r="E476" s="1" t="s">
        <v>22</v>
      </c>
      <c r="G476" s="1" t="s">
        <v>54</v>
      </c>
      <c r="H476" s="1">
        <v>1533.2</v>
      </c>
      <c r="I476" s="1">
        <f>IF(Table1[[#This Row],[Claim_Amount]]&lt;0,0,Table1[[#This Row],[Claim_Amount]])</f>
        <v>1533.2</v>
      </c>
      <c r="J476" s="1">
        <f>IF(Table1[[#This Row],[Column1]]=0,"",Table1[[#This Row],[Column1]])</f>
        <v>1533.2</v>
      </c>
      <c r="K476" s="1">
        <v>1533.2</v>
      </c>
      <c r="L476" s="1">
        <v>2859.51</v>
      </c>
      <c r="M476" s="1" t="s">
        <v>17</v>
      </c>
      <c r="N476" s="1" t="s">
        <v>18</v>
      </c>
    </row>
    <row r="477" spans="1:16" ht="15.75" customHeight="1" x14ac:dyDescent="0.35">
      <c r="A477" s="1" t="s">
        <v>13</v>
      </c>
      <c r="D477" s="1" t="s">
        <v>448</v>
      </c>
      <c r="E477" s="1" t="s">
        <v>30</v>
      </c>
      <c r="F477" s="1" t="s">
        <v>53</v>
      </c>
      <c r="G477" s="1" t="s">
        <v>24</v>
      </c>
      <c r="H477" s="1">
        <v>-94</v>
      </c>
      <c r="I477" s="1">
        <f>IF(Table1[[#This Row],[Claim_Amount]]&lt;0,0,Table1[[#This Row],[Claim_Amount]])</f>
        <v>0</v>
      </c>
      <c r="J477" s="1" t="str">
        <f>IF(Table1[[#This Row],[Column1]]=0,"",Table1[[#This Row],[Column1]])</f>
        <v/>
      </c>
      <c r="K477" s="1" t="s">
        <v>1098</v>
      </c>
      <c r="M477" s="1" t="s">
        <v>25</v>
      </c>
      <c r="N477" s="1" t="s">
        <v>18</v>
      </c>
    </row>
    <row r="478" spans="1:16" ht="15.75" customHeight="1" x14ac:dyDescent="0.35">
      <c r="A478" s="1" t="s">
        <v>102</v>
      </c>
      <c r="D478" s="1" t="s">
        <v>708</v>
      </c>
      <c r="E478" s="1" t="s">
        <v>77</v>
      </c>
      <c r="F478" s="1" t="s">
        <v>31</v>
      </c>
      <c r="G478" s="1" t="s">
        <v>24</v>
      </c>
      <c r="H478" s="1">
        <v>1203.55</v>
      </c>
      <c r="I478" s="1">
        <f>IF(Table1[[#This Row],[Claim_Amount]]&lt;0,0,Table1[[#This Row],[Claim_Amount]])</f>
        <v>1203.55</v>
      </c>
      <c r="J478" s="1">
        <f>IF(Table1[[#This Row],[Column1]]=0,"",Table1[[#This Row],[Column1]])</f>
        <v>1203.55</v>
      </c>
      <c r="K478" s="1">
        <v>1203.55</v>
      </c>
      <c r="M478" s="1" t="s">
        <v>36</v>
      </c>
      <c r="N478" s="1" t="s">
        <v>26</v>
      </c>
      <c r="P478" s="1" t="s">
        <v>37</v>
      </c>
    </row>
    <row r="479" spans="1:16" ht="15.75" customHeight="1" x14ac:dyDescent="0.35">
      <c r="A479" s="1" t="s">
        <v>78</v>
      </c>
      <c r="B479" s="1" t="s">
        <v>709</v>
      </c>
      <c r="D479" s="1" t="s">
        <v>710</v>
      </c>
      <c r="E479" s="1" t="s">
        <v>85</v>
      </c>
      <c r="F479" s="1" t="s">
        <v>93</v>
      </c>
      <c r="G479" s="1" t="s">
        <v>41</v>
      </c>
      <c r="H479" s="1">
        <v>-191</v>
      </c>
      <c r="I479" s="1">
        <f>IF(Table1[[#This Row],[Claim_Amount]]&lt;0,0,Table1[[#This Row],[Claim_Amount]])</f>
        <v>0</v>
      </c>
      <c r="J479" s="1" t="str">
        <f>IF(Table1[[#This Row],[Column1]]=0,"",Table1[[#This Row],[Column1]])</f>
        <v/>
      </c>
      <c r="K479" s="1" t="s">
        <v>1098</v>
      </c>
      <c r="M479" s="1" t="s">
        <v>42</v>
      </c>
      <c r="N479" s="1" t="s">
        <v>57</v>
      </c>
      <c r="P479" s="1" t="s">
        <v>37</v>
      </c>
    </row>
    <row r="480" spans="1:16" ht="15.75" customHeight="1" x14ac:dyDescent="0.35">
      <c r="A480" s="1" t="s">
        <v>38</v>
      </c>
      <c r="B480" s="1" t="s">
        <v>695</v>
      </c>
      <c r="D480" s="1" t="s">
        <v>690</v>
      </c>
      <c r="E480" s="1" t="s">
        <v>30</v>
      </c>
      <c r="F480" s="1" t="s">
        <v>31</v>
      </c>
      <c r="G480" s="1" t="s">
        <v>54</v>
      </c>
      <c r="H480" s="1">
        <v>-127</v>
      </c>
      <c r="I480" s="1">
        <f>IF(Table1[[#This Row],[Claim_Amount]]&lt;0,0,Table1[[#This Row],[Claim_Amount]])</f>
        <v>0</v>
      </c>
      <c r="J480" s="1" t="str">
        <f>IF(Table1[[#This Row],[Column1]]=0,"",Table1[[#This Row],[Column1]])</f>
        <v/>
      </c>
      <c r="K480" s="1" t="s">
        <v>1098</v>
      </c>
      <c r="M480" s="1" t="s">
        <v>25</v>
      </c>
      <c r="N480" s="1" t="s">
        <v>32</v>
      </c>
      <c r="P480" s="1" t="s">
        <v>27</v>
      </c>
    </row>
    <row r="481" spans="1:16" ht="15.75" customHeight="1" x14ac:dyDescent="0.35">
      <c r="A481" s="1" t="s">
        <v>321</v>
      </c>
      <c r="C481" s="1" t="s">
        <v>331</v>
      </c>
      <c r="D481" s="1" t="s">
        <v>711</v>
      </c>
      <c r="E481" s="1" t="s">
        <v>35</v>
      </c>
      <c r="F481" s="1" t="s">
        <v>53</v>
      </c>
      <c r="G481" s="1" t="s">
        <v>48</v>
      </c>
      <c r="I481">
        <f>IF(Table1[[#This Row],[Claim_Amount]]&lt;0,0,Table1[[#This Row],[Claim_Amount]])</f>
        <v>0</v>
      </c>
      <c r="J481" t="str">
        <f>IF(Table1[[#This Row],[Column1]]=0,"",Table1[[#This Row],[Column1]])</f>
        <v/>
      </c>
      <c r="K481" t="s">
        <v>1098</v>
      </c>
      <c r="L481" s="1">
        <v>3507.68</v>
      </c>
      <c r="M481" s="1" t="s">
        <v>121</v>
      </c>
      <c r="N481" s="1" t="s">
        <v>26</v>
      </c>
      <c r="O481" s="1">
        <v>15</v>
      </c>
      <c r="P481" s="1" t="s">
        <v>27</v>
      </c>
    </row>
    <row r="482" spans="1:16" ht="15.75" customHeight="1" x14ac:dyDescent="0.35">
      <c r="A482" s="1" t="s">
        <v>13</v>
      </c>
      <c r="C482" s="1" t="s">
        <v>158</v>
      </c>
      <c r="D482" s="1" t="s">
        <v>712</v>
      </c>
      <c r="E482" s="1" t="s">
        <v>22</v>
      </c>
      <c r="F482" s="1" t="s">
        <v>47</v>
      </c>
      <c r="G482" s="1" t="s">
        <v>61</v>
      </c>
      <c r="H482" s="1">
        <v>4976.82</v>
      </c>
      <c r="I482" s="1">
        <f>IF(Table1[[#This Row],[Claim_Amount]]&lt;0,0,Table1[[#This Row],[Claim_Amount]])</f>
        <v>4976.82</v>
      </c>
      <c r="J482" s="1">
        <f>IF(Table1[[#This Row],[Column1]]=0,"",Table1[[#This Row],[Column1]])</f>
        <v>4976.82</v>
      </c>
      <c r="K482" s="1">
        <v>4976.82</v>
      </c>
      <c r="M482" s="1" t="s">
        <v>121</v>
      </c>
      <c r="N482" s="1" t="s">
        <v>49</v>
      </c>
      <c r="P482" s="1" t="s">
        <v>65</v>
      </c>
    </row>
    <row r="483" spans="1:16" ht="15.75" customHeight="1" x14ac:dyDescent="0.35">
      <c r="A483" s="1" t="s">
        <v>163</v>
      </c>
      <c r="C483" s="1" t="s">
        <v>193</v>
      </c>
      <c r="D483" s="1" t="s">
        <v>713</v>
      </c>
      <c r="E483" s="1" t="s">
        <v>77</v>
      </c>
      <c r="F483" s="1" t="s">
        <v>53</v>
      </c>
      <c r="G483" s="1" t="s">
        <v>41</v>
      </c>
      <c r="H483" s="1">
        <v>-59</v>
      </c>
      <c r="I483" s="1">
        <f>IF(Table1[[#This Row],[Claim_Amount]]&lt;0,0,Table1[[#This Row],[Claim_Amount]])</f>
        <v>0</v>
      </c>
      <c r="J483" s="1" t="str">
        <f>IF(Table1[[#This Row],[Column1]]=0,"",Table1[[#This Row],[Column1]])</f>
        <v/>
      </c>
      <c r="K483" s="1" t="s">
        <v>1098</v>
      </c>
      <c r="M483" s="1" t="s">
        <v>25</v>
      </c>
      <c r="N483" s="1" t="s">
        <v>18</v>
      </c>
      <c r="P483" s="1" t="s">
        <v>37</v>
      </c>
    </row>
    <row r="484" spans="1:16" ht="15.75" customHeight="1" x14ac:dyDescent="0.35">
      <c r="A484" s="1" t="s">
        <v>117</v>
      </c>
      <c r="B484" s="1" t="s">
        <v>714</v>
      </c>
      <c r="C484" s="1" t="s">
        <v>203</v>
      </c>
      <c r="D484" s="1" t="s">
        <v>715</v>
      </c>
      <c r="E484" s="1" t="s">
        <v>22</v>
      </c>
      <c r="F484" s="1" t="s">
        <v>31</v>
      </c>
      <c r="G484" s="1" t="s">
        <v>24</v>
      </c>
      <c r="H484" s="1">
        <v>894.42</v>
      </c>
      <c r="I484" s="1">
        <f>IF(Table1[[#This Row],[Claim_Amount]]&lt;0,0,Table1[[#This Row],[Claim_Amount]])</f>
        <v>894.42</v>
      </c>
      <c r="J484" s="1">
        <f>IF(Table1[[#This Row],[Column1]]=0,"",Table1[[#This Row],[Column1]])</f>
        <v>894.42</v>
      </c>
      <c r="K484" s="1">
        <v>894.42</v>
      </c>
      <c r="L484" s="1">
        <v>927.32</v>
      </c>
      <c r="M484" s="1" t="s">
        <v>36</v>
      </c>
      <c r="N484" s="1" t="s">
        <v>49</v>
      </c>
      <c r="O484" s="1">
        <v>10</v>
      </c>
      <c r="P484" s="1" t="s">
        <v>19</v>
      </c>
    </row>
    <row r="485" spans="1:16" ht="15.75" customHeight="1" x14ac:dyDescent="0.35">
      <c r="A485" s="1" t="s">
        <v>275</v>
      </c>
      <c r="B485" s="1" t="s">
        <v>716</v>
      </c>
      <c r="D485" s="1" t="s">
        <v>717</v>
      </c>
      <c r="E485" s="1" t="s">
        <v>35</v>
      </c>
      <c r="F485" s="1" t="s">
        <v>47</v>
      </c>
      <c r="G485" s="1" t="s">
        <v>24</v>
      </c>
      <c r="H485" s="1">
        <v>2238.19</v>
      </c>
      <c r="I485" s="1">
        <f>IF(Table1[[#This Row],[Claim_Amount]]&lt;0,0,Table1[[#This Row],[Claim_Amount]])</f>
        <v>2238.19</v>
      </c>
      <c r="J485" s="1">
        <f>IF(Table1[[#This Row],[Column1]]=0,"",Table1[[#This Row],[Column1]])</f>
        <v>2238.19</v>
      </c>
      <c r="K485" s="1">
        <v>2238.19</v>
      </c>
      <c r="M485" s="1" t="s">
        <v>121</v>
      </c>
      <c r="N485" s="1" t="s">
        <v>26</v>
      </c>
      <c r="O485" s="1">
        <v>38</v>
      </c>
      <c r="P485" s="1" t="s">
        <v>19</v>
      </c>
    </row>
    <row r="486" spans="1:16" ht="15.75" customHeight="1" x14ac:dyDescent="0.35">
      <c r="A486" s="1" t="s">
        <v>202</v>
      </c>
      <c r="B486" s="1" t="s">
        <v>325</v>
      </c>
      <c r="D486" s="1" t="s">
        <v>718</v>
      </c>
      <c r="E486" s="1" t="s">
        <v>77</v>
      </c>
      <c r="F486" s="1" t="s">
        <v>23</v>
      </c>
      <c r="G486" s="1" t="s">
        <v>61</v>
      </c>
      <c r="H486" s="1">
        <v>1718.73</v>
      </c>
      <c r="I486" s="1">
        <f>IF(Table1[[#This Row],[Claim_Amount]]&lt;0,0,Table1[[#This Row],[Claim_Amount]])</f>
        <v>1718.73</v>
      </c>
      <c r="J486" s="1">
        <f>IF(Table1[[#This Row],[Column1]]=0,"",Table1[[#This Row],[Column1]])</f>
        <v>1718.73</v>
      </c>
      <c r="K486" s="1">
        <v>1718.73</v>
      </c>
      <c r="L486" s="1">
        <v>1141.81</v>
      </c>
      <c r="M486" s="1" t="s">
        <v>17</v>
      </c>
      <c r="N486" s="1" t="s">
        <v>18</v>
      </c>
    </row>
    <row r="487" spans="1:16" ht="15.75" customHeight="1" x14ac:dyDescent="0.35">
      <c r="A487" s="1" t="s">
        <v>108</v>
      </c>
      <c r="C487" s="1" t="s">
        <v>39</v>
      </c>
      <c r="D487" s="1" t="s">
        <v>272</v>
      </c>
      <c r="E487" s="1" t="s">
        <v>77</v>
      </c>
      <c r="F487" s="1" t="s">
        <v>23</v>
      </c>
      <c r="G487" s="1" t="s">
        <v>24</v>
      </c>
      <c r="I487">
        <f>IF(Table1[[#This Row],[Claim_Amount]]&lt;0,0,Table1[[#This Row],[Claim_Amount]])</f>
        <v>0</v>
      </c>
      <c r="J487" t="str">
        <f>IF(Table1[[#This Row],[Column1]]=0,"",Table1[[#This Row],[Column1]])</f>
        <v/>
      </c>
      <c r="K487" t="s">
        <v>1098</v>
      </c>
      <c r="M487" s="1" t="s">
        <v>42</v>
      </c>
      <c r="N487" s="1" t="s">
        <v>26</v>
      </c>
      <c r="O487" s="1">
        <v>24</v>
      </c>
      <c r="P487" s="1" t="s">
        <v>37</v>
      </c>
    </row>
    <row r="488" spans="1:16" ht="15.75" customHeight="1" x14ac:dyDescent="0.35">
      <c r="A488" s="1" t="s">
        <v>198</v>
      </c>
      <c r="D488" s="1" t="s">
        <v>69</v>
      </c>
      <c r="E488" s="1" t="s">
        <v>92</v>
      </c>
      <c r="F488" s="1" t="s">
        <v>47</v>
      </c>
      <c r="G488" s="1" t="s">
        <v>48</v>
      </c>
      <c r="I488">
        <f>IF(Table1[[#This Row],[Claim_Amount]]&lt;0,0,Table1[[#This Row],[Claim_Amount]])</f>
        <v>0</v>
      </c>
      <c r="J488" t="str">
        <f>IF(Table1[[#This Row],[Column1]]=0,"",Table1[[#This Row],[Column1]])</f>
        <v/>
      </c>
      <c r="K488" t="s">
        <v>1098</v>
      </c>
      <c r="L488" s="1">
        <v>1297.0999999999999</v>
      </c>
      <c r="M488" s="1" t="s">
        <v>36</v>
      </c>
      <c r="N488" s="1" t="s">
        <v>32</v>
      </c>
      <c r="P488" s="1" t="s">
        <v>37</v>
      </c>
    </row>
    <row r="489" spans="1:16" ht="15.75" customHeight="1" x14ac:dyDescent="0.35">
      <c r="A489" s="1" t="s">
        <v>275</v>
      </c>
      <c r="D489" s="1" t="s">
        <v>253</v>
      </c>
      <c r="E489" s="1" t="s">
        <v>22</v>
      </c>
      <c r="G489" s="1" t="s">
        <v>48</v>
      </c>
      <c r="H489" s="1">
        <v>-14</v>
      </c>
      <c r="I489" s="1">
        <f>IF(Table1[[#This Row],[Claim_Amount]]&lt;0,0,Table1[[#This Row],[Claim_Amount]])</f>
        <v>0</v>
      </c>
      <c r="J489" s="1" t="str">
        <f>IF(Table1[[#This Row],[Column1]]=0,"",Table1[[#This Row],[Column1]])</f>
        <v/>
      </c>
      <c r="K489" s="1" t="s">
        <v>1098</v>
      </c>
      <c r="M489" s="1" t="s">
        <v>17</v>
      </c>
      <c r="N489" s="1" t="s">
        <v>57</v>
      </c>
      <c r="P489" s="1" t="s">
        <v>19</v>
      </c>
    </row>
    <row r="490" spans="1:16" ht="15.75" customHeight="1" x14ac:dyDescent="0.35">
      <c r="A490" s="1" t="s">
        <v>198</v>
      </c>
      <c r="C490" s="1" t="s">
        <v>245</v>
      </c>
      <c r="D490" s="1" t="s">
        <v>719</v>
      </c>
      <c r="E490" s="1" t="s">
        <v>30</v>
      </c>
      <c r="F490" s="1" t="s">
        <v>23</v>
      </c>
      <c r="G490" s="1" t="s">
        <v>61</v>
      </c>
      <c r="I490">
        <f>IF(Table1[[#This Row],[Claim_Amount]]&lt;0,0,Table1[[#This Row],[Claim_Amount]])</f>
        <v>0</v>
      </c>
      <c r="J490" t="str">
        <f>IF(Table1[[#This Row],[Column1]]=0,"",Table1[[#This Row],[Column1]])</f>
        <v/>
      </c>
      <c r="K490" t="s">
        <v>1098</v>
      </c>
      <c r="M490" s="1" t="s">
        <v>17</v>
      </c>
      <c r="N490" s="1" t="s">
        <v>26</v>
      </c>
    </row>
    <row r="491" spans="1:16" ht="15.75" customHeight="1" x14ac:dyDescent="0.35">
      <c r="A491" s="1" t="s">
        <v>215</v>
      </c>
      <c r="D491" s="1" t="s">
        <v>419</v>
      </c>
      <c r="E491" s="1" t="s">
        <v>22</v>
      </c>
      <c r="F491" s="1" t="s">
        <v>53</v>
      </c>
      <c r="I491">
        <f>IF(Table1[[#This Row],[Claim_Amount]]&lt;0,0,Table1[[#This Row],[Claim_Amount]])</f>
        <v>0</v>
      </c>
      <c r="J491" t="str">
        <f>IF(Table1[[#This Row],[Column1]]=0,"",Table1[[#This Row],[Column1]])</f>
        <v/>
      </c>
      <c r="K491" t="s">
        <v>1098</v>
      </c>
      <c r="M491" s="1" t="s">
        <v>42</v>
      </c>
      <c r="N491" s="1" t="s">
        <v>18</v>
      </c>
      <c r="P491" s="1" t="s">
        <v>19</v>
      </c>
    </row>
    <row r="492" spans="1:16" ht="15.75" customHeight="1" x14ac:dyDescent="0.35">
      <c r="A492" s="1" t="s">
        <v>249</v>
      </c>
      <c r="C492" s="1" t="s">
        <v>592</v>
      </c>
      <c r="D492" s="1" t="s">
        <v>289</v>
      </c>
      <c r="E492" s="1" t="s">
        <v>85</v>
      </c>
      <c r="F492" s="1" t="s">
        <v>53</v>
      </c>
      <c r="H492" s="1">
        <v>79.91</v>
      </c>
      <c r="I492" s="1">
        <f>IF(Table1[[#This Row],[Claim_Amount]]&lt;0,0,Table1[[#This Row],[Claim_Amount]])</f>
        <v>79.91</v>
      </c>
      <c r="J492" s="1">
        <f>IF(Table1[[#This Row],[Column1]]=0,"",Table1[[#This Row],[Column1]])</f>
        <v>79.91</v>
      </c>
      <c r="K492" s="1">
        <v>79.91</v>
      </c>
      <c r="L492" s="1">
        <v>4770.62</v>
      </c>
      <c r="M492" s="1" t="s">
        <v>17</v>
      </c>
      <c r="N492" s="1" t="s">
        <v>18</v>
      </c>
      <c r="O492" s="1">
        <v>8</v>
      </c>
      <c r="P492" s="1" t="s">
        <v>65</v>
      </c>
    </row>
    <row r="493" spans="1:16" ht="15.75" customHeight="1" x14ac:dyDescent="0.35">
      <c r="A493" s="1" t="s">
        <v>66</v>
      </c>
      <c r="B493" s="1" t="s">
        <v>720</v>
      </c>
      <c r="C493" s="1" t="s">
        <v>453</v>
      </c>
      <c r="D493" s="1" t="s">
        <v>721</v>
      </c>
      <c r="E493" s="1" t="s">
        <v>35</v>
      </c>
      <c r="F493" s="1" t="s">
        <v>93</v>
      </c>
      <c r="G493" s="1" t="s">
        <v>24</v>
      </c>
      <c r="I493">
        <f>IF(Table1[[#This Row],[Claim_Amount]]&lt;0,0,Table1[[#This Row],[Claim_Amount]])</f>
        <v>0</v>
      </c>
      <c r="J493" t="str">
        <f>IF(Table1[[#This Row],[Column1]]=0,"",Table1[[#This Row],[Column1]])</f>
        <v/>
      </c>
      <c r="K493" t="s">
        <v>1098</v>
      </c>
      <c r="M493" s="1" t="s">
        <v>121</v>
      </c>
      <c r="N493" s="1" t="s">
        <v>18</v>
      </c>
      <c r="P493" s="1" t="s">
        <v>19</v>
      </c>
    </row>
    <row r="494" spans="1:16" ht="15.75" customHeight="1" x14ac:dyDescent="0.35">
      <c r="A494" s="1" t="s">
        <v>242</v>
      </c>
      <c r="D494" s="1" t="s">
        <v>722</v>
      </c>
      <c r="E494" s="1" t="s">
        <v>35</v>
      </c>
      <c r="F494" s="1" t="s">
        <v>53</v>
      </c>
      <c r="G494" s="1" t="s">
        <v>24</v>
      </c>
      <c r="H494" s="1">
        <v>4107.04</v>
      </c>
      <c r="I494" s="1">
        <f>IF(Table1[[#This Row],[Claim_Amount]]&lt;0,0,Table1[[#This Row],[Claim_Amount]])</f>
        <v>4107.04</v>
      </c>
      <c r="J494" s="1">
        <f>IF(Table1[[#This Row],[Column1]]=0,"",Table1[[#This Row],[Column1]])</f>
        <v>4107.04</v>
      </c>
      <c r="K494" s="1">
        <v>4107.04</v>
      </c>
      <c r="M494" s="1" t="s">
        <v>25</v>
      </c>
      <c r="N494" s="1" t="s">
        <v>32</v>
      </c>
      <c r="P494" s="1" t="s">
        <v>65</v>
      </c>
    </row>
    <row r="495" spans="1:16" ht="15.75" customHeight="1" x14ac:dyDescent="0.35">
      <c r="A495" s="1" t="s">
        <v>20</v>
      </c>
      <c r="B495" s="1" t="s">
        <v>270</v>
      </c>
      <c r="D495" s="1" t="s">
        <v>723</v>
      </c>
      <c r="E495" s="1" t="s">
        <v>77</v>
      </c>
      <c r="F495" s="1" t="s">
        <v>47</v>
      </c>
      <c r="G495" s="1" t="s">
        <v>54</v>
      </c>
      <c r="I495">
        <f>IF(Table1[[#This Row],[Claim_Amount]]&lt;0,0,Table1[[#This Row],[Claim_Amount]])</f>
        <v>0</v>
      </c>
      <c r="J495" t="str">
        <f>IF(Table1[[#This Row],[Column1]]=0,"",Table1[[#This Row],[Column1]])</f>
        <v/>
      </c>
      <c r="K495" t="s">
        <v>1098</v>
      </c>
      <c r="L495" s="1">
        <v>3588.57</v>
      </c>
      <c r="M495" s="1" t="s">
        <v>17</v>
      </c>
      <c r="N495" s="1" t="s">
        <v>18</v>
      </c>
      <c r="O495" s="1">
        <v>0</v>
      </c>
    </row>
    <row r="496" spans="1:16" ht="15.75" customHeight="1" x14ac:dyDescent="0.35">
      <c r="A496" s="1" t="s">
        <v>168</v>
      </c>
      <c r="D496" s="1" t="s">
        <v>724</v>
      </c>
      <c r="E496" s="1" t="s">
        <v>77</v>
      </c>
      <c r="F496" s="1" t="s">
        <v>31</v>
      </c>
      <c r="H496" s="1">
        <v>-28</v>
      </c>
      <c r="I496" s="1">
        <f>IF(Table1[[#This Row],[Claim_Amount]]&lt;0,0,Table1[[#This Row],[Claim_Amount]])</f>
        <v>0</v>
      </c>
      <c r="J496" s="1" t="str">
        <f>IF(Table1[[#This Row],[Column1]]=0,"",Table1[[#This Row],[Column1]])</f>
        <v/>
      </c>
      <c r="K496" s="1" t="s">
        <v>1098</v>
      </c>
      <c r="L496" s="1">
        <v>4430.75</v>
      </c>
      <c r="M496" s="1" t="s">
        <v>121</v>
      </c>
      <c r="N496" s="1" t="s">
        <v>57</v>
      </c>
      <c r="O496" s="1">
        <v>10</v>
      </c>
      <c r="P496" s="1" t="s">
        <v>37</v>
      </c>
    </row>
    <row r="497" spans="1:16" ht="15.75" customHeight="1" x14ac:dyDescent="0.35">
      <c r="A497" s="1" t="s">
        <v>247</v>
      </c>
      <c r="D497" s="1" t="s">
        <v>725</v>
      </c>
      <c r="E497" s="1" t="s">
        <v>16</v>
      </c>
      <c r="G497" s="1" t="s">
        <v>48</v>
      </c>
      <c r="I497">
        <f>IF(Table1[[#This Row],[Claim_Amount]]&lt;0,0,Table1[[#This Row],[Claim_Amount]])</f>
        <v>0</v>
      </c>
      <c r="J497" t="str">
        <f>IF(Table1[[#This Row],[Column1]]=0,"",Table1[[#This Row],[Column1]])</f>
        <v/>
      </c>
      <c r="K497" t="s">
        <v>1098</v>
      </c>
      <c r="L497" s="1">
        <v>1249.6500000000001</v>
      </c>
      <c r="M497" s="1" t="s">
        <v>42</v>
      </c>
      <c r="N497" s="1" t="s">
        <v>26</v>
      </c>
      <c r="P497" s="1" t="s">
        <v>65</v>
      </c>
    </row>
    <row r="498" spans="1:16" ht="15.75" customHeight="1" x14ac:dyDescent="0.35">
      <c r="A498" s="1" t="s">
        <v>247</v>
      </c>
      <c r="C498" s="1" t="s">
        <v>135</v>
      </c>
      <c r="D498" s="1" t="s">
        <v>726</v>
      </c>
      <c r="E498" s="1" t="s">
        <v>35</v>
      </c>
      <c r="F498" s="1" t="s">
        <v>93</v>
      </c>
      <c r="G498" s="1" t="s">
        <v>61</v>
      </c>
      <c r="H498" s="1">
        <v>-33</v>
      </c>
      <c r="I498" s="1">
        <f>IF(Table1[[#This Row],[Claim_Amount]]&lt;0,0,Table1[[#This Row],[Claim_Amount]])</f>
        <v>0</v>
      </c>
      <c r="J498" s="1" t="str">
        <f>IF(Table1[[#This Row],[Column1]]=0,"",Table1[[#This Row],[Column1]])</f>
        <v/>
      </c>
      <c r="K498" s="1" t="s">
        <v>1098</v>
      </c>
      <c r="M498" s="1" t="s">
        <v>25</v>
      </c>
      <c r="N498" s="1" t="s">
        <v>57</v>
      </c>
      <c r="O498" s="1">
        <v>58</v>
      </c>
      <c r="P498" s="1" t="s">
        <v>37</v>
      </c>
    </row>
    <row r="499" spans="1:16" ht="15.75" customHeight="1" x14ac:dyDescent="0.35">
      <c r="A499" s="1" t="s">
        <v>132</v>
      </c>
      <c r="D499" s="1" t="s">
        <v>727</v>
      </c>
      <c r="E499" s="1" t="s">
        <v>30</v>
      </c>
      <c r="F499" s="1" t="s">
        <v>31</v>
      </c>
      <c r="H499" s="1">
        <v>2087.46</v>
      </c>
      <c r="I499" s="1">
        <f>IF(Table1[[#This Row],[Claim_Amount]]&lt;0,0,Table1[[#This Row],[Claim_Amount]])</f>
        <v>2087.46</v>
      </c>
      <c r="J499" s="1">
        <f>IF(Table1[[#This Row],[Column1]]=0,"",Table1[[#This Row],[Column1]])</f>
        <v>2087.46</v>
      </c>
      <c r="K499" s="1">
        <v>2087.46</v>
      </c>
      <c r="M499" s="1" t="s">
        <v>42</v>
      </c>
      <c r="N499" s="1" t="s">
        <v>18</v>
      </c>
      <c r="P499" s="1" t="s">
        <v>65</v>
      </c>
    </row>
    <row r="500" spans="1:16" ht="15.75" customHeight="1" x14ac:dyDescent="0.35">
      <c r="A500" s="1" t="s">
        <v>148</v>
      </c>
      <c r="C500" s="1" t="s">
        <v>414</v>
      </c>
      <c r="D500" s="1" t="s">
        <v>728</v>
      </c>
      <c r="E500" s="1" t="s">
        <v>16</v>
      </c>
      <c r="G500" s="1" t="s">
        <v>48</v>
      </c>
      <c r="I500">
        <f>IF(Table1[[#This Row],[Claim_Amount]]&lt;0,0,Table1[[#This Row],[Claim_Amount]])</f>
        <v>0</v>
      </c>
      <c r="J500" t="str">
        <f>IF(Table1[[#This Row],[Column1]]=0,"",Table1[[#This Row],[Column1]])</f>
        <v/>
      </c>
      <c r="K500" t="s">
        <v>1098</v>
      </c>
      <c r="L500" s="1">
        <v>3678.56</v>
      </c>
      <c r="M500" s="1" t="s">
        <v>17</v>
      </c>
      <c r="N500" s="1" t="s">
        <v>32</v>
      </c>
      <c r="P500" s="1" t="s">
        <v>65</v>
      </c>
    </row>
    <row r="501" spans="1:16" ht="15.75" customHeight="1" x14ac:dyDescent="0.35">
      <c r="A501" s="1" t="s">
        <v>212</v>
      </c>
      <c r="B501" s="1" t="s">
        <v>427</v>
      </c>
      <c r="C501" s="1" t="s">
        <v>613</v>
      </c>
      <c r="D501" s="1" t="s">
        <v>729</v>
      </c>
      <c r="E501" s="1" t="s">
        <v>85</v>
      </c>
      <c r="F501" s="1" t="s">
        <v>23</v>
      </c>
      <c r="I501">
        <f>IF(Table1[[#This Row],[Claim_Amount]]&lt;0,0,Table1[[#This Row],[Claim_Amount]])</f>
        <v>0</v>
      </c>
      <c r="J501" t="str">
        <f>IF(Table1[[#This Row],[Column1]]=0,"",Table1[[#This Row],[Column1]])</f>
        <v/>
      </c>
      <c r="K501" t="s">
        <v>1098</v>
      </c>
      <c r="M501" s="1" t="s">
        <v>121</v>
      </c>
      <c r="N501" s="1" t="s">
        <v>57</v>
      </c>
      <c r="P501" s="1" t="s">
        <v>65</v>
      </c>
    </row>
    <row r="502" spans="1:16" ht="15.75" customHeight="1" x14ac:dyDescent="0.35">
      <c r="A502" s="1" t="s">
        <v>96</v>
      </c>
      <c r="B502" s="1" t="s">
        <v>237</v>
      </c>
      <c r="C502" s="1" t="s">
        <v>80</v>
      </c>
      <c r="D502" s="1" t="s">
        <v>585</v>
      </c>
      <c r="E502" s="1" t="s">
        <v>30</v>
      </c>
      <c r="F502" s="1" t="s">
        <v>93</v>
      </c>
      <c r="G502" s="1" t="s">
        <v>48</v>
      </c>
      <c r="H502" s="1">
        <v>2451.71</v>
      </c>
      <c r="I502" s="1">
        <f>IF(Table1[[#This Row],[Claim_Amount]]&lt;0,0,Table1[[#This Row],[Claim_Amount]])</f>
        <v>2451.71</v>
      </c>
      <c r="J502" s="1">
        <f>IF(Table1[[#This Row],[Column1]]=0,"",Table1[[#This Row],[Column1]])</f>
        <v>2451.71</v>
      </c>
      <c r="K502" s="1">
        <v>2451.71</v>
      </c>
      <c r="L502" s="1">
        <v>352.23</v>
      </c>
      <c r="M502" s="1" t="s">
        <v>36</v>
      </c>
      <c r="N502" s="1" t="s">
        <v>26</v>
      </c>
      <c r="O502" s="1">
        <v>6</v>
      </c>
    </row>
    <row r="503" spans="1:16" ht="15.75" customHeight="1" x14ac:dyDescent="0.35">
      <c r="A503" s="1" t="s">
        <v>179</v>
      </c>
      <c r="D503" s="1" t="s">
        <v>127</v>
      </c>
      <c r="E503" s="1" t="s">
        <v>77</v>
      </c>
      <c r="F503" s="1" t="s">
        <v>31</v>
      </c>
      <c r="G503" s="1" t="s">
        <v>41</v>
      </c>
      <c r="I503">
        <f>IF(Table1[[#This Row],[Claim_Amount]]&lt;0,0,Table1[[#This Row],[Claim_Amount]])</f>
        <v>0</v>
      </c>
      <c r="J503" t="str">
        <f>IF(Table1[[#This Row],[Column1]]=0,"",Table1[[#This Row],[Column1]])</f>
        <v/>
      </c>
      <c r="K503" t="s">
        <v>1098</v>
      </c>
      <c r="M503" s="1" t="s">
        <v>121</v>
      </c>
      <c r="N503" s="1" t="s">
        <v>49</v>
      </c>
      <c r="O503" s="1">
        <v>39</v>
      </c>
      <c r="P503" s="1" t="s">
        <v>27</v>
      </c>
    </row>
    <row r="504" spans="1:16" ht="15.75" customHeight="1" x14ac:dyDescent="0.35">
      <c r="A504" s="1" t="s">
        <v>114</v>
      </c>
      <c r="B504" s="1" t="s">
        <v>351</v>
      </c>
      <c r="D504" s="1" t="s">
        <v>607</v>
      </c>
      <c r="E504" s="1" t="s">
        <v>22</v>
      </c>
      <c r="F504" s="1" t="s">
        <v>47</v>
      </c>
      <c r="G504" s="1" t="s">
        <v>41</v>
      </c>
      <c r="I504">
        <f>IF(Table1[[#This Row],[Claim_Amount]]&lt;0,0,Table1[[#This Row],[Claim_Amount]])</f>
        <v>0</v>
      </c>
      <c r="J504" t="str">
        <f>IF(Table1[[#This Row],[Column1]]=0,"",Table1[[#This Row],[Column1]])</f>
        <v/>
      </c>
      <c r="K504" t="s">
        <v>1098</v>
      </c>
      <c r="M504" s="1" t="s">
        <v>121</v>
      </c>
      <c r="N504" s="1" t="s">
        <v>57</v>
      </c>
      <c r="P504" s="1" t="s">
        <v>65</v>
      </c>
    </row>
    <row r="505" spans="1:16" ht="15.75" customHeight="1" x14ac:dyDescent="0.35">
      <c r="A505" s="1" t="s">
        <v>89</v>
      </c>
      <c r="D505" s="1" t="s">
        <v>633</v>
      </c>
      <c r="E505" s="1" t="s">
        <v>85</v>
      </c>
      <c r="F505" s="1" t="s">
        <v>47</v>
      </c>
      <c r="G505" s="1" t="s">
        <v>48</v>
      </c>
      <c r="H505" s="1">
        <v>2030.82</v>
      </c>
      <c r="I505" s="1">
        <f>IF(Table1[[#This Row],[Claim_Amount]]&lt;0,0,Table1[[#This Row],[Claim_Amount]])</f>
        <v>2030.82</v>
      </c>
      <c r="J505" s="1">
        <f>IF(Table1[[#This Row],[Column1]]=0,"",Table1[[#This Row],[Column1]])</f>
        <v>2030.82</v>
      </c>
      <c r="K505" s="1">
        <v>2030.82</v>
      </c>
      <c r="M505" s="1" t="s">
        <v>25</v>
      </c>
      <c r="N505" s="1" t="s">
        <v>49</v>
      </c>
      <c r="P505" s="1" t="s">
        <v>65</v>
      </c>
    </row>
    <row r="506" spans="1:16" ht="15.75" customHeight="1" x14ac:dyDescent="0.35">
      <c r="A506" s="1" t="s">
        <v>137</v>
      </c>
      <c r="C506" s="1" t="s">
        <v>156</v>
      </c>
      <c r="D506" s="1" t="s">
        <v>240</v>
      </c>
      <c r="E506" s="1" t="s">
        <v>22</v>
      </c>
      <c r="G506" s="1" t="s">
        <v>54</v>
      </c>
      <c r="I506">
        <f>IF(Table1[[#This Row],[Claim_Amount]]&lt;0,0,Table1[[#This Row],[Claim_Amount]])</f>
        <v>0</v>
      </c>
      <c r="J506" t="str">
        <f>IF(Table1[[#This Row],[Column1]]=0,"",Table1[[#This Row],[Column1]])</f>
        <v/>
      </c>
      <c r="K506" t="s">
        <v>1098</v>
      </c>
      <c r="L506" s="1">
        <v>4487.22</v>
      </c>
      <c r="M506" s="1" t="s">
        <v>121</v>
      </c>
      <c r="N506" s="1" t="s">
        <v>57</v>
      </c>
      <c r="O506" s="1">
        <v>15</v>
      </c>
      <c r="P506" s="1" t="s">
        <v>65</v>
      </c>
    </row>
    <row r="507" spans="1:16" ht="15.75" customHeight="1" x14ac:dyDescent="0.35">
      <c r="A507" s="1" t="s">
        <v>132</v>
      </c>
      <c r="C507" s="1" t="s">
        <v>592</v>
      </c>
      <c r="D507" s="1" t="s">
        <v>120</v>
      </c>
      <c r="E507" s="1" t="s">
        <v>92</v>
      </c>
      <c r="F507" s="1" t="s">
        <v>53</v>
      </c>
      <c r="G507" s="1" t="s">
        <v>41</v>
      </c>
      <c r="H507" s="1">
        <v>-75</v>
      </c>
      <c r="I507" s="1">
        <f>IF(Table1[[#This Row],[Claim_Amount]]&lt;0,0,Table1[[#This Row],[Claim_Amount]])</f>
        <v>0</v>
      </c>
      <c r="J507" s="1" t="str">
        <f>IF(Table1[[#This Row],[Column1]]=0,"",Table1[[#This Row],[Column1]])</f>
        <v/>
      </c>
      <c r="K507" s="1" t="s">
        <v>1098</v>
      </c>
      <c r="M507" s="1" t="s">
        <v>25</v>
      </c>
      <c r="N507" s="1" t="s">
        <v>18</v>
      </c>
      <c r="P507" s="1" t="s">
        <v>37</v>
      </c>
    </row>
    <row r="508" spans="1:16" ht="15.75" customHeight="1" x14ac:dyDescent="0.35">
      <c r="A508" s="1" t="s">
        <v>96</v>
      </c>
      <c r="C508" s="1" t="s">
        <v>581</v>
      </c>
      <c r="D508" s="1" t="s">
        <v>730</v>
      </c>
      <c r="E508" s="1" t="s">
        <v>35</v>
      </c>
      <c r="H508" s="1">
        <v>-174</v>
      </c>
      <c r="I508" s="1">
        <f>IF(Table1[[#This Row],[Claim_Amount]]&lt;0,0,Table1[[#This Row],[Claim_Amount]])</f>
        <v>0</v>
      </c>
      <c r="J508" s="1" t="str">
        <f>IF(Table1[[#This Row],[Column1]]=0,"",Table1[[#This Row],[Column1]])</f>
        <v/>
      </c>
      <c r="K508" s="1" t="s">
        <v>1098</v>
      </c>
      <c r="L508" s="1">
        <v>4051.82</v>
      </c>
      <c r="M508" s="1" t="s">
        <v>42</v>
      </c>
      <c r="N508" s="1" t="s">
        <v>26</v>
      </c>
      <c r="O508" s="1">
        <v>18</v>
      </c>
      <c r="P508" s="1" t="s">
        <v>19</v>
      </c>
    </row>
    <row r="509" spans="1:16" ht="15.75" customHeight="1" x14ac:dyDescent="0.35">
      <c r="A509" s="1" t="s">
        <v>96</v>
      </c>
      <c r="C509" s="1" t="s">
        <v>463</v>
      </c>
      <c r="D509" s="1" t="s">
        <v>731</v>
      </c>
      <c r="E509" s="1" t="s">
        <v>22</v>
      </c>
      <c r="F509" s="1" t="s">
        <v>31</v>
      </c>
      <c r="G509" s="1" t="s">
        <v>48</v>
      </c>
      <c r="I509">
        <f>IF(Table1[[#This Row],[Claim_Amount]]&lt;0,0,Table1[[#This Row],[Claim_Amount]])</f>
        <v>0</v>
      </c>
      <c r="J509" t="str">
        <f>IF(Table1[[#This Row],[Column1]]=0,"",Table1[[#This Row],[Column1]])</f>
        <v/>
      </c>
      <c r="K509" t="s">
        <v>1098</v>
      </c>
      <c r="M509" s="1" t="s">
        <v>17</v>
      </c>
      <c r="N509" s="1" t="s">
        <v>49</v>
      </c>
      <c r="P509" s="1" t="s">
        <v>27</v>
      </c>
    </row>
    <row r="510" spans="1:16" ht="15.75" customHeight="1" x14ac:dyDescent="0.35">
      <c r="A510" s="1" t="s">
        <v>275</v>
      </c>
      <c r="C510" s="1" t="s">
        <v>378</v>
      </c>
      <c r="D510" s="1" t="s">
        <v>732</v>
      </c>
      <c r="E510" s="1" t="s">
        <v>22</v>
      </c>
      <c r="F510" s="1" t="s">
        <v>53</v>
      </c>
      <c r="G510" s="1" t="s">
        <v>41</v>
      </c>
      <c r="I510">
        <f>IF(Table1[[#This Row],[Claim_Amount]]&lt;0,0,Table1[[#This Row],[Claim_Amount]])</f>
        <v>0</v>
      </c>
      <c r="J510" t="str">
        <f>IF(Table1[[#This Row],[Column1]]=0,"",Table1[[#This Row],[Column1]])</f>
        <v/>
      </c>
      <c r="K510" t="s">
        <v>1098</v>
      </c>
      <c r="M510" s="1" t="s">
        <v>17</v>
      </c>
      <c r="N510" s="1" t="s">
        <v>57</v>
      </c>
      <c r="O510" s="1">
        <v>18</v>
      </c>
      <c r="P510" s="1" t="s">
        <v>19</v>
      </c>
    </row>
    <row r="511" spans="1:16" ht="15.75" customHeight="1" x14ac:dyDescent="0.35">
      <c r="A511" s="1" t="s">
        <v>154</v>
      </c>
      <c r="C511" s="1" t="s">
        <v>613</v>
      </c>
      <c r="D511" s="1" t="s">
        <v>649</v>
      </c>
      <c r="E511" s="1" t="s">
        <v>35</v>
      </c>
      <c r="F511" s="1" t="s">
        <v>93</v>
      </c>
      <c r="G511" s="1" t="s">
        <v>48</v>
      </c>
      <c r="H511" s="1">
        <v>1492.9</v>
      </c>
      <c r="I511" s="1">
        <f>IF(Table1[[#This Row],[Claim_Amount]]&lt;0,0,Table1[[#This Row],[Claim_Amount]])</f>
        <v>1492.9</v>
      </c>
      <c r="J511" s="1">
        <f>IF(Table1[[#This Row],[Column1]]=0,"",Table1[[#This Row],[Column1]])</f>
        <v>1492.9</v>
      </c>
      <c r="K511" s="1">
        <v>1492.9</v>
      </c>
      <c r="M511" s="1" t="s">
        <v>17</v>
      </c>
      <c r="N511" s="1" t="s">
        <v>18</v>
      </c>
      <c r="P511" s="1" t="s">
        <v>65</v>
      </c>
    </row>
    <row r="512" spans="1:16" ht="15.75" customHeight="1" x14ac:dyDescent="0.35">
      <c r="A512" s="1" t="s">
        <v>321</v>
      </c>
      <c r="B512" s="1" t="s">
        <v>733</v>
      </c>
      <c r="C512" s="1" t="s">
        <v>509</v>
      </c>
      <c r="D512" s="1" t="s">
        <v>734</v>
      </c>
      <c r="E512" s="1" t="s">
        <v>22</v>
      </c>
      <c r="F512" s="1" t="s">
        <v>93</v>
      </c>
      <c r="G512" s="1" t="s">
        <v>61</v>
      </c>
      <c r="H512" s="1">
        <v>-96</v>
      </c>
      <c r="I512" s="1">
        <f>IF(Table1[[#This Row],[Claim_Amount]]&lt;0,0,Table1[[#This Row],[Claim_Amount]])</f>
        <v>0</v>
      </c>
      <c r="J512" s="1" t="str">
        <f>IF(Table1[[#This Row],[Column1]]=0,"",Table1[[#This Row],[Column1]])</f>
        <v/>
      </c>
      <c r="K512" s="1" t="s">
        <v>1098</v>
      </c>
      <c r="M512" s="1" t="s">
        <v>121</v>
      </c>
      <c r="N512" s="1" t="s">
        <v>49</v>
      </c>
      <c r="P512" s="1" t="s">
        <v>27</v>
      </c>
    </row>
    <row r="513" spans="1:16" ht="15.75" customHeight="1" x14ac:dyDescent="0.35">
      <c r="A513" s="1" t="s">
        <v>261</v>
      </c>
      <c r="B513" s="1" t="s">
        <v>735</v>
      </c>
      <c r="D513" s="1" t="s">
        <v>736</v>
      </c>
      <c r="E513" s="1" t="s">
        <v>22</v>
      </c>
      <c r="F513" s="1" t="s">
        <v>23</v>
      </c>
      <c r="I513">
        <f>IF(Table1[[#This Row],[Claim_Amount]]&lt;0,0,Table1[[#This Row],[Claim_Amount]])</f>
        <v>0</v>
      </c>
      <c r="J513" t="str">
        <f>IF(Table1[[#This Row],[Column1]]=0,"",Table1[[#This Row],[Column1]])</f>
        <v/>
      </c>
      <c r="K513" t="s">
        <v>1098</v>
      </c>
      <c r="M513" s="1" t="s">
        <v>121</v>
      </c>
      <c r="N513" s="1" t="s">
        <v>32</v>
      </c>
      <c r="O513" s="1">
        <v>57</v>
      </c>
      <c r="P513" s="1" t="s">
        <v>65</v>
      </c>
    </row>
    <row r="514" spans="1:16" ht="15.75" customHeight="1" x14ac:dyDescent="0.35">
      <c r="A514" s="1" t="s">
        <v>187</v>
      </c>
      <c r="B514" s="1" t="s">
        <v>737</v>
      </c>
      <c r="C514" s="1" t="s">
        <v>278</v>
      </c>
      <c r="D514" s="1" t="s">
        <v>551</v>
      </c>
      <c r="E514" s="1" t="s">
        <v>22</v>
      </c>
      <c r="F514" s="1" t="s">
        <v>93</v>
      </c>
      <c r="G514" s="1" t="s">
        <v>48</v>
      </c>
      <c r="I514">
        <f>IF(Table1[[#This Row],[Claim_Amount]]&lt;0,0,Table1[[#This Row],[Claim_Amount]])</f>
        <v>0</v>
      </c>
      <c r="J514" t="str">
        <f>IF(Table1[[#This Row],[Column1]]=0,"",Table1[[#This Row],[Column1]])</f>
        <v/>
      </c>
      <c r="K514" t="s">
        <v>1098</v>
      </c>
      <c r="L514" s="1">
        <v>4633.63</v>
      </c>
      <c r="M514" s="1" t="s">
        <v>42</v>
      </c>
      <c r="N514" s="1" t="s">
        <v>49</v>
      </c>
      <c r="O514" s="1">
        <v>11</v>
      </c>
      <c r="P514" s="1" t="s">
        <v>19</v>
      </c>
    </row>
    <row r="515" spans="1:16" ht="15.75" customHeight="1" x14ac:dyDescent="0.35">
      <c r="A515" s="1" t="s">
        <v>163</v>
      </c>
      <c r="D515" s="1" t="s">
        <v>265</v>
      </c>
      <c r="E515" s="1" t="s">
        <v>16</v>
      </c>
      <c r="F515" s="1" t="s">
        <v>23</v>
      </c>
      <c r="G515" s="1" t="s">
        <v>24</v>
      </c>
      <c r="I515">
        <f>IF(Table1[[#This Row],[Claim_Amount]]&lt;0,0,Table1[[#This Row],[Claim_Amount]])</f>
        <v>0</v>
      </c>
      <c r="J515" t="str">
        <f>IF(Table1[[#This Row],[Column1]]=0,"",Table1[[#This Row],[Column1]])</f>
        <v/>
      </c>
      <c r="K515" t="s">
        <v>1098</v>
      </c>
      <c r="M515" s="1" t="s">
        <v>25</v>
      </c>
      <c r="N515" s="1" t="s">
        <v>49</v>
      </c>
      <c r="P515" s="1" t="s">
        <v>37</v>
      </c>
    </row>
    <row r="516" spans="1:16" ht="15.75" customHeight="1" x14ac:dyDescent="0.35">
      <c r="A516" s="1" t="s">
        <v>38</v>
      </c>
      <c r="D516" s="1" t="s">
        <v>738</v>
      </c>
      <c r="E516" s="1" t="s">
        <v>16</v>
      </c>
      <c r="F516" s="1" t="s">
        <v>53</v>
      </c>
      <c r="I516">
        <f>IF(Table1[[#This Row],[Claim_Amount]]&lt;0,0,Table1[[#This Row],[Claim_Amount]])</f>
        <v>0</v>
      </c>
      <c r="J516" t="str">
        <f>IF(Table1[[#This Row],[Column1]]=0,"",Table1[[#This Row],[Column1]])</f>
        <v/>
      </c>
      <c r="K516" t="s">
        <v>1098</v>
      </c>
      <c r="M516" s="1" t="s">
        <v>36</v>
      </c>
      <c r="N516" s="1" t="s">
        <v>49</v>
      </c>
      <c r="P516" s="1" t="s">
        <v>19</v>
      </c>
    </row>
    <row r="517" spans="1:16" ht="15.75" customHeight="1" x14ac:dyDescent="0.35">
      <c r="A517" s="1" t="s">
        <v>179</v>
      </c>
      <c r="B517" s="1" t="s">
        <v>347</v>
      </c>
      <c r="D517" s="1" t="s">
        <v>662</v>
      </c>
      <c r="E517" s="1" t="s">
        <v>30</v>
      </c>
      <c r="F517" s="1" t="s">
        <v>93</v>
      </c>
      <c r="G517" s="1" t="s">
        <v>61</v>
      </c>
      <c r="I517">
        <f>IF(Table1[[#This Row],[Claim_Amount]]&lt;0,0,Table1[[#This Row],[Claim_Amount]])</f>
        <v>0</v>
      </c>
      <c r="J517" t="str">
        <f>IF(Table1[[#This Row],[Column1]]=0,"",Table1[[#This Row],[Column1]])</f>
        <v/>
      </c>
      <c r="K517" t="s">
        <v>1098</v>
      </c>
      <c r="M517" s="1" t="s">
        <v>25</v>
      </c>
      <c r="N517" s="1" t="s">
        <v>49</v>
      </c>
    </row>
    <row r="518" spans="1:16" ht="15.75" customHeight="1" x14ac:dyDescent="0.35">
      <c r="A518" s="1" t="s">
        <v>117</v>
      </c>
      <c r="C518" s="1" t="s">
        <v>221</v>
      </c>
      <c r="D518" s="1" t="s">
        <v>739</v>
      </c>
      <c r="E518" s="1" t="s">
        <v>22</v>
      </c>
      <c r="F518" s="1" t="s">
        <v>47</v>
      </c>
      <c r="H518" s="1">
        <v>-152</v>
      </c>
      <c r="I518" s="1">
        <f>IF(Table1[[#This Row],[Claim_Amount]]&lt;0,0,Table1[[#This Row],[Claim_Amount]])</f>
        <v>0</v>
      </c>
      <c r="J518" s="1" t="str">
        <f>IF(Table1[[#This Row],[Column1]]=0,"",Table1[[#This Row],[Column1]])</f>
        <v/>
      </c>
      <c r="K518" s="1" t="s">
        <v>1098</v>
      </c>
      <c r="L518" s="1">
        <v>4012.54</v>
      </c>
      <c r="M518" s="1" t="s">
        <v>25</v>
      </c>
      <c r="N518" s="1" t="s">
        <v>18</v>
      </c>
      <c r="O518" s="1">
        <v>36</v>
      </c>
      <c r="P518" s="1" t="s">
        <v>65</v>
      </c>
    </row>
    <row r="519" spans="1:16" ht="15.75" customHeight="1" x14ac:dyDescent="0.35">
      <c r="A519" s="1" t="s">
        <v>96</v>
      </c>
      <c r="C519" s="1" t="s">
        <v>63</v>
      </c>
      <c r="D519" s="1" t="s">
        <v>740</v>
      </c>
      <c r="E519" s="1" t="s">
        <v>92</v>
      </c>
      <c r="F519" s="1" t="s">
        <v>47</v>
      </c>
      <c r="G519" s="1" t="s">
        <v>24</v>
      </c>
      <c r="H519" s="1">
        <v>2144.1</v>
      </c>
      <c r="I519" s="1">
        <f>IF(Table1[[#This Row],[Claim_Amount]]&lt;0,0,Table1[[#This Row],[Claim_Amount]])</f>
        <v>2144.1</v>
      </c>
      <c r="J519" s="1">
        <f>IF(Table1[[#This Row],[Column1]]=0,"",Table1[[#This Row],[Column1]])</f>
        <v>2144.1</v>
      </c>
      <c r="K519" s="1">
        <v>2144.1</v>
      </c>
      <c r="L519" s="1">
        <v>1279.27</v>
      </c>
      <c r="M519" s="1" t="s">
        <v>36</v>
      </c>
      <c r="N519" s="1" t="s">
        <v>32</v>
      </c>
      <c r="P519" s="1" t="s">
        <v>37</v>
      </c>
    </row>
    <row r="520" spans="1:16" ht="15.75" customHeight="1" x14ac:dyDescent="0.35">
      <c r="A520" s="1" t="s">
        <v>277</v>
      </c>
      <c r="D520" s="1" t="s">
        <v>113</v>
      </c>
      <c r="E520" s="1" t="s">
        <v>30</v>
      </c>
      <c r="F520" s="1" t="s">
        <v>93</v>
      </c>
      <c r="I520">
        <f>IF(Table1[[#This Row],[Claim_Amount]]&lt;0,0,Table1[[#This Row],[Claim_Amount]])</f>
        <v>0</v>
      </c>
      <c r="J520" t="str">
        <f>IF(Table1[[#This Row],[Column1]]=0,"",Table1[[#This Row],[Column1]])</f>
        <v/>
      </c>
      <c r="K520" t="s">
        <v>1098</v>
      </c>
      <c r="L520" s="1">
        <v>231.83</v>
      </c>
      <c r="M520" s="1" t="s">
        <v>42</v>
      </c>
      <c r="N520" s="1" t="s">
        <v>18</v>
      </c>
    </row>
    <row r="521" spans="1:16" ht="15.75" customHeight="1" x14ac:dyDescent="0.35">
      <c r="A521" s="1" t="s">
        <v>187</v>
      </c>
      <c r="C521" s="1" t="s">
        <v>97</v>
      </c>
      <c r="D521" s="1" t="s">
        <v>741</v>
      </c>
      <c r="E521" s="1" t="s">
        <v>92</v>
      </c>
      <c r="F521" s="1" t="s">
        <v>31</v>
      </c>
      <c r="G521" s="1" t="s">
        <v>48</v>
      </c>
      <c r="H521" s="1">
        <v>-51</v>
      </c>
      <c r="I521" s="1">
        <f>IF(Table1[[#This Row],[Claim_Amount]]&lt;0,0,Table1[[#This Row],[Claim_Amount]])</f>
        <v>0</v>
      </c>
      <c r="J521" s="1" t="str">
        <f>IF(Table1[[#This Row],[Column1]]=0,"",Table1[[#This Row],[Column1]])</f>
        <v/>
      </c>
      <c r="K521" s="1" t="s">
        <v>1098</v>
      </c>
      <c r="M521" s="1" t="s">
        <v>121</v>
      </c>
      <c r="N521" s="1" t="s">
        <v>18</v>
      </c>
      <c r="O521" s="1">
        <v>34</v>
      </c>
      <c r="P521" s="1" t="s">
        <v>19</v>
      </c>
    </row>
    <row r="522" spans="1:16" ht="15.75" customHeight="1" x14ac:dyDescent="0.35">
      <c r="A522" s="1" t="s">
        <v>13</v>
      </c>
      <c r="C522" s="1" t="s">
        <v>308</v>
      </c>
      <c r="D522" s="1" t="s">
        <v>655</v>
      </c>
      <c r="E522" s="1" t="s">
        <v>35</v>
      </c>
      <c r="F522" s="1" t="s">
        <v>47</v>
      </c>
      <c r="G522" s="1" t="s">
        <v>54</v>
      </c>
      <c r="I522">
        <f>IF(Table1[[#This Row],[Claim_Amount]]&lt;0,0,Table1[[#This Row],[Claim_Amount]])</f>
        <v>0</v>
      </c>
      <c r="J522" t="str">
        <f>IF(Table1[[#This Row],[Column1]]=0,"",Table1[[#This Row],[Column1]])</f>
        <v/>
      </c>
      <c r="K522" t="s">
        <v>1098</v>
      </c>
      <c r="M522" s="1" t="s">
        <v>121</v>
      </c>
      <c r="N522" s="1" t="s">
        <v>26</v>
      </c>
      <c r="O522" s="1">
        <v>38</v>
      </c>
      <c r="P522" s="1" t="s">
        <v>19</v>
      </c>
    </row>
    <row r="523" spans="1:16" ht="15.75" customHeight="1" x14ac:dyDescent="0.35">
      <c r="A523" s="1" t="s">
        <v>38</v>
      </c>
      <c r="D523" s="1" t="s">
        <v>742</v>
      </c>
      <c r="E523" s="1" t="s">
        <v>92</v>
      </c>
      <c r="F523" s="1" t="s">
        <v>31</v>
      </c>
      <c r="G523" s="1" t="s">
        <v>41</v>
      </c>
      <c r="I523">
        <f>IF(Table1[[#This Row],[Claim_Amount]]&lt;0,0,Table1[[#This Row],[Claim_Amount]])</f>
        <v>0</v>
      </c>
      <c r="J523" t="str">
        <f>IF(Table1[[#This Row],[Column1]]=0,"",Table1[[#This Row],[Column1]])</f>
        <v/>
      </c>
      <c r="K523" t="s">
        <v>1098</v>
      </c>
      <c r="M523" s="1" t="s">
        <v>17</v>
      </c>
      <c r="N523" s="1" t="s">
        <v>49</v>
      </c>
      <c r="O523" s="1">
        <v>60</v>
      </c>
      <c r="P523" s="1" t="s">
        <v>19</v>
      </c>
    </row>
    <row r="524" spans="1:16" ht="15.75" customHeight="1" x14ac:dyDescent="0.35">
      <c r="A524" s="1" t="s">
        <v>102</v>
      </c>
      <c r="D524" s="1" t="s">
        <v>743</v>
      </c>
      <c r="E524" s="1" t="s">
        <v>30</v>
      </c>
      <c r="F524" s="1" t="s">
        <v>31</v>
      </c>
      <c r="G524" s="1" t="s">
        <v>54</v>
      </c>
      <c r="H524" s="1">
        <v>1391.72</v>
      </c>
      <c r="I524" s="1">
        <f>IF(Table1[[#This Row],[Claim_Amount]]&lt;0,0,Table1[[#This Row],[Claim_Amount]])</f>
        <v>1391.72</v>
      </c>
      <c r="J524" s="1">
        <f>IF(Table1[[#This Row],[Column1]]=0,"",Table1[[#This Row],[Column1]])</f>
        <v>1391.72</v>
      </c>
      <c r="K524" s="1">
        <v>1391.72</v>
      </c>
      <c r="M524" s="1" t="s">
        <v>17</v>
      </c>
      <c r="N524" s="1" t="s">
        <v>32</v>
      </c>
    </row>
    <row r="525" spans="1:16" ht="15.75" customHeight="1" x14ac:dyDescent="0.35">
      <c r="A525" s="1" t="s">
        <v>20</v>
      </c>
      <c r="C525" s="1" t="s">
        <v>642</v>
      </c>
      <c r="D525" s="1" t="s">
        <v>643</v>
      </c>
      <c r="E525" s="1" t="s">
        <v>35</v>
      </c>
      <c r="F525" s="1" t="s">
        <v>93</v>
      </c>
      <c r="I525">
        <f>IF(Table1[[#This Row],[Claim_Amount]]&lt;0,0,Table1[[#This Row],[Claim_Amount]])</f>
        <v>0</v>
      </c>
      <c r="J525" t="str">
        <f>IF(Table1[[#This Row],[Column1]]=0,"",Table1[[#This Row],[Column1]])</f>
        <v/>
      </c>
      <c r="K525" t="s">
        <v>1098</v>
      </c>
      <c r="M525" s="1" t="s">
        <v>42</v>
      </c>
      <c r="N525" s="1" t="s">
        <v>18</v>
      </c>
      <c r="P525" s="1" t="s">
        <v>37</v>
      </c>
    </row>
    <row r="526" spans="1:16" ht="15.75" customHeight="1" x14ac:dyDescent="0.35">
      <c r="A526" s="1" t="s">
        <v>137</v>
      </c>
      <c r="B526" s="1" t="s">
        <v>44</v>
      </c>
      <c r="D526" s="1" t="s">
        <v>744</v>
      </c>
      <c r="E526" s="1" t="s">
        <v>77</v>
      </c>
      <c r="F526" s="1" t="s">
        <v>47</v>
      </c>
      <c r="I526">
        <f>IF(Table1[[#This Row],[Claim_Amount]]&lt;0,0,Table1[[#This Row],[Claim_Amount]])</f>
        <v>0</v>
      </c>
      <c r="J526" t="str">
        <f>IF(Table1[[#This Row],[Column1]]=0,"",Table1[[#This Row],[Column1]])</f>
        <v/>
      </c>
      <c r="K526" t="s">
        <v>1098</v>
      </c>
      <c r="L526" s="1">
        <v>3196.39</v>
      </c>
      <c r="M526" s="1" t="s">
        <v>42</v>
      </c>
      <c r="N526" s="1" t="s">
        <v>49</v>
      </c>
      <c r="P526" s="1" t="s">
        <v>19</v>
      </c>
    </row>
    <row r="527" spans="1:16" ht="15.75" customHeight="1" x14ac:dyDescent="0.35">
      <c r="A527" s="1" t="s">
        <v>13</v>
      </c>
      <c r="B527" s="1" t="s">
        <v>745</v>
      </c>
      <c r="C527" s="1" t="s">
        <v>183</v>
      </c>
      <c r="D527" s="1" t="s">
        <v>470</v>
      </c>
      <c r="E527" s="1" t="s">
        <v>16</v>
      </c>
      <c r="G527" s="1" t="s">
        <v>41</v>
      </c>
      <c r="H527" s="1">
        <v>2793.09</v>
      </c>
      <c r="I527" s="1">
        <f>IF(Table1[[#This Row],[Claim_Amount]]&lt;0,0,Table1[[#This Row],[Claim_Amount]])</f>
        <v>2793.09</v>
      </c>
      <c r="J527" s="1">
        <f>IF(Table1[[#This Row],[Column1]]=0,"",Table1[[#This Row],[Column1]])</f>
        <v>2793.09</v>
      </c>
      <c r="K527" s="1">
        <v>2793.09</v>
      </c>
      <c r="M527" s="1" t="s">
        <v>36</v>
      </c>
      <c r="N527" s="1" t="s">
        <v>18</v>
      </c>
    </row>
    <row r="528" spans="1:16" ht="15.75" customHeight="1" x14ac:dyDescent="0.35">
      <c r="A528" s="1" t="s">
        <v>275</v>
      </c>
      <c r="C528" s="1" t="s">
        <v>592</v>
      </c>
      <c r="D528" s="1" t="s">
        <v>706</v>
      </c>
      <c r="E528" s="1" t="s">
        <v>22</v>
      </c>
      <c r="G528" s="1" t="s">
        <v>61</v>
      </c>
      <c r="I528">
        <f>IF(Table1[[#This Row],[Claim_Amount]]&lt;0,0,Table1[[#This Row],[Claim_Amount]])</f>
        <v>0</v>
      </c>
      <c r="J528" t="str">
        <f>IF(Table1[[#This Row],[Column1]]=0,"",Table1[[#This Row],[Column1]])</f>
        <v/>
      </c>
      <c r="K528" t="s">
        <v>1098</v>
      </c>
      <c r="M528" s="1" t="s">
        <v>36</v>
      </c>
      <c r="N528" s="1" t="s">
        <v>57</v>
      </c>
      <c r="P528" s="1" t="s">
        <v>37</v>
      </c>
    </row>
    <row r="529" spans="1:16" ht="15.75" customHeight="1" x14ac:dyDescent="0.35">
      <c r="A529" s="1" t="s">
        <v>132</v>
      </c>
      <c r="C529" s="1" t="s">
        <v>581</v>
      </c>
      <c r="D529" s="1" t="s">
        <v>746</v>
      </c>
      <c r="E529" s="1" t="s">
        <v>92</v>
      </c>
      <c r="F529" s="1" t="s">
        <v>23</v>
      </c>
      <c r="G529" s="1" t="s">
        <v>48</v>
      </c>
      <c r="I529">
        <f>IF(Table1[[#This Row],[Claim_Amount]]&lt;0,0,Table1[[#This Row],[Claim_Amount]])</f>
        <v>0</v>
      </c>
      <c r="J529" t="str">
        <f>IF(Table1[[#This Row],[Column1]]=0,"",Table1[[#This Row],[Column1]])</f>
        <v/>
      </c>
      <c r="K529" t="s">
        <v>1098</v>
      </c>
      <c r="M529" s="1" t="s">
        <v>17</v>
      </c>
      <c r="N529" s="1" t="s">
        <v>57</v>
      </c>
      <c r="O529" s="1">
        <v>54</v>
      </c>
      <c r="P529" s="1" t="s">
        <v>27</v>
      </c>
    </row>
    <row r="530" spans="1:16" ht="15.75" customHeight="1" x14ac:dyDescent="0.35">
      <c r="A530" s="1" t="s">
        <v>192</v>
      </c>
      <c r="C530" s="1" t="s">
        <v>45</v>
      </c>
      <c r="D530" s="1" t="s">
        <v>747</v>
      </c>
      <c r="E530" s="1" t="s">
        <v>85</v>
      </c>
      <c r="F530" s="1" t="s">
        <v>31</v>
      </c>
      <c r="H530" s="1">
        <v>-19</v>
      </c>
      <c r="I530" s="1">
        <f>IF(Table1[[#This Row],[Claim_Amount]]&lt;0,0,Table1[[#This Row],[Claim_Amount]])</f>
        <v>0</v>
      </c>
      <c r="J530" s="1" t="str">
        <f>IF(Table1[[#This Row],[Column1]]=0,"",Table1[[#This Row],[Column1]])</f>
        <v/>
      </c>
      <c r="K530" s="1" t="s">
        <v>1098</v>
      </c>
      <c r="M530" s="1" t="s">
        <v>25</v>
      </c>
      <c r="N530" s="1" t="s">
        <v>32</v>
      </c>
      <c r="P530" s="1" t="s">
        <v>37</v>
      </c>
    </row>
    <row r="531" spans="1:16" ht="15.75" customHeight="1" x14ac:dyDescent="0.35">
      <c r="A531" s="1" t="s">
        <v>114</v>
      </c>
      <c r="C531" s="1" t="s">
        <v>479</v>
      </c>
      <c r="D531" s="1" t="s">
        <v>608</v>
      </c>
      <c r="E531" s="1" t="s">
        <v>16</v>
      </c>
      <c r="F531" s="1" t="s">
        <v>23</v>
      </c>
      <c r="G531" s="1" t="s">
        <v>48</v>
      </c>
      <c r="I531">
        <f>IF(Table1[[#This Row],[Claim_Amount]]&lt;0,0,Table1[[#This Row],[Claim_Amount]])</f>
        <v>0</v>
      </c>
      <c r="J531" t="str">
        <f>IF(Table1[[#This Row],[Column1]]=0,"",Table1[[#This Row],[Column1]])</f>
        <v/>
      </c>
      <c r="K531" t="s">
        <v>1098</v>
      </c>
      <c r="M531" s="1" t="s">
        <v>25</v>
      </c>
      <c r="N531" s="1" t="s">
        <v>18</v>
      </c>
      <c r="P531" s="1" t="s">
        <v>27</v>
      </c>
    </row>
    <row r="532" spans="1:16" ht="15.75" customHeight="1" x14ac:dyDescent="0.35">
      <c r="A532" s="1" t="s">
        <v>198</v>
      </c>
      <c r="D532" s="1" t="s">
        <v>384</v>
      </c>
      <c r="E532" s="1" t="s">
        <v>22</v>
      </c>
      <c r="F532" s="1" t="s">
        <v>31</v>
      </c>
      <c r="G532" s="1" t="s">
        <v>61</v>
      </c>
      <c r="H532" s="1">
        <v>-178</v>
      </c>
      <c r="I532" s="1">
        <f>IF(Table1[[#This Row],[Claim_Amount]]&lt;0,0,Table1[[#This Row],[Claim_Amount]])</f>
        <v>0</v>
      </c>
      <c r="J532" s="1" t="str">
        <f>IF(Table1[[#This Row],[Column1]]=0,"",Table1[[#This Row],[Column1]])</f>
        <v/>
      </c>
      <c r="K532" s="1" t="s">
        <v>1098</v>
      </c>
      <c r="M532" s="1" t="s">
        <v>121</v>
      </c>
      <c r="N532" s="1" t="s">
        <v>26</v>
      </c>
      <c r="P532" s="1" t="s">
        <v>65</v>
      </c>
    </row>
    <row r="533" spans="1:16" ht="15.75" customHeight="1" x14ac:dyDescent="0.35">
      <c r="A533" s="1" t="s">
        <v>55</v>
      </c>
      <c r="C533" s="1" t="s">
        <v>238</v>
      </c>
      <c r="D533" s="1" t="s">
        <v>748</v>
      </c>
      <c r="E533" s="1" t="s">
        <v>85</v>
      </c>
      <c r="G533" s="1" t="s">
        <v>24</v>
      </c>
      <c r="I533">
        <f>IF(Table1[[#This Row],[Claim_Amount]]&lt;0,0,Table1[[#This Row],[Claim_Amount]])</f>
        <v>0</v>
      </c>
      <c r="J533" t="str">
        <f>IF(Table1[[#This Row],[Column1]]=0,"",Table1[[#This Row],[Column1]])</f>
        <v/>
      </c>
      <c r="K533" t="s">
        <v>1098</v>
      </c>
      <c r="M533" s="1" t="s">
        <v>36</v>
      </c>
      <c r="N533" s="1" t="s">
        <v>49</v>
      </c>
      <c r="P533" s="1" t="s">
        <v>65</v>
      </c>
    </row>
    <row r="534" spans="1:16" ht="15.75" customHeight="1" x14ac:dyDescent="0.35">
      <c r="A534" s="1" t="s">
        <v>58</v>
      </c>
      <c r="D534" s="1" t="s">
        <v>749</v>
      </c>
      <c r="E534" s="1" t="s">
        <v>85</v>
      </c>
      <c r="F534" s="1" t="s">
        <v>93</v>
      </c>
      <c r="G534" s="1" t="s">
        <v>41</v>
      </c>
      <c r="I534">
        <f>IF(Table1[[#This Row],[Claim_Amount]]&lt;0,0,Table1[[#This Row],[Claim_Amount]])</f>
        <v>0</v>
      </c>
      <c r="J534" t="str">
        <f>IF(Table1[[#This Row],[Column1]]=0,"",Table1[[#This Row],[Column1]])</f>
        <v/>
      </c>
      <c r="K534" t="s">
        <v>1098</v>
      </c>
      <c r="M534" s="1" t="s">
        <v>121</v>
      </c>
      <c r="N534" s="1" t="s">
        <v>57</v>
      </c>
      <c r="O534" s="1">
        <v>47</v>
      </c>
      <c r="P534" s="1" t="s">
        <v>37</v>
      </c>
    </row>
    <row r="535" spans="1:16" ht="15.75" customHeight="1" x14ac:dyDescent="0.35">
      <c r="A535" s="1" t="s">
        <v>285</v>
      </c>
      <c r="C535" s="1" t="s">
        <v>486</v>
      </c>
      <c r="D535" s="1" t="s">
        <v>413</v>
      </c>
      <c r="E535" s="1" t="s">
        <v>35</v>
      </c>
      <c r="F535" s="1" t="s">
        <v>47</v>
      </c>
      <c r="G535" s="1" t="s">
        <v>24</v>
      </c>
      <c r="I535">
        <f>IF(Table1[[#This Row],[Claim_Amount]]&lt;0,0,Table1[[#This Row],[Claim_Amount]])</f>
        <v>0</v>
      </c>
      <c r="J535" t="str">
        <f>IF(Table1[[#This Row],[Column1]]=0,"",Table1[[#This Row],[Column1]])</f>
        <v/>
      </c>
      <c r="K535" t="s">
        <v>1098</v>
      </c>
      <c r="L535" s="1">
        <v>4971.57</v>
      </c>
      <c r="M535" s="1" t="s">
        <v>121</v>
      </c>
      <c r="N535" s="1" t="s">
        <v>18</v>
      </c>
      <c r="P535" s="1" t="s">
        <v>19</v>
      </c>
    </row>
    <row r="536" spans="1:16" ht="15.75" customHeight="1" x14ac:dyDescent="0.35">
      <c r="A536" s="1" t="s">
        <v>321</v>
      </c>
      <c r="C536" s="1" t="s">
        <v>263</v>
      </c>
      <c r="D536" s="1" t="s">
        <v>656</v>
      </c>
      <c r="E536" s="1" t="s">
        <v>85</v>
      </c>
      <c r="F536" s="1" t="s">
        <v>93</v>
      </c>
      <c r="G536" s="1" t="s">
        <v>61</v>
      </c>
      <c r="I536">
        <f>IF(Table1[[#This Row],[Claim_Amount]]&lt;0,0,Table1[[#This Row],[Claim_Amount]])</f>
        <v>0</v>
      </c>
      <c r="J536" t="str">
        <f>IF(Table1[[#This Row],[Column1]]=0,"",Table1[[#This Row],[Column1]])</f>
        <v/>
      </c>
      <c r="K536" t="s">
        <v>1098</v>
      </c>
      <c r="L536" s="1">
        <v>4952.47</v>
      </c>
      <c r="M536" s="1" t="s">
        <v>121</v>
      </c>
      <c r="N536" s="1" t="s">
        <v>26</v>
      </c>
      <c r="O536" s="1">
        <v>39</v>
      </c>
      <c r="P536" s="1" t="s">
        <v>19</v>
      </c>
    </row>
    <row r="537" spans="1:16" ht="15.75" customHeight="1" x14ac:dyDescent="0.35">
      <c r="A537" s="1" t="s">
        <v>82</v>
      </c>
      <c r="D537" s="1" t="s">
        <v>569</v>
      </c>
      <c r="E537" s="1" t="s">
        <v>92</v>
      </c>
      <c r="F537" s="1" t="s">
        <v>53</v>
      </c>
      <c r="G537" s="1" t="s">
        <v>48</v>
      </c>
      <c r="H537" s="1">
        <v>353.68</v>
      </c>
      <c r="I537" s="1">
        <f>IF(Table1[[#This Row],[Claim_Amount]]&lt;0,0,Table1[[#This Row],[Claim_Amount]])</f>
        <v>353.68</v>
      </c>
      <c r="J537" s="1">
        <f>IF(Table1[[#This Row],[Column1]]=0,"",Table1[[#This Row],[Column1]])</f>
        <v>353.68</v>
      </c>
      <c r="K537" s="1">
        <v>353.68</v>
      </c>
      <c r="M537" s="1" t="s">
        <v>42</v>
      </c>
      <c r="N537" s="1" t="s">
        <v>32</v>
      </c>
      <c r="P537" s="1" t="s">
        <v>37</v>
      </c>
    </row>
    <row r="538" spans="1:16" ht="15.75" customHeight="1" x14ac:dyDescent="0.35">
      <c r="A538" s="1" t="s">
        <v>170</v>
      </c>
      <c r="B538" s="1" t="s">
        <v>299</v>
      </c>
      <c r="C538" s="1" t="s">
        <v>200</v>
      </c>
      <c r="D538" s="1" t="s">
        <v>750</v>
      </c>
      <c r="E538" s="1" t="s">
        <v>92</v>
      </c>
      <c r="F538" s="1" t="s">
        <v>93</v>
      </c>
      <c r="G538" s="1" t="s">
        <v>41</v>
      </c>
      <c r="H538" s="1">
        <v>2386.69</v>
      </c>
      <c r="I538" s="1">
        <f>IF(Table1[[#This Row],[Claim_Amount]]&lt;0,0,Table1[[#This Row],[Claim_Amount]])</f>
        <v>2386.69</v>
      </c>
      <c r="J538" s="1">
        <f>IF(Table1[[#This Row],[Column1]]=0,"",Table1[[#This Row],[Column1]])</f>
        <v>2386.69</v>
      </c>
      <c r="K538" s="1">
        <v>2386.69</v>
      </c>
      <c r="M538" s="1" t="s">
        <v>121</v>
      </c>
      <c r="N538" s="1" t="s">
        <v>32</v>
      </c>
      <c r="P538" s="1" t="s">
        <v>19</v>
      </c>
    </row>
    <row r="539" spans="1:16" ht="15.75" customHeight="1" x14ac:dyDescent="0.35">
      <c r="A539" s="1" t="s">
        <v>108</v>
      </c>
      <c r="B539" s="1" t="s">
        <v>462</v>
      </c>
      <c r="C539" s="1" t="s">
        <v>135</v>
      </c>
      <c r="D539" s="1" t="s">
        <v>751</v>
      </c>
      <c r="E539" s="1" t="s">
        <v>22</v>
      </c>
      <c r="F539" s="1" t="s">
        <v>47</v>
      </c>
      <c r="G539" s="1" t="s">
        <v>54</v>
      </c>
      <c r="I539">
        <f>IF(Table1[[#This Row],[Claim_Amount]]&lt;0,0,Table1[[#This Row],[Claim_Amount]])</f>
        <v>0</v>
      </c>
      <c r="J539" t="str">
        <f>IF(Table1[[#This Row],[Column1]]=0,"",Table1[[#This Row],[Column1]])</f>
        <v/>
      </c>
      <c r="K539" t="s">
        <v>1098</v>
      </c>
      <c r="M539" s="1" t="s">
        <v>25</v>
      </c>
      <c r="N539" s="1" t="s">
        <v>26</v>
      </c>
    </row>
    <row r="540" spans="1:16" ht="15.75" customHeight="1" x14ac:dyDescent="0.35">
      <c r="A540" s="1" t="s">
        <v>55</v>
      </c>
      <c r="C540" s="1" t="s">
        <v>130</v>
      </c>
      <c r="D540" s="1" t="s">
        <v>752</v>
      </c>
      <c r="E540" s="1" t="s">
        <v>16</v>
      </c>
      <c r="F540" s="1" t="s">
        <v>47</v>
      </c>
      <c r="G540" s="1" t="s">
        <v>54</v>
      </c>
      <c r="H540" s="1">
        <v>-195</v>
      </c>
      <c r="I540" s="1">
        <f>IF(Table1[[#This Row],[Claim_Amount]]&lt;0,0,Table1[[#This Row],[Claim_Amount]])</f>
        <v>0</v>
      </c>
      <c r="J540" s="1" t="str">
        <f>IF(Table1[[#This Row],[Column1]]=0,"",Table1[[#This Row],[Column1]])</f>
        <v/>
      </c>
      <c r="K540" s="1" t="s">
        <v>1098</v>
      </c>
      <c r="L540" s="1">
        <v>4948.74</v>
      </c>
      <c r="M540" s="1" t="s">
        <v>36</v>
      </c>
      <c r="N540" s="1" t="s">
        <v>18</v>
      </c>
      <c r="O540" s="1">
        <v>2</v>
      </c>
      <c r="P540" s="1" t="s">
        <v>65</v>
      </c>
    </row>
    <row r="541" spans="1:16" ht="15.75" customHeight="1" x14ac:dyDescent="0.35">
      <c r="A541" s="1" t="s">
        <v>70</v>
      </c>
      <c r="D541" s="1" t="s">
        <v>656</v>
      </c>
      <c r="E541" s="1" t="s">
        <v>16</v>
      </c>
      <c r="F541" s="1" t="s">
        <v>53</v>
      </c>
      <c r="G541" s="1" t="s">
        <v>61</v>
      </c>
      <c r="H541" s="1">
        <v>2439.96</v>
      </c>
      <c r="I541" s="1">
        <f>IF(Table1[[#This Row],[Claim_Amount]]&lt;0,0,Table1[[#This Row],[Claim_Amount]])</f>
        <v>2439.96</v>
      </c>
      <c r="J541" s="1">
        <f>IF(Table1[[#This Row],[Column1]]=0,"",Table1[[#This Row],[Column1]])</f>
        <v>2439.96</v>
      </c>
      <c r="K541" s="1">
        <v>2439.96</v>
      </c>
      <c r="M541" s="1" t="s">
        <v>17</v>
      </c>
      <c r="N541" s="1" t="s">
        <v>32</v>
      </c>
      <c r="P541" s="1" t="s">
        <v>19</v>
      </c>
    </row>
    <row r="542" spans="1:16" ht="15.75" customHeight="1" x14ac:dyDescent="0.35">
      <c r="A542" s="1" t="s">
        <v>179</v>
      </c>
      <c r="B542" s="1" t="s">
        <v>753</v>
      </c>
      <c r="D542" s="1" t="s">
        <v>635</v>
      </c>
      <c r="E542" s="1" t="s">
        <v>16</v>
      </c>
      <c r="F542" s="1" t="s">
        <v>93</v>
      </c>
      <c r="G542" s="1" t="s">
        <v>48</v>
      </c>
      <c r="H542" s="1">
        <v>-108</v>
      </c>
      <c r="I542" s="1">
        <f>IF(Table1[[#This Row],[Claim_Amount]]&lt;0,0,Table1[[#This Row],[Claim_Amount]])</f>
        <v>0</v>
      </c>
      <c r="J542" s="1" t="str">
        <f>IF(Table1[[#This Row],[Column1]]=0,"",Table1[[#This Row],[Column1]])</f>
        <v/>
      </c>
      <c r="K542" s="1" t="s">
        <v>1098</v>
      </c>
      <c r="M542" s="1" t="s">
        <v>17</v>
      </c>
      <c r="N542" s="1" t="s">
        <v>18</v>
      </c>
      <c r="O542" s="1">
        <v>0</v>
      </c>
    </row>
    <row r="543" spans="1:16" ht="15.75" customHeight="1" x14ac:dyDescent="0.35">
      <c r="A543" s="1" t="s">
        <v>187</v>
      </c>
      <c r="D543" s="1" t="s">
        <v>324</v>
      </c>
      <c r="E543" s="1" t="s">
        <v>92</v>
      </c>
      <c r="F543" s="1" t="s">
        <v>93</v>
      </c>
      <c r="G543" s="1" t="s">
        <v>41</v>
      </c>
      <c r="H543" s="1">
        <v>3555.86</v>
      </c>
      <c r="I543" s="1">
        <f>IF(Table1[[#This Row],[Claim_Amount]]&lt;0,0,Table1[[#This Row],[Claim_Amount]])</f>
        <v>3555.86</v>
      </c>
      <c r="J543" s="1">
        <f>IF(Table1[[#This Row],[Column1]]=0,"",Table1[[#This Row],[Column1]])</f>
        <v>3555.86</v>
      </c>
      <c r="K543" s="1">
        <v>3555.86</v>
      </c>
      <c r="L543" s="1">
        <v>896.99</v>
      </c>
      <c r="M543" s="1" t="s">
        <v>36</v>
      </c>
      <c r="N543" s="1" t="s">
        <v>18</v>
      </c>
      <c r="O543" s="1">
        <v>18</v>
      </c>
      <c r="P543" s="1" t="s">
        <v>65</v>
      </c>
    </row>
    <row r="544" spans="1:16" ht="15.75" customHeight="1" x14ac:dyDescent="0.35">
      <c r="A544" s="1" t="s">
        <v>38</v>
      </c>
      <c r="C544" s="1" t="s">
        <v>416</v>
      </c>
      <c r="D544" s="1" t="s">
        <v>570</v>
      </c>
      <c r="E544" s="1" t="s">
        <v>35</v>
      </c>
      <c r="F544" s="1" t="s">
        <v>31</v>
      </c>
      <c r="I544">
        <f>IF(Table1[[#This Row],[Claim_Amount]]&lt;0,0,Table1[[#This Row],[Claim_Amount]])</f>
        <v>0</v>
      </c>
      <c r="J544" t="str">
        <f>IF(Table1[[#This Row],[Column1]]=0,"",Table1[[#This Row],[Column1]])</f>
        <v/>
      </c>
      <c r="K544" t="s">
        <v>1098</v>
      </c>
      <c r="M544" s="1" t="s">
        <v>36</v>
      </c>
      <c r="N544" s="1" t="s">
        <v>32</v>
      </c>
      <c r="O544" s="1">
        <v>46</v>
      </c>
      <c r="P544" s="1" t="s">
        <v>37</v>
      </c>
    </row>
    <row r="545" spans="1:16" ht="15.75" customHeight="1" x14ac:dyDescent="0.35">
      <c r="A545" s="1" t="s">
        <v>110</v>
      </c>
      <c r="C545" s="1" t="s">
        <v>83</v>
      </c>
      <c r="D545" s="1" t="s">
        <v>754</v>
      </c>
      <c r="E545" s="1" t="s">
        <v>92</v>
      </c>
      <c r="F545" s="1" t="s">
        <v>23</v>
      </c>
      <c r="G545" s="1" t="s">
        <v>54</v>
      </c>
      <c r="H545" s="1">
        <v>3303.72</v>
      </c>
      <c r="I545" s="1">
        <f>IF(Table1[[#This Row],[Claim_Amount]]&lt;0,0,Table1[[#This Row],[Claim_Amount]])</f>
        <v>3303.72</v>
      </c>
      <c r="J545" s="1">
        <f>IF(Table1[[#This Row],[Column1]]=0,"",Table1[[#This Row],[Column1]])</f>
        <v>3303.72</v>
      </c>
      <c r="K545" s="1">
        <v>3303.72</v>
      </c>
      <c r="M545" s="1" t="s">
        <v>121</v>
      </c>
      <c r="N545" s="1" t="s">
        <v>32</v>
      </c>
    </row>
    <row r="546" spans="1:16" ht="15.75" customHeight="1" x14ac:dyDescent="0.35">
      <c r="A546" s="1" t="s">
        <v>20</v>
      </c>
      <c r="D546" s="1" t="s">
        <v>755</v>
      </c>
      <c r="E546" s="1" t="s">
        <v>22</v>
      </c>
      <c r="F546" s="1" t="s">
        <v>53</v>
      </c>
      <c r="G546" s="1" t="s">
        <v>24</v>
      </c>
      <c r="H546" s="1">
        <v>-196</v>
      </c>
      <c r="I546" s="1">
        <f>IF(Table1[[#This Row],[Claim_Amount]]&lt;0,0,Table1[[#This Row],[Claim_Amount]])</f>
        <v>0</v>
      </c>
      <c r="J546" s="1" t="str">
        <f>IF(Table1[[#This Row],[Column1]]=0,"",Table1[[#This Row],[Column1]])</f>
        <v/>
      </c>
      <c r="K546" s="1" t="s">
        <v>1098</v>
      </c>
      <c r="M546" s="1" t="s">
        <v>25</v>
      </c>
      <c r="N546" s="1" t="s">
        <v>49</v>
      </c>
      <c r="P546" s="1" t="s">
        <v>65</v>
      </c>
    </row>
    <row r="547" spans="1:16" ht="15.75" customHeight="1" x14ac:dyDescent="0.35">
      <c r="A547" s="1" t="s">
        <v>102</v>
      </c>
      <c r="C547" s="1" t="s">
        <v>486</v>
      </c>
      <c r="D547" s="1" t="s">
        <v>756</v>
      </c>
      <c r="E547" s="1" t="s">
        <v>85</v>
      </c>
      <c r="F547" s="1" t="s">
        <v>93</v>
      </c>
      <c r="G547" s="1" t="s">
        <v>48</v>
      </c>
      <c r="H547" s="1">
        <v>3452.47</v>
      </c>
      <c r="I547" s="1">
        <f>IF(Table1[[#This Row],[Claim_Amount]]&lt;0,0,Table1[[#This Row],[Claim_Amount]])</f>
        <v>3452.47</v>
      </c>
      <c r="J547" s="1">
        <f>IF(Table1[[#This Row],[Column1]]=0,"",Table1[[#This Row],[Column1]])</f>
        <v>3452.47</v>
      </c>
      <c r="K547" s="1">
        <v>3452.47</v>
      </c>
      <c r="M547" s="1" t="s">
        <v>17</v>
      </c>
      <c r="N547" s="1" t="s">
        <v>49</v>
      </c>
      <c r="P547" s="1" t="s">
        <v>37</v>
      </c>
    </row>
    <row r="548" spans="1:16" ht="15.75" customHeight="1" x14ac:dyDescent="0.35">
      <c r="A548" s="1" t="s">
        <v>108</v>
      </c>
      <c r="C548" s="1" t="s">
        <v>422</v>
      </c>
      <c r="D548" s="1" t="s">
        <v>757</v>
      </c>
      <c r="E548" s="1" t="s">
        <v>16</v>
      </c>
      <c r="F548" s="1" t="s">
        <v>23</v>
      </c>
      <c r="G548" s="1" t="s">
        <v>61</v>
      </c>
      <c r="H548" s="1">
        <v>3829.06</v>
      </c>
      <c r="I548" s="1">
        <f>IF(Table1[[#This Row],[Claim_Amount]]&lt;0,0,Table1[[#This Row],[Claim_Amount]])</f>
        <v>3829.06</v>
      </c>
      <c r="J548" s="1">
        <f>IF(Table1[[#This Row],[Column1]]=0,"",Table1[[#This Row],[Column1]])</f>
        <v>3829.06</v>
      </c>
      <c r="K548" s="1">
        <v>3829.06</v>
      </c>
      <c r="L548" s="1">
        <v>704.29</v>
      </c>
      <c r="M548" s="1" t="s">
        <v>42</v>
      </c>
      <c r="N548" s="1" t="s">
        <v>18</v>
      </c>
    </row>
    <row r="549" spans="1:16" ht="15.75" customHeight="1" x14ac:dyDescent="0.35">
      <c r="A549" s="1" t="s">
        <v>89</v>
      </c>
      <c r="B549" s="1" t="s">
        <v>758</v>
      </c>
      <c r="D549" s="1" t="s">
        <v>759</v>
      </c>
      <c r="E549" s="1" t="s">
        <v>77</v>
      </c>
      <c r="F549" s="1" t="s">
        <v>47</v>
      </c>
      <c r="G549" s="1" t="s">
        <v>48</v>
      </c>
      <c r="I549">
        <f>IF(Table1[[#This Row],[Claim_Amount]]&lt;0,0,Table1[[#This Row],[Claim_Amount]])</f>
        <v>0</v>
      </c>
      <c r="J549" t="str">
        <f>IF(Table1[[#This Row],[Column1]]=0,"",Table1[[#This Row],[Column1]])</f>
        <v/>
      </c>
      <c r="K549" t="s">
        <v>1098</v>
      </c>
      <c r="L549" s="1">
        <v>2420.6</v>
      </c>
      <c r="M549" s="1" t="s">
        <v>25</v>
      </c>
      <c r="N549" s="1" t="s">
        <v>57</v>
      </c>
    </row>
    <row r="550" spans="1:16" ht="15.75" customHeight="1" x14ac:dyDescent="0.35">
      <c r="A550" s="1" t="s">
        <v>55</v>
      </c>
      <c r="B550" s="1" t="s">
        <v>760</v>
      </c>
      <c r="D550" s="1" t="s">
        <v>432</v>
      </c>
      <c r="E550" s="1" t="s">
        <v>16</v>
      </c>
      <c r="F550" s="1" t="s">
        <v>93</v>
      </c>
      <c r="G550" s="1" t="s">
        <v>61</v>
      </c>
      <c r="I550">
        <f>IF(Table1[[#This Row],[Claim_Amount]]&lt;0,0,Table1[[#This Row],[Claim_Amount]])</f>
        <v>0</v>
      </c>
      <c r="J550" t="str">
        <f>IF(Table1[[#This Row],[Column1]]=0,"",Table1[[#This Row],[Column1]])</f>
        <v/>
      </c>
      <c r="K550" t="s">
        <v>1098</v>
      </c>
      <c r="M550" s="1" t="s">
        <v>17</v>
      </c>
      <c r="N550" s="1" t="s">
        <v>49</v>
      </c>
      <c r="P550" s="1" t="s">
        <v>19</v>
      </c>
    </row>
    <row r="551" spans="1:16" ht="15.75" customHeight="1" x14ac:dyDescent="0.35">
      <c r="A551" s="1" t="s">
        <v>117</v>
      </c>
      <c r="B551" s="1" t="s">
        <v>761</v>
      </c>
      <c r="C551" s="1" t="s">
        <v>581</v>
      </c>
      <c r="D551" s="1" t="s">
        <v>762</v>
      </c>
      <c r="E551" s="1" t="s">
        <v>92</v>
      </c>
      <c r="F551" s="1" t="s">
        <v>23</v>
      </c>
      <c r="G551" s="1" t="s">
        <v>41</v>
      </c>
      <c r="H551" s="1">
        <v>4620.43</v>
      </c>
      <c r="I551" s="1">
        <f>IF(Table1[[#This Row],[Claim_Amount]]&lt;0,0,Table1[[#This Row],[Claim_Amount]])</f>
        <v>4620.43</v>
      </c>
      <c r="J551" s="1">
        <f>IF(Table1[[#This Row],[Column1]]=0,"",Table1[[#This Row],[Column1]])</f>
        <v>4620.43</v>
      </c>
      <c r="K551" s="1">
        <v>4620.43</v>
      </c>
      <c r="L551" s="1">
        <v>3042.31</v>
      </c>
      <c r="M551" s="1" t="s">
        <v>121</v>
      </c>
      <c r="N551" s="1" t="s">
        <v>57</v>
      </c>
      <c r="P551" s="1" t="s">
        <v>65</v>
      </c>
    </row>
    <row r="552" spans="1:16" ht="15.75" customHeight="1" x14ac:dyDescent="0.35">
      <c r="A552" s="1" t="s">
        <v>275</v>
      </c>
      <c r="B552" s="1" t="s">
        <v>763</v>
      </c>
      <c r="D552" s="1" t="s">
        <v>764</v>
      </c>
      <c r="E552" s="1" t="s">
        <v>92</v>
      </c>
      <c r="F552" s="1" t="s">
        <v>53</v>
      </c>
      <c r="H552" s="1">
        <v>1877.11</v>
      </c>
      <c r="I552" s="1">
        <f>IF(Table1[[#This Row],[Claim_Amount]]&lt;0,0,Table1[[#This Row],[Claim_Amount]])</f>
        <v>1877.11</v>
      </c>
      <c r="J552" s="1">
        <f>IF(Table1[[#This Row],[Column1]]=0,"",Table1[[#This Row],[Column1]])</f>
        <v>1877.11</v>
      </c>
      <c r="K552" s="1">
        <v>1877.11</v>
      </c>
      <c r="L552" s="1">
        <v>3954.84</v>
      </c>
      <c r="M552" s="1" t="s">
        <v>17</v>
      </c>
      <c r="N552" s="1" t="s">
        <v>32</v>
      </c>
      <c r="P552" s="1" t="s">
        <v>37</v>
      </c>
    </row>
    <row r="553" spans="1:16" ht="15.75" customHeight="1" x14ac:dyDescent="0.35">
      <c r="A553" s="1" t="s">
        <v>168</v>
      </c>
      <c r="B553" s="1" t="s">
        <v>765</v>
      </c>
      <c r="D553" s="1" t="s">
        <v>641</v>
      </c>
      <c r="E553" s="1" t="s">
        <v>85</v>
      </c>
      <c r="F553" s="1" t="s">
        <v>93</v>
      </c>
      <c r="G553" s="1" t="s">
        <v>48</v>
      </c>
      <c r="H553" s="1">
        <v>-136</v>
      </c>
      <c r="I553" s="1">
        <f>IF(Table1[[#This Row],[Claim_Amount]]&lt;0,0,Table1[[#This Row],[Claim_Amount]])</f>
        <v>0</v>
      </c>
      <c r="J553" s="1" t="str">
        <f>IF(Table1[[#This Row],[Column1]]=0,"",Table1[[#This Row],[Column1]])</f>
        <v/>
      </c>
      <c r="K553" s="1" t="s">
        <v>1098</v>
      </c>
      <c r="M553" s="1" t="s">
        <v>36</v>
      </c>
      <c r="N553" s="1" t="s">
        <v>32</v>
      </c>
      <c r="P553" s="1" t="s">
        <v>65</v>
      </c>
    </row>
    <row r="554" spans="1:16" ht="15.75" customHeight="1" x14ac:dyDescent="0.35">
      <c r="A554" s="1" t="s">
        <v>33</v>
      </c>
      <c r="D554" s="1" t="s">
        <v>766</v>
      </c>
      <c r="E554" s="1" t="s">
        <v>16</v>
      </c>
      <c r="F554" s="1" t="s">
        <v>47</v>
      </c>
      <c r="I554">
        <f>IF(Table1[[#This Row],[Claim_Amount]]&lt;0,0,Table1[[#This Row],[Claim_Amount]])</f>
        <v>0</v>
      </c>
      <c r="J554" t="str">
        <f>IF(Table1[[#This Row],[Column1]]=0,"",Table1[[#This Row],[Column1]])</f>
        <v/>
      </c>
      <c r="K554" t="s">
        <v>1098</v>
      </c>
      <c r="L554" s="1">
        <v>3530.31</v>
      </c>
      <c r="M554" s="1" t="s">
        <v>42</v>
      </c>
      <c r="N554" s="1" t="s">
        <v>26</v>
      </c>
      <c r="O554" s="1">
        <v>13</v>
      </c>
      <c r="P554" s="1" t="s">
        <v>27</v>
      </c>
    </row>
    <row r="555" spans="1:16" ht="15.75" customHeight="1" x14ac:dyDescent="0.35">
      <c r="A555" s="1" t="s">
        <v>20</v>
      </c>
      <c r="B555" s="1" t="s">
        <v>767</v>
      </c>
      <c r="C555" s="1" t="s">
        <v>425</v>
      </c>
      <c r="D555" s="1" t="s">
        <v>768</v>
      </c>
      <c r="E555" s="1" t="s">
        <v>77</v>
      </c>
      <c r="F555" s="1" t="s">
        <v>93</v>
      </c>
      <c r="G555" s="1" t="s">
        <v>54</v>
      </c>
      <c r="I555">
        <f>IF(Table1[[#This Row],[Claim_Amount]]&lt;0,0,Table1[[#This Row],[Claim_Amount]])</f>
        <v>0</v>
      </c>
      <c r="J555" t="str">
        <f>IF(Table1[[#This Row],[Column1]]=0,"",Table1[[#This Row],[Column1]])</f>
        <v/>
      </c>
      <c r="K555" t="s">
        <v>1098</v>
      </c>
      <c r="L555" s="1">
        <v>1093.1500000000001</v>
      </c>
      <c r="M555" s="1" t="s">
        <v>25</v>
      </c>
      <c r="N555" s="1" t="s">
        <v>18</v>
      </c>
      <c r="P555" s="1" t="s">
        <v>65</v>
      </c>
    </row>
    <row r="556" spans="1:16" ht="15.75" customHeight="1" x14ac:dyDescent="0.35">
      <c r="A556" s="1" t="s">
        <v>33</v>
      </c>
      <c r="B556" s="1" t="s">
        <v>769</v>
      </c>
      <c r="D556" s="1" t="s">
        <v>770</v>
      </c>
      <c r="E556" s="1" t="s">
        <v>35</v>
      </c>
      <c r="F556" s="1" t="s">
        <v>47</v>
      </c>
      <c r="G556" s="1" t="s">
        <v>61</v>
      </c>
      <c r="I556">
        <f>IF(Table1[[#This Row],[Claim_Amount]]&lt;0,0,Table1[[#This Row],[Claim_Amount]])</f>
        <v>0</v>
      </c>
      <c r="J556" t="str">
        <f>IF(Table1[[#This Row],[Column1]]=0,"",Table1[[#This Row],[Column1]])</f>
        <v/>
      </c>
      <c r="K556" t="s">
        <v>1098</v>
      </c>
      <c r="M556" s="1" t="s">
        <v>17</v>
      </c>
      <c r="N556" s="1" t="s">
        <v>26</v>
      </c>
      <c r="O556" s="1">
        <v>15</v>
      </c>
      <c r="P556" s="1" t="s">
        <v>19</v>
      </c>
    </row>
    <row r="557" spans="1:16" ht="15.75" customHeight="1" x14ac:dyDescent="0.35">
      <c r="A557" s="1" t="s">
        <v>209</v>
      </c>
      <c r="B557" s="1" t="s">
        <v>771</v>
      </c>
      <c r="C557" s="1" t="s">
        <v>245</v>
      </c>
      <c r="D557" s="1" t="s">
        <v>772</v>
      </c>
      <c r="E557" s="1" t="s">
        <v>92</v>
      </c>
      <c r="F557" s="1" t="s">
        <v>53</v>
      </c>
      <c r="G557" s="1" t="s">
        <v>48</v>
      </c>
      <c r="H557" s="1">
        <v>3626.66</v>
      </c>
      <c r="I557" s="1">
        <f>IF(Table1[[#This Row],[Claim_Amount]]&lt;0,0,Table1[[#This Row],[Claim_Amount]])</f>
        <v>3626.66</v>
      </c>
      <c r="J557" s="1">
        <f>IF(Table1[[#This Row],[Column1]]=0,"",Table1[[#This Row],[Column1]])</f>
        <v>3626.66</v>
      </c>
      <c r="K557" s="1">
        <v>3626.66</v>
      </c>
      <c r="L557" s="1">
        <v>1469.51</v>
      </c>
      <c r="M557" s="1" t="s">
        <v>25</v>
      </c>
      <c r="N557" s="1" t="s">
        <v>26</v>
      </c>
      <c r="O557" s="1">
        <v>38</v>
      </c>
    </row>
    <row r="558" spans="1:16" ht="15.75" customHeight="1" x14ac:dyDescent="0.35">
      <c r="A558" s="1" t="s">
        <v>132</v>
      </c>
      <c r="D558" s="1" t="s">
        <v>773</v>
      </c>
      <c r="E558" s="1" t="s">
        <v>30</v>
      </c>
      <c r="F558" s="1" t="s">
        <v>31</v>
      </c>
      <c r="I558">
        <f>IF(Table1[[#This Row],[Claim_Amount]]&lt;0,0,Table1[[#This Row],[Claim_Amount]])</f>
        <v>0</v>
      </c>
      <c r="J558" t="str">
        <f>IF(Table1[[#This Row],[Column1]]=0,"",Table1[[#This Row],[Column1]])</f>
        <v/>
      </c>
      <c r="K558" t="s">
        <v>1098</v>
      </c>
      <c r="M558" s="1" t="s">
        <v>121</v>
      </c>
      <c r="N558" s="1" t="s">
        <v>18</v>
      </c>
      <c r="O558" s="1">
        <v>47</v>
      </c>
      <c r="P558" s="1" t="s">
        <v>37</v>
      </c>
    </row>
    <row r="559" spans="1:16" ht="15.75" customHeight="1" x14ac:dyDescent="0.35">
      <c r="A559" s="1" t="s">
        <v>110</v>
      </c>
      <c r="B559" s="1" t="s">
        <v>774</v>
      </c>
      <c r="C559" s="1" t="s">
        <v>331</v>
      </c>
      <c r="D559" s="1" t="s">
        <v>762</v>
      </c>
      <c r="E559" s="1" t="s">
        <v>77</v>
      </c>
      <c r="F559" s="1" t="s">
        <v>53</v>
      </c>
      <c r="G559" s="1" t="s">
        <v>41</v>
      </c>
      <c r="H559" s="1">
        <v>-113</v>
      </c>
      <c r="I559" s="1">
        <f>IF(Table1[[#This Row],[Claim_Amount]]&lt;0,0,Table1[[#This Row],[Claim_Amount]])</f>
        <v>0</v>
      </c>
      <c r="J559" s="1" t="str">
        <f>IF(Table1[[#This Row],[Column1]]=0,"",Table1[[#This Row],[Column1]])</f>
        <v/>
      </c>
      <c r="K559" s="1" t="s">
        <v>1098</v>
      </c>
      <c r="M559" s="1" t="s">
        <v>121</v>
      </c>
      <c r="N559" s="1" t="s">
        <v>18</v>
      </c>
      <c r="O559" s="1">
        <v>17</v>
      </c>
      <c r="P559" s="1" t="s">
        <v>19</v>
      </c>
    </row>
    <row r="560" spans="1:16" ht="15.75" customHeight="1" x14ac:dyDescent="0.35">
      <c r="A560" s="1" t="s">
        <v>430</v>
      </c>
      <c r="D560" s="1" t="s">
        <v>775</v>
      </c>
      <c r="E560" s="1" t="s">
        <v>30</v>
      </c>
      <c r="F560" s="1" t="s">
        <v>23</v>
      </c>
      <c r="G560" s="1" t="s">
        <v>61</v>
      </c>
      <c r="I560">
        <f>IF(Table1[[#This Row],[Claim_Amount]]&lt;0,0,Table1[[#This Row],[Claim_Amount]])</f>
        <v>0</v>
      </c>
      <c r="J560" t="str">
        <f>IF(Table1[[#This Row],[Column1]]=0,"",Table1[[#This Row],[Column1]])</f>
        <v/>
      </c>
      <c r="K560" t="s">
        <v>1098</v>
      </c>
      <c r="L560" s="1">
        <v>979.33</v>
      </c>
      <c r="M560" s="1" t="s">
        <v>25</v>
      </c>
      <c r="N560" s="1" t="s">
        <v>18</v>
      </c>
      <c r="O560" s="1">
        <v>17</v>
      </c>
    </row>
    <row r="561" spans="1:16" ht="15.75" customHeight="1" x14ac:dyDescent="0.35">
      <c r="A561" s="1" t="s">
        <v>209</v>
      </c>
      <c r="C561" s="1" t="s">
        <v>642</v>
      </c>
      <c r="D561" s="1" t="s">
        <v>776</v>
      </c>
      <c r="E561" s="1" t="s">
        <v>16</v>
      </c>
      <c r="F561" s="1" t="s">
        <v>31</v>
      </c>
      <c r="G561" s="1" t="s">
        <v>41</v>
      </c>
      <c r="I561">
        <f>IF(Table1[[#This Row],[Claim_Amount]]&lt;0,0,Table1[[#This Row],[Claim_Amount]])</f>
        <v>0</v>
      </c>
      <c r="J561" t="str">
        <f>IF(Table1[[#This Row],[Column1]]=0,"",Table1[[#This Row],[Column1]])</f>
        <v/>
      </c>
      <c r="K561" t="s">
        <v>1098</v>
      </c>
      <c r="M561" s="1" t="s">
        <v>42</v>
      </c>
      <c r="N561" s="1" t="s">
        <v>18</v>
      </c>
      <c r="P561" s="1" t="s">
        <v>19</v>
      </c>
    </row>
    <row r="562" spans="1:16" ht="15.75" customHeight="1" x14ac:dyDescent="0.35">
      <c r="A562" s="1" t="s">
        <v>114</v>
      </c>
      <c r="C562" s="1" t="s">
        <v>613</v>
      </c>
      <c r="D562" s="1" t="s">
        <v>777</v>
      </c>
      <c r="E562" s="1" t="s">
        <v>22</v>
      </c>
      <c r="F562" s="1" t="s">
        <v>53</v>
      </c>
      <c r="G562" s="1" t="s">
        <v>48</v>
      </c>
      <c r="I562">
        <f>IF(Table1[[#This Row],[Claim_Amount]]&lt;0,0,Table1[[#This Row],[Claim_Amount]])</f>
        <v>0</v>
      </c>
      <c r="J562" t="str">
        <f>IF(Table1[[#This Row],[Column1]]=0,"",Table1[[#This Row],[Column1]])</f>
        <v/>
      </c>
      <c r="K562" t="s">
        <v>1098</v>
      </c>
      <c r="M562" s="1" t="s">
        <v>121</v>
      </c>
      <c r="N562" s="1" t="s">
        <v>26</v>
      </c>
      <c r="P562" s="1" t="s">
        <v>19</v>
      </c>
    </row>
    <row r="563" spans="1:16" ht="15.75" customHeight="1" x14ac:dyDescent="0.35">
      <c r="A563" s="1" t="s">
        <v>137</v>
      </c>
      <c r="B563" s="1" t="s">
        <v>778</v>
      </c>
      <c r="C563" s="1" t="s">
        <v>135</v>
      </c>
      <c r="D563" s="1" t="s">
        <v>779</v>
      </c>
      <c r="E563" s="1" t="s">
        <v>30</v>
      </c>
      <c r="G563" s="1" t="s">
        <v>54</v>
      </c>
      <c r="H563" s="1">
        <v>-97</v>
      </c>
      <c r="I563" s="1">
        <f>IF(Table1[[#This Row],[Claim_Amount]]&lt;0,0,Table1[[#This Row],[Claim_Amount]])</f>
        <v>0</v>
      </c>
      <c r="J563" s="1" t="str">
        <f>IF(Table1[[#This Row],[Column1]]=0,"",Table1[[#This Row],[Column1]])</f>
        <v/>
      </c>
      <c r="K563" s="1" t="s">
        <v>1098</v>
      </c>
      <c r="M563" s="1" t="s">
        <v>42</v>
      </c>
      <c r="N563" s="1" t="s">
        <v>32</v>
      </c>
      <c r="P563" s="1" t="s">
        <v>19</v>
      </c>
    </row>
    <row r="564" spans="1:16" ht="15.75" customHeight="1" x14ac:dyDescent="0.35">
      <c r="A564" s="1" t="s">
        <v>137</v>
      </c>
      <c r="C564" s="1" t="s">
        <v>447</v>
      </c>
      <c r="D564" s="1" t="s">
        <v>739</v>
      </c>
      <c r="E564" s="1" t="s">
        <v>85</v>
      </c>
      <c r="F564" s="1" t="s">
        <v>47</v>
      </c>
      <c r="H564" s="1">
        <v>4972.3</v>
      </c>
      <c r="I564" s="1">
        <f>IF(Table1[[#This Row],[Claim_Amount]]&lt;0,0,Table1[[#This Row],[Claim_Amount]])</f>
        <v>4972.3</v>
      </c>
      <c r="J564" s="1">
        <f>IF(Table1[[#This Row],[Column1]]=0,"",Table1[[#This Row],[Column1]])</f>
        <v>4972.3</v>
      </c>
      <c r="K564" s="1">
        <v>4972.3</v>
      </c>
      <c r="M564" s="1" t="s">
        <v>36</v>
      </c>
      <c r="N564" s="1" t="s">
        <v>26</v>
      </c>
      <c r="O564" s="1">
        <v>31</v>
      </c>
      <c r="P564" s="1" t="s">
        <v>37</v>
      </c>
    </row>
    <row r="565" spans="1:16" ht="15.75" customHeight="1" x14ac:dyDescent="0.35">
      <c r="A565" s="1" t="s">
        <v>58</v>
      </c>
      <c r="C565" s="1" t="s">
        <v>491</v>
      </c>
      <c r="D565" s="1" t="s">
        <v>344</v>
      </c>
      <c r="E565" s="1" t="s">
        <v>16</v>
      </c>
      <c r="F565" s="1" t="s">
        <v>23</v>
      </c>
      <c r="G565" s="1" t="s">
        <v>24</v>
      </c>
      <c r="I565">
        <f>IF(Table1[[#This Row],[Claim_Amount]]&lt;0,0,Table1[[#This Row],[Claim_Amount]])</f>
        <v>0</v>
      </c>
      <c r="J565" t="str">
        <f>IF(Table1[[#This Row],[Column1]]=0,"",Table1[[#This Row],[Column1]])</f>
        <v/>
      </c>
      <c r="K565" t="s">
        <v>1098</v>
      </c>
      <c r="M565" s="1" t="s">
        <v>121</v>
      </c>
      <c r="N565" s="1" t="s">
        <v>18</v>
      </c>
      <c r="O565" s="1">
        <v>60</v>
      </c>
    </row>
    <row r="566" spans="1:16" ht="15.75" customHeight="1" x14ac:dyDescent="0.35">
      <c r="A566" s="1" t="s">
        <v>117</v>
      </c>
      <c r="D566" s="1" t="s">
        <v>473</v>
      </c>
      <c r="E566" s="1" t="s">
        <v>77</v>
      </c>
      <c r="F566" s="1" t="s">
        <v>31</v>
      </c>
      <c r="G566" s="1" t="s">
        <v>54</v>
      </c>
      <c r="I566">
        <f>IF(Table1[[#This Row],[Claim_Amount]]&lt;0,0,Table1[[#This Row],[Claim_Amount]])</f>
        <v>0</v>
      </c>
      <c r="J566" t="str">
        <f>IF(Table1[[#This Row],[Column1]]=0,"",Table1[[#This Row],[Column1]])</f>
        <v/>
      </c>
      <c r="K566" t="s">
        <v>1098</v>
      </c>
      <c r="M566" s="1" t="s">
        <v>36</v>
      </c>
      <c r="N566" s="1" t="s">
        <v>49</v>
      </c>
      <c r="P566" s="1" t="s">
        <v>19</v>
      </c>
    </row>
    <row r="567" spans="1:16" ht="15.75" customHeight="1" x14ac:dyDescent="0.35">
      <c r="A567" s="1" t="s">
        <v>110</v>
      </c>
      <c r="B567" s="1" t="s">
        <v>578</v>
      </c>
      <c r="C567" s="1" t="s">
        <v>278</v>
      </c>
      <c r="D567" s="1" t="s">
        <v>569</v>
      </c>
      <c r="E567" s="1" t="s">
        <v>22</v>
      </c>
      <c r="F567" s="1" t="s">
        <v>23</v>
      </c>
      <c r="G567" s="1" t="s">
        <v>41</v>
      </c>
      <c r="H567" s="1">
        <v>-155</v>
      </c>
      <c r="I567" s="1">
        <f>IF(Table1[[#This Row],[Claim_Amount]]&lt;0,0,Table1[[#This Row],[Claim_Amount]])</f>
        <v>0</v>
      </c>
      <c r="J567" s="1" t="str">
        <f>IF(Table1[[#This Row],[Column1]]=0,"",Table1[[#This Row],[Column1]])</f>
        <v/>
      </c>
      <c r="K567" s="1" t="s">
        <v>1098</v>
      </c>
      <c r="L567" s="1">
        <v>4276.45</v>
      </c>
      <c r="M567" s="1" t="s">
        <v>121</v>
      </c>
      <c r="N567" s="1" t="s">
        <v>49</v>
      </c>
      <c r="O567" s="1">
        <v>42</v>
      </c>
      <c r="P567" s="1" t="s">
        <v>27</v>
      </c>
    </row>
    <row r="568" spans="1:16" ht="15.75" customHeight="1" x14ac:dyDescent="0.35">
      <c r="A568" s="1" t="s">
        <v>173</v>
      </c>
      <c r="D568" s="1" t="s">
        <v>780</v>
      </c>
      <c r="E568" s="1" t="s">
        <v>16</v>
      </c>
      <c r="F568" s="1" t="s">
        <v>53</v>
      </c>
      <c r="G568" s="1" t="s">
        <v>48</v>
      </c>
      <c r="H568" s="1">
        <v>1037.3800000000001</v>
      </c>
      <c r="I568" s="1">
        <f>IF(Table1[[#This Row],[Claim_Amount]]&lt;0,0,Table1[[#This Row],[Claim_Amount]])</f>
        <v>1037.3800000000001</v>
      </c>
      <c r="J568" s="1">
        <f>IF(Table1[[#This Row],[Column1]]=0,"",Table1[[#This Row],[Column1]])</f>
        <v>1037.3800000000001</v>
      </c>
      <c r="K568" s="1">
        <v>1037.3800000000001</v>
      </c>
      <c r="M568" s="1" t="s">
        <v>121</v>
      </c>
      <c r="N568" s="1" t="s">
        <v>18</v>
      </c>
      <c r="P568" s="1" t="s">
        <v>37</v>
      </c>
    </row>
    <row r="569" spans="1:16" ht="15.75" customHeight="1" x14ac:dyDescent="0.35">
      <c r="A569" s="1" t="s">
        <v>55</v>
      </c>
      <c r="C569" s="1" t="s">
        <v>469</v>
      </c>
      <c r="D569" s="1" t="s">
        <v>556</v>
      </c>
      <c r="E569" s="1" t="s">
        <v>92</v>
      </c>
      <c r="F569" s="1" t="s">
        <v>47</v>
      </c>
      <c r="G569" s="1" t="s">
        <v>61</v>
      </c>
      <c r="H569" s="1">
        <v>4939.66</v>
      </c>
      <c r="I569" s="1">
        <f>IF(Table1[[#This Row],[Claim_Amount]]&lt;0,0,Table1[[#This Row],[Claim_Amount]])</f>
        <v>4939.66</v>
      </c>
      <c r="J569" s="1">
        <f>IF(Table1[[#This Row],[Column1]]=0,"",Table1[[#This Row],[Column1]])</f>
        <v>4939.66</v>
      </c>
      <c r="K569" s="1">
        <v>4939.66</v>
      </c>
      <c r="M569" s="1" t="s">
        <v>121</v>
      </c>
      <c r="N569" s="1" t="s">
        <v>49</v>
      </c>
      <c r="O569" s="1">
        <v>13</v>
      </c>
      <c r="P569" s="1" t="s">
        <v>65</v>
      </c>
    </row>
    <row r="570" spans="1:16" ht="15.75" customHeight="1" x14ac:dyDescent="0.35">
      <c r="A570" s="1" t="s">
        <v>105</v>
      </c>
      <c r="D570" s="1" t="s">
        <v>781</v>
      </c>
      <c r="E570" s="1" t="s">
        <v>85</v>
      </c>
      <c r="F570" s="1" t="s">
        <v>23</v>
      </c>
      <c r="G570" s="1" t="s">
        <v>41</v>
      </c>
      <c r="H570" s="1">
        <v>-86</v>
      </c>
      <c r="I570" s="1">
        <f>IF(Table1[[#This Row],[Claim_Amount]]&lt;0,0,Table1[[#This Row],[Claim_Amount]])</f>
        <v>0</v>
      </c>
      <c r="J570" s="1" t="str">
        <f>IF(Table1[[#This Row],[Column1]]=0,"",Table1[[#This Row],[Column1]])</f>
        <v/>
      </c>
      <c r="K570" s="1" t="s">
        <v>1098</v>
      </c>
      <c r="M570" s="1" t="s">
        <v>17</v>
      </c>
      <c r="N570" s="1" t="s">
        <v>32</v>
      </c>
      <c r="O570" s="1">
        <v>11</v>
      </c>
      <c r="P570" s="1" t="s">
        <v>19</v>
      </c>
    </row>
    <row r="571" spans="1:16" ht="15.75" customHeight="1" x14ac:dyDescent="0.35">
      <c r="A571" s="1" t="s">
        <v>62</v>
      </c>
      <c r="C571" s="1" t="s">
        <v>632</v>
      </c>
      <c r="D571" s="1" t="s">
        <v>782</v>
      </c>
      <c r="E571" s="1" t="s">
        <v>30</v>
      </c>
      <c r="G571" s="1" t="s">
        <v>24</v>
      </c>
      <c r="I571">
        <f>IF(Table1[[#This Row],[Claim_Amount]]&lt;0,0,Table1[[#This Row],[Claim_Amount]])</f>
        <v>0</v>
      </c>
      <c r="J571" t="str">
        <f>IF(Table1[[#This Row],[Column1]]=0,"",Table1[[#This Row],[Column1]])</f>
        <v/>
      </c>
      <c r="K571" t="s">
        <v>1098</v>
      </c>
      <c r="M571" s="1" t="s">
        <v>121</v>
      </c>
      <c r="N571" s="1" t="s">
        <v>26</v>
      </c>
      <c r="P571" s="1" t="s">
        <v>65</v>
      </c>
    </row>
    <row r="572" spans="1:16" ht="15.75" customHeight="1" x14ac:dyDescent="0.35">
      <c r="A572" s="1" t="s">
        <v>430</v>
      </c>
      <c r="C572" s="1" t="s">
        <v>221</v>
      </c>
      <c r="D572" s="1" t="s">
        <v>783</v>
      </c>
      <c r="E572" s="1" t="s">
        <v>85</v>
      </c>
      <c r="F572" s="1" t="s">
        <v>53</v>
      </c>
      <c r="G572" s="1" t="s">
        <v>24</v>
      </c>
      <c r="H572" s="1">
        <v>2522.2600000000002</v>
      </c>
      <c r="I572" s="1">
        <f>IF(Table1[[#This Row],[Claim_Amount]]&lt;0,0,Table1[[#This Row],[Claim_Amount]])</f>
        <v>2522.2600000000002</v>
      </c>
      <c r="J572" s="1">
        <f>IF(Table1[[#This Row],[Column1]]=0,"",Table1[[#This Row],[Column1]])</f>
        <v>2522.2600000000002</v>
      </c>
      <c r="K572" s="1">
        <v>2522.2600000000002</v>
      </c>
      <c r="M572" s="1" t="s">
        <v>121</v>
      </c>
      <c r="N572" s="1" t="s">
        <v>32</v>
      </c>
      <c r="P572" s="1" t="s">
        <v>19</v>
      </c>
    </row>
    <row r="573" spans="1:16" ht="15.75" customHeight="1" x14ac:dyDescent="0.35">
      <c r="A573" s="1" t="s">
        <v>215</v>
      </c>
      <c r="C573" s="1" t="s">
        <v>232</v>
      </c>
      <c r="D573" s="1" t="s">
        <v>712</v>
      </c>
      <c r="E573" s="1" t="s">
        <v>35</v>
      </c>
      <c r="F573" s="1" t="s">
        <v>47</v>
      </c>
      <c r="G573" s="1" t="s">
        <v>24</v>
      </c>
      <c r="I573">
        <f>IF(Table1[[#This Row],[Claim_Amount]]&lt;0,0,Table1[[#This Row],[Claim_Amount]])</f>
        <v>0</v>
      </c>
      <c r="J573" t="str">
        <f>IF(Table1[[#This Row],[Column1]]=0,"",Table1[[#This Row],[Column1]])</f>
        <v/>
      </c>
      <c r="K573" t="s">
        <v>1098</v>
      </c>
      <c r="L573" s="1">
        <v>1088.33</v>
      </c>
      <c r="M573" s="1" t="s">
        <v>36</v>
      </c>
      <c r="N573" s="1" t="s">
        <v>26</v>
      </c>
      <c r="P573" s="1" t="s">
        <v>19</v>
      </c>
    </row>
    <row r="574" spans="1:16" ht="15.75" customHeight="1" x14ac:dyDescent="0.35">
      <c r="A574" s="1" t="s">
        <v>192</v>
      </c>
      <c r="D574" s="1" t="s">
        <v>784</v>
      </c>
      <c r="E574" s="1" t="s">
        <v>92</v>
      </c>
      <c r="F574" s="1" t="s">
        <v>31</v>
      </c>
      <c r="G574" s="1" t="s">
        <v>54</v>
      </c>
      <c r="H574" s="1">
        <v>2157.9499999999998</v>
      </c>
      <c r="I574" s="1">
        <f>IF(Table1[[#This Row],[Claim_Amount]]&lt;0,0,Table1[[#This Row],[Claim_Amount]])</f>
        <v>2157.9499999999998</v>
      </c>
      <c r="J574" s="1">
        <f>IF(Table1[[#This Row],[Column1]]=0,"",Table1[[#This Row],[Column1]])</f>
        <v>2157.9499999999998</v>
      </c>
      <c r="K574" s="1">
        <v>2157.9499999999998</v>
      </c>
      <c r="M574" s="1" t="s">
        <v>121</v>
      </c>
      <c r="N574" s="1" t="s">
        <v>32</v>
      </c>
    </row>
    <row r="575" spans="1:16" ht="15.75" customHeight="1" x14ac:dyDescent="0.35">
      <c r="A575" s="1" t="s">
        <v>132</v>
      </c>
      <c r="D575" s="1" t="s">
        <v>785</v>
      </c>
      <c r="E575" s="1" t="s">
        <v>35</v>
      </c>
      <c r="F575" s="1" t="s">
        <v>31</v>
      </c>
      <c r="H575" s="1">
        <v>3120.86</v>
      </c>
      <c r="I575" s="1">
        <f>IF(Table1[[#This Row],[Claim_Amount]]&lt;0,0,Table1[[#This Row],[Claim_Amount]])</f>
        <v>3120.86</v>
      </c>
      <c r="J575" s="1">
        <f>IF(Table1[[#This Row],[Column1]]=0,"",Table1[[#This Row],[Column1]])</f>
        <v>3120.86</v>
      </c>
      <c r="K575" s="1">
        <v>3120.86</v>
      </c>
      <c r="L575" s="1">
        <v>4039.4</v>
      </c>
      <c r="M575" s="1" t="s">
        <v>25</v>
      </c>
      <c r="N575" s="1" t="s">
        <v>26</v>
      </c>
      <c r="P575" s="1" t="s">
        <v>19</v>
      </c>
    </row>
    <row r="576" spans="1:16" ht="15.75" customHeight="1" x14ac:dyDescent="0.35">
      <c r="A576" s="1" t="s">
        <v>117</v>
      </c>
      <c r="C576" s="1" t="s">
        <v>174</v>
      </c>
      <c r="D576" s="1" t="s">
        <v>84</v>
      </c>
      <c r="E576" s="1" t="s">
        <v>22</v>
      </c>
      <c r="F576" s="1" t="s">
        <v>23</v>
      </c>
      <c r="I576">
        <f>IF(Table1[[#This Row],[Claim_Amount]]&lt;0,0,Table1[[#This Row],[Claim_Amount]])</f>
        <v>0</v>
      </c>
      <c r="J576" t="str">
        <f>IF(Table1[[#This Row],[Column1]]=0,"",Table1[[#This Row],[Column1]])</f>
        <v/>
      </c>
      <c r="K576" t="s">
        <v>1098</v>
      </c>
      <c r="M576" s="1" t="s">
        <v>36</v>
      </c>
      <c r="N576" s="1" t="s">
        <v>49</v>
      </c>
      <c r="O576" s="1">
        <v>7</v>
      </c>
      <c r="P576" s="1" t="s">
        <v>37</v>
      </c>
    </row>
    <row r="577" spans="1:16" ht="15.75" customHeight="1" x14ac:dyDescent="0.35">
      <c r="A577" s="1" t="s">
        <v>55</v>
      </c>
      <c r="D577" s="1" t="s">
        <v>459</v>
      </c>
      <c r="E577" s="1" t="s">
        <v>92</v>
      </c>
      <c r="F577" s="1" t="s">
        <v>31</v>
      </c>
      <c r="I577">
        <f>IF(Table1[[#This Row],[Claim_Amount]]&lt;0,0,Table1[[#This Row],[Claim_Amount]])</f>
        <v>0</v>
      </c>
      <c r="J577" t="str">
        <f>IF(Table1[[#This Row],[Column1]]=0,"",Table1[[#This Row],[Column1]])</f>
        <v/>
      </c>
      <c r="K577" t="s">
        <v>1098</v>
      </c>
      <c r="M577" s="1" t="s">
        <v>25</v>
      </c>
      <c r="N577" s="1" t="s">
        <v>26</v>
      </c>
      <c r="O577" s="1">
        <v>1</v>
      </c>
      <c r="P577" s="1" t="s">
        <v>27</v>
      </c>
    </row>
    <row r="578" spans="1:16" ht="15.75" customHeight="1" x14ac:dyDescent="0.35">
      <c r="A578" s="1" t="s">
        <v>302</v>
      </c>
      <c r="D578" s="1" t="s">
        <v>390</v>
      </c>
      <c r="E578" s="1" t="s">
        <v>30</v>
      </c>
      <c r="F578" s="1" t="s">
        <v>53</v>
      </c>
      <c r="G578" s="1" t="s">
        <v>24</v>
      </c>
      <c r="H578" s="1">
        <v>3100.53</v>
      </c>
      <c r="I578" s="1">
        <f>IF(Table1[[#This Row],[Claim_Amount]]&lt;0,0,Table1[[#This Row],[Claim_Amount]])</f>
        <v>3100.53</v>
      </c>
      <c r="J578" s="1">
        <f>IF(Table1[[#This Row],[Column1]]=0,"",Table1[[#This Row],[Column1]])</f>
        <v>3100.53</v>
      </c>
      <c r="K578" s="1">
        <v>3100.53</v>
      </c>
      <c r="M578" s="1" t="s">
        <v>121</v>
      </c>
      <c r="N578" s="1" t="s">
        <v>18</v>
      </c>
      <c r="P578" s="1" t="s">
        <v>37</v>
      </c>
    </row>
    <row r="579" spans="1:16" ht="15.75" customHeight="1" x14ac:dyDescent="0.35">
      <c r="A579" s="1" t="s">
        <v>168</v>
      </c>
      <c r="C579" s="1" t="s">
        <v>258</v>
      </c>
      <c r="D579" s="1" t="s">
        <v>171</v>
      </c>
      <c r="E579" s="1" t="s">
        <v>22</v>
      </c>
      <c r="F579" s="1" t="s">
        <v>93</v>
      </c>
      <c r="G579" s="1" t="s">
        <v>54</v>
      </c>
      <c r="H579" s="1">
        <v>-157</v>
      </c>
      <c r="I579" s="1">
        <f>IF(Table1[[#This Row],[Claim_Amount]]&lt;0,0,Table1[[#This Row],[Claim_Amount]])</f>
        <v>0</v>
      </c>
      <c r="J579" s="1" t="str">
        <f>IF(Table1[[#This Row],[Column1]]=0,"",Table1[[#This Row],[Column1]])</f>
        <v/>
      </c>
      <c r="K579" s="1" t="s">
        <v>1098</v>
      </c>
      <c r="M579" s="1" t="s">
        <v>42</v>
      </c>
      <c r="N579" s="1" t="s">
        <v>57</v>
      </c>
      <c r="P579" s="1" t="s">
        <v>65</v>
      </c>
    </row>
    <row r="580" spans="1:16" ht="15.75" customHeight="1" x14ac:dyDescent="0.35">
      <c r="A580" s="1" t="s">
        <v>96</v>
      </c>
      <c r="B580" s="1" t="s">
        <v>115</v>
      </c>
      <c r="C580" s="1" t="s">
        <v>100</v>
      </c>
      <c r="D580" s="1" t="s">
        <v>626</v>
      </c>
      <c r="E580" s="1" t="s">
        <v>30</v>
      </c>
      <c r="G580" s="1" t="s">
        <v>54</v>
      </c>
      <c r="H580" s="1">
        <v>-30</v>
      </c>
      <c r="I580" s="1">
        <f>IF(Table1[[#This Row],[Claim_Amount]]&lt;0,0,Table1[[#This Row],[Claim_Amount]])</f>
        <v>0</v>
      </c>
      <c r="J580" s="1" t="str">
        <f>IF(Table1[[#This Row],[Column1]]=0,"",Table1[[#This Row],[Column1]])</f>
        <v/>
      </c>
      <c r="K580" s="1" t="s">
        <v>1098</v>
      </c>
      <c r="M580" s="1" t="s">
        <v>17</v>
      </c>
      <c r="N580" s="1" t="s">
        <v>49</v>
      </c>
      <c r="P580" s="1" t="s">
        <v>27</v>
      </c>
    </row>
    <row r="581" spans="1:16" ht="15.75" customHeight="1" x14ac:dyDescent="0.35">
      <c r="A581" s="1" t="s">
        <v>102</v>
      </c>
      <c r="D581" s="1" t="s">
        <v>786</v>
      </c>
      <c r="E581" s="1" t="s">
        <v>22</v>
      </c>
      <c r="F581" s="1" t="s">
        <v>53</v>
      </c>
      <c r="G581" s="1" t="s">
        <v>41</v>
      </c>
      <c r="H581" s="1">
        <v>3313.33</v>
      </c>
      <c r="I581" s="1">
        <f>IF(Table1[[#This Row],[Claim_Amount]]&lt;0,0,Table1[[#This Row],[Claim_Amount]])</f>
        <v>3313.33</v>
      </c>
      <c r="J581" s="1">
        <f>IF(Table1[[#This Row],[Column1]]=0,"",Table1[[#This Row],[Column1]])</f>
        <v>3313.33</v>
      </c>
      <c r="K581" s="1">
        <v>3313.33</v>
      </c>
      <c r="M581" s="1" t="s">
        <v>25</v>
      </c>
      <c r="N581" s="1" t="s">
        <v>57</v>
      </c>
      <c r="O581" s="1">
        <v>55</v>
      </c>
      <c r="P581" s="1" t="s">
        <v>19</v>
      </c>
    </row>
    <row r="582" spans="1:16" ht="15.75" customHeight="1" x14ac:dyDescent="0.35">
      <c r="A582" s="1" t="s">
        <v>173</v>
      </c>
      <c r="B582" s="1" t="s">
        <v>506</v>
      </c>
      <c r="C582" s="1" t="s">
        <v>479</v>
      </c>
      <c r="D582" s="1" t="s">
        <v>787</v>
      </c>
      <c r="E582" s="1" t="s">
        <v>16</v>
      </c>
      <c r="F582" s="1" t="s">
        <v>53</v>
      </c>
      <c r="G582" s="1" t="s">
        <v>41</v>
      </c>
      <c r="H582" s="1">
        <v>-63</v>
      </c>
      <c r="I582" s="1">
        <f>IF(Table1[[#This Row],[Claim_Amount]]&lt;0,0,Table1[[#This Row],[Claim_Amount]])</f>
        <v>0</v>
      </c>
      <c r="J582" s="1" t="str">
        <f>IF(Table1[[#This Row],[Column1]]=0,"",Table1[[#This Row],[Column1]])</f>
        <v/>
      </c>
      <c r="K582" s="1" t="s">
        <v>1098</v>
      </c>
      <c r="L582" s="1">
        <v>548.33000000000004</v>
      </c>
      <c r="M582" s="1" t="s">
        <v>121</v>
      </c>
      <c r="N582" s="1" t="s">
        <v>26</v>
      </c>
      <c r="P582" s="1" t="s">
        <v>19</v>
      </c>
    </row>
    <row r="583" spans="1:16" ht="15.75" customHeight="1" x14ac:dyDescent="0.35">
      <c r="A583" s="1" t="s">
        <v>187</v>
      </c>
      <c r="D583" s="1" t="s">
        <v>788</v>
      </c>
      <c r="E583" s="1" t="s">
        <v>92</v>
      </c>
      <c r="F583" s="1" t="s">
        <v>23</v>
      </c>
      <c r="G583" s="1" t="s">
        <v>24</v>
      </c>
      <c r="H583" s="1">
        <v>3315.35</v>
      </c>
      <c r="I583" s="1">
        <f>IF(Table1[[#This Row],[Claim_Amount]]&lt;0,0,Table1[[#This Row],[Claim_Amount]])</f>
        <v>3315.35</v>
      </c>
      <c r="J583" s="1">
        <f>IF(Table1[[#This Row],[Column1]]=0,"",Table1[[#This Row],[Column1]])</f>
        <v>3315.35</v>
      </c>
      <c r="K583" s="1">
        <v>3315.35</v>
      </c>
      <c r="M583" s="1" t="s">
        <v>42</v>
      </c>
      <c r="N583" s="1" t="s">
        <v>49</v>
      </c>
    </row>
    <row r="584" spans="1:16" ht="15.75" customHeight="1" x14ac:dyDescent="0.35">
      <c r="A584" s="1" t="s">
        <v>89</v>
      </c>
      <c r="D584" s="1" t="s">
        <v>789</v>
      </c>
      <c r="E584" s="1" t="s">
        <v>30</v>
      </c>
      <c r="F584" s="1" t="s">
        <v>23</v>
      </c>
      <c r="G584" s="1" t="s">
        <v>54</v>
      </c>
      <c r="I584">
        <f>IF(Table1[[#This Row],[Claim_Amount]]&lt;0,0,Table1[[#This Row],[Claim_Amount]])</f>
        <v>0</v>
      </c>
      <c r="J584" t="str">
        <f>IF(Table1[[#This Row],[Column1]]=0,"",Table1[[#This Row],[Column1]])</f>
        <v/>
      </c>
      <c r="K584" t="s">
        <v>1098</v>
      </c>
      <c r="L584" s="1">
        <v>4341.03</v>
      </c>
      <c r="M584" s="1" t="s">
        <v>17</v>
      </c>
      <c r="N584" s="1" t="s">
        <v>26</v>
      </c>
      <c r="O584" s="1">
        <v>20</v>
      </c>
      <c r="P584" s="1" t="s">
        <v>65</v>
      </c>
    </row>
    <row r="585" spans="1:16" ht="15.75" customHeight="1" x14ac:dyDescent="0.35">
      <c r="A585" s="1" t="s">
        <v>96</v>
      </c>
      <c r="D585" s="1" t="s">
        <v>790</v>
      </c>
      <c r="E585" s="1" t="s">
        <v>92</v>
      </c>
      <c r="G585" s="1" t="s">
        <v>54</v>
      </c>
      <c r="H585" s="1">
        <v>-129</v>
      </c>
      <c r="I585" s="1">
        <f>IF(Table1[[#This Row],[Claim_Amount]]&lt;0,0,Table1[[#This Row],[Claim_Amount]])</f>
        <v>0</v>
      </c>
      <c r="J585" s="1" t="str">
        <f>IF(Table1[[#This Row],[Column1]]=0,"",Table1[[#This Row],[Column1]])</f>
        <v/>
      </c>
      <c r="K585" s="1" t="s">
        <v>1098</v>
      </c>
      <c r="M585" s="1" t="s">
        <v>17</v>
      </c>
      <c r="N585" s="1" t="s">
        <v>32</v>
      </c>
      <c r="O585" s="1">
        <v>11</v>
      </c>
      <c r="P585" s="1" t="s">
        <v>27</v>
      </c>
    </row>
    <row r="586" spans="1:16" ht="15.75" customHeight="1" x14ac:dyDescent="0.35">
      <c r="A586" s="1" t="s">
        <v>78</v>
      </c>
      <c r="D586" s="1" t="s">
        <v>287</v>
      </c>
      <c r="E586" s="1" t="s">
        <v>77</v>
      </c>
      <c r="F586" s="1" t="s">
        <v>53</v>
      </c>
      <c r="G586" s="1" t="s">
        <v>54</v>
      </c>
      <c r="H586" s="1">
        <v>3748.04</v>
      </c>
      <c r="I586" s="1">
        <f>IF(Table1[[#This Row],[Claim_Amount]]&lt;0,0,Table1[[#This Row],[Claim_Amount]])</f>
        <v>3748.04</v>
      </c>
      <c r="J586" s="1">
        <f>IF(Table1[[#This Row],[Column1]]=0,"",Table1[[#This Row],[Column1]])</f>
        <v>3748.04</v>
      </c>
      <c r="K586" s="1">
        <v>3748.04</v>
      </c>
      <c r="M586" s="1" t="s">
        <v>17</v>
      </c>
      <c r="N586" s="1" t="s">
        <v>57</v>
      </c>
      <c r="P586" s="1" t="s">
        <v>19</v>
      </c>
    </row>
    <row r="587" spans="1:16" ht="15.75" customHeight="1" x14ac:dyDescent="0.35">
      <c r="A587" s="1" t="s">
        <v>215</v>
      </c>
      <c r="B587" s="1" t="s">
        <v>394</v>
      </c>
      <c r="D587" s="1" t="s">
        <v>628</v>
      </c>
      <c r="E587" s="1" t="s">
        <v>22</v>
      </c>
      <c r="G587" s="1" t="s">
        <v>54</v>
      </c>
      <c r="H587" s="1">
        <v>1793.65</v>
      </c>
      <c r="I587" s="1">
        <f>IF(Table1[[#This Row],[Claim_Amount]]&lt;0,0,Table1[[#This Row],[Claim_Amount]])</f>
        <v>1793.65</v>
      </c>
      <c r="J587" s="1">
        <f>IF(Table1[[#This Row],[Column1]]=0,"",Table1[[#This Row],[Column1]])</f>
        <v>1793.65</v>
      </c>
      <c r="K587" s="1">
        <v>1793.65</v>
      </c>
      <c r="M587" s="1" t="s">
        <v>121</v>
      </c>
      <c r="N587" s="1" t="s">
        <v>18</v>
      </c>
      <c r="O587" s="1">
        <v>22</v>
      </c>
      <c r="P587" s="1" t="s">
        <v>19</v>
      </c>
    </row>
    <row r="588" spans="1:16" ht="15.75" customHeight="1" x14ac:dyDescent="0.35">
      <c r="A588" s="1" t="s">
        <v>187</v>
      </c>
      <c r="C588" s="1" t="s">
        <v>373</v>
      </c>
      <c r="D588" s="1" t="s">
        <v>259</v>
      </c>
      <c r="E588" s="1" t="s">
        <v>35</v>
      </c>
      <c r="F588" s="1" t="s">
        <v>23</v>
      </c>
      <c r="I588">
        <f>IF(Table1[[#This Row],[Claim_Amount]]&lt;0,0,Table1[[#This Row],[Claim_Amount]])</f>
        <v>0</v>
      </c>
      <c r="J588" t="str">
        <f>IF(Table1[[#This Row],[Column1]]=0,"",Table1[[#This Row],[Column1]])</f>
        <v/>
      </c>
      <c r="K588" t="s">
        <v>1098</v>
      </c>
      <c r="M588" s="1" t="s">
        <v>25</v>
      </c>
      <c r="N588" s="1" t="s">
        <v>49</v>
      </c>
      <c r="P588" s="1" t="s">
        <v>65</v>
      </c>
    </row>
    <row r="589" spans="1:16" ht="15.75" customHeight="1" x14ac:dyDescent="0.35">
      <c r="A589" s="1" t="s">
        <v>302</v>
      </c>
      <c r="B589" s="1" t="s">
        <v>612</v>
      </c>
      <c r="D589" s="1" t="s">
        <v>741</v>
      </c>
      <c r="E589" s="1" t="s">
        <v>35</v>
      </c>
      <c r="F589" s="1" t="s">
        <v>53</v>
      </c>
      <c r="I589">
        <f>IF(Table1[[#This Row],[Claim_Amount]]&lt;0,0,Table1[[#This Row],[Claim_Amount]])</f>
        <v>0</v>
      </c>
      <c r="J589" t="str">
        <f>IF(Table1[[#This Row],[Column1]]=0,"",Table1[[#This Row],[Column1]])</f>
        <v/>
      </c>
      <c r="K589" t="s">
        <v>1098</v>
      </c>
      <c r="L589" s="1">
        <v>1030.8399999999999</v>
      </c>
      <c r="M589" s="1" t="s">
        <v>121</v>
      </c>
      <c r="N589" s="1" t="s">
        <v>49</v>
      </c>
      <c r="P589" s="1" t="s">
        <v>37</v>
      </c>
    </row>
    <row r="590" spans="1:16" ht="15.75" customHeight="1" x14ac:dyDescent="0.35">
      <c r="A590" s="1" t="s">
        <v>55</v>
      </c>
      <c r="D590" s="1" t="s">
        <v>791</v>
      </c>
      <c r="E590" s="1" t="s">
        <v>16</v>
      </c>
      <c r="F590" s="1" t="s">
        <v>31</v>
      </c>
      <c r="G590" s="1" t="s">
        <v>61</v>
      </c>
      <c r="H590" s="1">
        <v>3236.15</v>
      </c>
      <c r="I590" s="1">
        <f>IF(Table1[[#This Row],[Claim_Amount]]&lt;0,0,Table1[[#This Row],[Claim_Amount]])</f>
        <v>3236.15</v>
      </c>
      <c r="J590" s="1">
        <f>IF(Table1[[#This Row],[Column1]]=0,"",Table1[[#This Row],[Column1]])</f>
        <v>3236.15</v>
      </c>
      <c r="K590" s="1">
        <v>3236.15</v>
      </c>
      <c r="M590" s="1" t="s">
        <v>17</v>
      </c>
      <c r="N590" s="1" t="s">
        <v>49</v>
      </c>
    </row>
    <row r="591" spans="1:16" ht="15.75" customHeight="1" x14ac:dyDescent="0.35">
      <c r="A591" s="1" t="s">
        <v>166</v>
      </c>
      <c r="C591" s="1" t="s">
        <v>792</v>
      </c>
      <c r="D591" s="1" t="s">
        <v>793</v>
      </c>
      <c r="E591" s="1" t="s">
        <v>92</v>
      </c>
      <c r="F591" s="1" t="s">
        <v>31</v>
      </c>
      <c r="G591" s="1" t="s">
        <v>41</v>
      </c>
      <c r="H591" s="1">
        <v>3780.78</v>
      </c>
      <c r="I591" s="1">
        <f>IF(Table1[[#This Row],[Claim_Amount]]&lt;0,0,Table1[[#This Row],[Claim_Amount]])</f>
        <v>3780.78</v>
      </c>
      <c r="J591" s="1">
        <f>IF(Table1[[#This Row],[Column1]]=0,"",Table1[[#This Row],[Column1]])</f>
        <v>3780.78</v>
      </c>
      <c r="K591" s="1">
        <v>3780.78</v>
      </c>
      <c r="M591" s="1" t="s">
        <v>121</v>
      </c>
      <c r="N591" s="1" t="s">
        <v>57</v>
      </c>
      <c r="P591" s="1" t="s">
        <v>27</v>
      </c>
    </row>
    <row r="592" spans="1:16" ht="15.75" customHeight="1" x14ac:dyDescent="0.35">
      <c r="A592" s="1" t="s">
        <v>321</v>
      </c>
      <c r="C592" s="1" t="s">
        <v>336</v>
      </c>
      <c r="D592" s="1" t="s">
        <v>794</v>
      </c>
      <c r="E592" s="1" t="s">
        <v>85</v>
      </c>
      <c r="F592" s="1" t="s">
        <v>23</v>
      </c>
      <c r="G592" s="1" t="s">
        <v>61</v>
      </c>
      <c r="H592" s="1">
        <v>-92</v>
      </c>
      <c r="I592" s="1">
        <f>IF(Table1[[#This Row],[Claim_Amount]]&lt;0,0,Table1[[#This Row],[Claim_Amount]])</f>
        <v>0</v>
      </c>
      <c r="J592" s="1" t="str">
        <f>IF(Table1[[#This Row],[Column1]]=0,"",Table1[[#This Row],[Column1]])</f>
        <v/>
      </c>
      <c r="K592" s="1" t="s">
        <v>1098</v>
      </c>
      <c r="L592" s="1">
        <v>1170.3900000000001</v>
      </c>
      <c r="M592" s="1" t="s">
        <v>17</v>
      </c>
      <c r="N592" s="1" t="s">
        <v>32</v>
      </c>
      <c r="P592" s="1" t="s">
        <v>19</v>
      </c>
    </row>
    <row r="593" spans="1:16" ht="15.75" customHeight="1" x14ac:dyDescent="0.35">
      <c r="A593" s="1" t="s">
        <v>321</v>
      </c>
      <c r="C593" s="1" t="s">
        <v>238</v>
      </c>
      <c r="D593" s="1" t="s">
        <v>320</v>
      </c>
      <c r="E593" s="1" t="s">
        <v>92</v>
      </c>
      <c r="G593" s="1" t="s">
        <v>54</v>
      </c>
      <c r="I593">
        <f>IF(Table1[[#This Row],[Claim_Amount]]&lt;0,0,Table1[[#This Row],[Claim_Amount]])</f>
        <v>0</v>
      </c>
      <c r="J593" t="str">
        <f>IF(Table1[[#This Row],[Column1]]=0,"",Table1[[#This Row],[Column1]])</f>
        <v/>
      </c>
      <c r="K593" t="s">
        <v>1098</v>
      </c>
      <c r="L593" s="1">
        <v>3508.39</v>
      </c>
      <c r="M593" s="1" t="s">
        <v>36</v>
      </c>
      <c r="N593" s="1" t="s">
        <v>49</v>
      </c>
      <c r="O593" s="1">
        <v>7</v>
      </c>
      <c r="P593" s="1" t="s">
        <v>27</v>
      </c>
    </row>
    <row r="594" spans="1:16" ht="15.75" customHeight="1" x14ac:dyDescent="0.35">
      <c r="A594" s="1" t="s">
        <v>50</v>
      </c>
      <c r="D594" s="1" t="s">
        <v>795</v>
      </c>
      <c r="E594" s="1" t="s">
        <v>85</v>
      </c>
      <c r="F594" s="1" t="s">
        <v>47</v>
      </c>
      <c r="G594" s="1" t="s">
        <v>48</v>
      </c>
      <c r="I594">
        <f>IF(Table1[[#This Row],[Claim_Amount]]&lt;0,0,Table1[[#This Row],[Claim_Amount]])</f>
        <v>0</v>
      </c>
      <c r="J594" t="str">
        <f>IF(Table1[[#This Row],[Column1]]=0,"",Table1[[#This Row],[Column1]])</f>
        <v/>
      </c>
      <c r="K594" t="s">
        <v>1098</v>
      </c>
      <c r="M594" s="1" t="s">
        <v>17</v>
      </c>
      <c r="N594" s="1" t="s">
        <v>26</v>
      </c>
      <c r="P594" s="1" t="s">
        <v>19</v>
      </c>
    </row>
    <row r="595" spans="1:16" ht="15.75" customHeight="1" x14ac:dyDescent="0.35">
      <c r="A595" s="1" t="s">
        <v>28</v>
      </c>
      <c r="B595" s="1" t="s">
        <v>796</v>
      </c>
      <c r="C595" s="1" t="s">
        <v>378</v>
      </c>
      <c r="D595" s="1" t="s">
        <v>797</v>
      </c>
      <c r="E595" s="1" t="s">
        <v>16</v>
      </c>
      <c r="F595" s="1" t="s">
        <v>93</v>
      </c>
      <c r="G595" s="1" t="s">
        <v>61</v>
      </c>
      <c r="H595" s="1">
        <v>-129</v>
      </c>
      <c r="I595" s="1">
        <f>IF(Table1[[#This Row],[Claim_Amount]]&lt;0,0,Table1[[#This Row],[Claim_Amount]])</f>
        <v>0</v>
      </c>
      <c r="J595" s="1" t="str">
        <f>IF(Table1[[#This Row],[Column1]]=0,"",Table1[[#This Row],[Column1]])</f>
        <v/>
      </c>
      <c r="K595" s="1" t="s">
        <v>1098</v>
      </c>
      <c r="L595" s="1">
        <v>980.19</v>
      </c>
      <c r="M595" s="1" t="s">
        <v>42</v>
      </c>
      <c r="N595" s="1" t="s">
        <v>18</v>
      </c>
    </row>
    <row r="596" spans="1:16" ht="15.75" customHeight="1" x14ac:dyDescent="0.35">
      <c r="A596" s="1" t="s">
        <v>163</v>
      </c>
      <c r="D596" s="1" t="s">
        <v>798</v>
      </c>
      <c r="E596" s="1" t="s">
        <v>85</v>
      </c>
      <c r="F596" s="1" t="s">
        <v>93</v>
      </c>
      <c r="G596" s="1" t="s">
        <v>41</v>
      </c>
      <c r="I596">
        <f>IF(Table1[[#This Row],[Claim_Amount]]&lt;0,0,Table1[[#This Row],[Claim_Amount]])</f>
        <v>0</v>
      </c>
      <c r="J596" t="str">
        <f>IF(Table1[[#This Row],[Column1]]=0,"",Table1[[#This Row],[Column1]])</f>
        <v/>
      </c>
      <c r="K596" t="s">
        <v>1098</v>
      </c>
      <c r="L596" s="1">
        <v>3911.1</v>
      </c>
      <c r="M596" s="1" t="s">
        <v>25</v>
      </c>
      <c r="N596" s="1" t="s">
        <v>32</v>
      </c>
      <c r="O596" s="1">
        <v>27</v>
      </c>
      <c r="P596" s="1" t="s">
        <v>27</v>
      </c>
    </row>
    <row r="597" spans="1:16" ht="15.75" customHeight="1" x14ac:dyDescent="0.35">
      <c r="A597" s="1" t="s">
        <v>209</v>
      </c>
      <c r="B597" s="1" t="s">
        <v>799</v>
      </c>
      <c r="D597" s="1" t="s">
        <v>120</v>
      </c>
      <c r="E597" s="1" t="s">
        <v>77</v>
      </c>
      <c r="F597" s="1" t="s">
        <v>93</v>
      </c>
      <c r="G597" s="1" t="s">
        <v>41</v>
      </c>
      <c r="H597" s="1">
        <v>-179</v>
      </c>
      <c r="I597" s="1">
        <f>IF(Table1[[#This Row],[Claim_Amount]]&lt;0,0,Table1[[#This Row],[Claim_Amount]])</f>
        <v>0</v>
      </c>
      <c r="J597" s="1" t="str">
        <f>IF(Table1[[#This Row],[Column1]]=0,"",Table1[[#This Row],[Column1]])</f>
        <v/>
      </c>
      <c r="K597" s="1" t="s">
        <v>1098</v>
      </c>
      <c r="L597" s="1">
        <v>1792.19</v>
      </c>
      <c r="M597" s="1" t="s">
        <v>36</v>
      </c>
      <c r="N597" s="1" t="s">
        <v>26</v>
      </c>
      <c r="P597" s="1" t="s">
        <v>65</v>
      </c>
    </row>
    <row r="598" spans="1:16" ht="15.75" customHeight="1" x14ac:dyDescent="0.35">
      <c r="A598" s="1" t="s">
        <v>50</v>
      </c>
      <c r="D598" s="1" t="s">
        <v>392</v>
      </c>
      <c r="E598" s="1" t="s">
        <v>16</v>
      </c>
      <c r="F598" s="1" t="s">
        <v>23</v>
      </c>
      <c r="I598">
        <f>IF(Table1[[#This Row],[Claim_Amount]]&lt;0,0,Table1[[#This Row],[Claim_Amount]])</f>
        <v>0</v>
      </c>
      <c r="J598" t="str">
        <f>IF(Table1[[#This Row],[Column1]]=0,"",Table1[[#This Row],[Column1]])</f>
        <v/>
      </c>
      <c r="K598" t="s">
        <v>1098</v>
      </c>
      <c r="M598" s="1" t="s">
        <v>17</v>
      </c>
      <c r="N598" s="1" t="s">
        <v>57</v>
      </c>
    </row>
    <row r="599" spans="1:16" ht="15.75" customHeight="1" x14ac:dyDescent="0.35">
      <c r="A599" s="1" t="s">
        <v>117</v>
      </c>
      <c r="C599" s="1" t="s">
        <v>479</v>
      </c>
      <c r="D599" s="1" t="s">
        <v>800</v>
      </c>
      <c r="E599" s="1" t="s">
        <v>16</v>
      </c>
      <c r="F599" s="1" t="s">
        <v>23</v>
      </c>
      <c r="G599" s="1" t="s">
        <v>61</v>
      </c>
      <c r="H599" s="1">
        <v>2897.39</v>
      </c>
      <c r="I599" s="1">
        <f>IF(Table1[[#This Row],[Claim_Amount]]&lt;0,0,Table1[[#This Row],[Claim_Amount]])</f>
        <v>2897.39</v>
      </c>
      <c r="J599" s="1">
        <f>IF(Table1[[#This Row],[Column1]]=0,"",Table1[[#This Row],[Column1]])</f>
        <v>2897.39</v>
      </c>
      <c r="K599" s="1">
        <v>2897.39</v>
      </c>
      <c r="M599" s="1" t="s">
        <v>17</v>
      </c>
      <c r="N599" s="1" t="s">
        <v>57</v>
      </c>
      <c r="P599" s="1" t="s">
        <v>37</v>
      </c>
    </row>
    <row r="600" spans="1:16" ht="15.75" customHeight="1" x14ac:dyDescent="0.35">
      <c r="A600" s="1" t="s">
        <v>78</v>
      </c>
      <c r="B600" s="1" t="s">
        <v>801</v>
      </c>
      <c r="D600" s="1" t="s">
        <v>802</v>
      </c>
      <c r="E600" s="1" t="s">
        <v>92</v>
      </c>
      <c r="G600" s="1" t="s">
        <v>41</v>
      </c>
      <c r="H600" s="1">
        <v>3543.97</v>
      </c>
      <c r="I600" s="1">
        <f>IF(Table1[[#This Row],[Claim_Amount]]&lt;0,0,Table1[[#This Row],[Claim_Amount]])</f>
        <v>3543.97</v>
      </c>
      <c r="J600" s="1">
        <f>IF(Table1[[#This Row],[Column1]]=0,"",Table1[[#This Row],[Column1]])</f>
        <v>3543.97</v>
      </c>
      <c r="K600" s="1">
        <v>3543.97</v>
      </c>
      <c r="M600" s="1" t="s">
        <v>36</v>
      </c>
      <c r="N600" s="1" t="s">
        <v>49</v>
      </c>
      <c r="P600" s="1" t="s">
        <v>65</v>
      </c>
    </row>
    <row r="601" spans="1:16" ht="15.75" customHeight="1" x14ac:dyDescent="0.35">
      <c r="A601" s="1" t="s">
        <v>132</v>
      </c>
      <c r="C601" s="1" t="s">
        <v>636</v>
      </c>
      <c r="D601" s="1" t="s">
        <v>439</v>
      </c>
      <c r="E601" s="1" t="s">
        <v>16</v>
      </c>
      <c r="G601" s="1" t="s">
        <v>48</v>
      </c>
      <c r="I601">
        <f>IF(Table1[[#This Row],[Claim_Amount]]&lt;0,0,Table1[[#This Row],[Claim_Amount]])</f>
        <v>0</v>
      </c>
      <c r="J601" t="str">
        <f>IF(Table1[[#This Row],[Column1]]=0,"",Table1[[#This Row],[Column1]])</f>
        <v/>
      </c>
      <c r="K601" t="s">
        <v>1098</v>
      </c>
      <c r="L601" s="1">
        <v>4873.1400000000003</v>
      </c>
      <c r="M601" s="1" t="s">
        <v>17</v>
      </c>
      <c r="N601" s="1" t="s">
        <v>26</v>
      </c>
      <c r="P601" s="1" t="s">
        <v>37</v>
      </c>
    </row>
    <row r="602" spans="1:16" ht="15.75" customHeight="1" x14ac:dyDescent="0.35">
      <c r="A602" s="1" t="s">
        <v>66</v>
      </c>
      <c r="D602" s="1" t="s">
        <v>357</v>
      </c>
      <c r="E602" s="1" t="s">
        <v>35</v>
      </c>
      <c r="F602" s="1" t="s">
        <v>31</v>
      </c>
      <c r="G602" s="1" t="s">
        <v>24</v>
      </c>
      <c r="I602">
        <f>IF(Table1[[#This Row],[Claim_Amount]]&lt;0,0,Table1[[#This Row],[Claim_Amount]])</f>
        <v>0</v>
      </c>
      <c r="J602" t="str">
        <f>IF(Table1[[#This Row],[Column1]]=0,"",Table1[[#This Row],[Column1]])</f>
        <v/>
      </c>
      <c r="K602" t="s">
        <v>1098</v>
      </c>
      <c r="L602" s="1">
        <v>3887.52</v>
      </c>
      <c r="M602" s="1" t="s">
        <v>42</v>
      </c>
      <c r="N602" s="1" t="s">
        <v>32</v>
      </c>
      <c r="P602" s="1" t="s">
        <v>27</v>
      </c>
    </row>
    <row r="603" spans="1:16" ht="15.75" customHeight="1" x14ac:dyDescent="0.35">
      <c r="A603" s="1" t="s">
        <v>73</v>
      </c>
      <c r="D603" s="1" t="s">
        <v>803</v>
      </c>
      <c r="E603" s="1" t="s">
        <v>92</v>
      </c>
      <c r="G603" s="1" t="s">
        <v>41</v>
      </c>
      <c r="H603" s="1">
        <v>-179</v>
      </c>
      <c r="I603" s="1">
        <f>IF(Table1[[#This Row],[Claim_Amount]]&lt;0,0,Table1[[#This Row],[Claim_Amount]])</f>
        <v>0</v>
      </c>
      <c r="J603" s="1" t="str">
        <f>IF(Table1[[#This Row],[Column1]]=0,"",Table1[[#This Row],[Column1]])</f>
        <v/>
      </c>
      <c r="K603" s="1" t="s">
        <v>1098</v>
      </c>
      <c r="M603" s="1" t="s">
        <v>36</v>
      </c>
      <c r="N603" s="1" t="s">
        <v>26</v>
      </c>
      <c r="P603" s="1" t="s">
        <v>65</v>
      </c>
    </row>
    <row r="604" spans="1:16" ht="15.75" customHeight="1" x14ac:dyDescent="0.35">
      <c r="A604" s="1" t="s">
        <v>249</v>
      </c>
      <c r="C604" s="1" t="s">
        <v>625</v>
      </c>
      <c r="D604" s="1" t="s">
        <v>344</v>
      </c>
      <c r="E604" s="1" t="s">
        <v>92</v>
      </c>
      <c r="F604" s="1" t="s">
        <v>93</v>
      </c>
      <c r="H604" s="1">
        <v>491.91</v>
      </c>
      <c r="I604" s="1">
        <f>IF(Table1[[#This Row],[Claim_Amount]]&lt;0,0,Table1[[#This Row],[Claim_Amount]])</f>
        <v>491.91</v>
      </c>
      <c r="J604" s="1">
        <f>IF(Table1[[#This Row],[Column1]]=0,"",Table1[[#This Row],[Column1]])</f>
        <v>491.91</v>
      </c>
      <c r="K604" s="1">
        <v>491.91</v>
      </c>
      <c r="M604" s="1" t="s">
        <v>36</v>
      </c>
      <c r="N604" s="1" t="s">
        <v>49</v>
      </c>
      <c r="P604" s="1" t="s">
        <v>65</v>
      </c>
    </row>
    <row r="605" spans="1:16" ht="15.75" customHeight="1" x14ac:dyDescent="0.35">
      <c r="A605" s="1" t="s">
        <v>247</v>
      </c>
      <c r="D605" s="1" t="s">
        <v>804</v>
      </c>
      <c r="E605" s="1" t="s">
        <v>85</v>
      </c>
      <c r="F605" s="1" t="s">
        <v>23</v>
      </c>
      <c r="G605" s="1" t="s">
        <v>54</v>
      </c>
      <c r="H605" s="1">
        <v>2624.38</v>
      </c>
      <c r="I605" s="1">
        <f>IF(Table1[[#This Row],[Claim_Amount]]&lt;0,0,Table1[[#This Row],[Claim_Amount]])</f>
        <v>2624.38</v>
      </c>
      <c r="J605" s="1">
        <f>IF(Table1[[#This Row],[Column1]]=0,"",Table1[[#This Row],[Column1]])</f>
        <v>2624.38</v>
      </c>
      <c r="K605" s="1">
        <v>2624.38</v>
      </c>
      <c r="M605" s="1" t="s">
        <v>36</v>
      </c>
      <c r="N605" s="1" t="s">
        <v>32</v>
      </c>
      <c r="O605" s="1">
        <v>18</v>
      </c>
      <c r="P605" s="1" t="s">
        <v>19</v>
      </c>
    </row>
    <row r="606" spans="1:16" ht="15.75" customHeight="1" x14ac:dyDescent="0.35">
      <c r="A606" s="1" t="s">
        <v>117</v>
      </c>
      <c r="B606" s="1" t="s">
        <v>805</v>
      </c>
      <c r="C606" s="1" t="s">
        <v>503</v>
      </c>
      <c r="D606" s="1" t="s">
        <v>396</v>
      </c>
      <c r="E606" s="1" t="s">
        <v>35</v>
      </c>
      <c r="F606" s="1" t="s">
        <v>93</v>
      </c>
      <c r="G606" s="1" t="s">
        <v>41</v>
      </c>
      <c r="I606">
        <f>IF(Table1[[#This Row],[Claim_Amount]]&lt;0,0,Table1[[#This Row],[Claim_Amount]])</f>
        <v>0</v>
      </c>
      <c r="J606" t="str">
        <f>IF(Table1[[#This Row],[Column1]]=0,"",Table1[[#This Row],[Column1]])</f>
        <v/>
      </c>
      <c r="K606" t="s">
        <v>1098</v>
      </c>
      <c r="L606" s="1">
        <v>127.18</v>
      </c>
      <c r="M606" s="1" t="s">
        <v>17</v>
      </c>
      <c r="N606" s="1" t="s">
        <v>32</v>
      </c>
      <c r="P606" s="1" t="s">
        <v>19</v>
      </c>
    </row>
    <row r="607" spans="1:16" ht="15.75" customHeight="1" x14ac:dyDescent="0.35">
      <c r="A607" s="1" t="s">
        <v>82</v>
      </c>
      <c r="D607" s="1" t="s">
        <v>806</v>
      </c>
      <c r="E607" s="1" t="s">
        <v>92</v>
      </c>
      <c r="F607" s="1" t="s">
        <v>93</v>
      </c>
      <c r="G607" s="1" t="s">
        <v>41</v>
      </c>
      <c r="I607">
        <f>IF(Table1[[#This Row],[Claim_Amount]]&lt;0,0,Table1[[#This Row],[Claim_Amount]])</f>
        <v>0</v>
      </c>
      <c r="J607" t="str">
        <f>IF(Table1[[#This Row],[Column1]]=0,"",Table1[[#This Row],[Column1]])</f>
        <v/>
      </c>
      <c r="K607" t="s">
        <v>1098</v>
      </c>
      <c r="M607" s="1" t="s">
        <v>42</v>
      </c>
      <c r="N607" s="1" t="s">
        <v>18</v>
      </c>
      <c r="O607" s="1">
        <v>46</v>
      </c>
      <c r="P607" s="1" t="s">
        <v>37</v>
      </c>
    </row>
    <row r="608" spans="1:16" ht="15.75" customHeight="1" x14ac:dyDescent="0.35">
      <c r="A608" s="1" t="s">
        <v>66</v>
      </c>
      <c r="C608" s="1" t="s">
        <v>581</v>
      </c>
      <c r="D608" s="1" t="s">
        <v>807</v>
      </c>
      <c r="E608" s="1" t="s">
        <v>35</v>
      </c>
      <c r="F608" s="1" t="s">
        <v>53</v>
      </c>
      <c r="G608" s="1" t="s">
        <v>48</v>
      </c>
      <c r="I608">
        <f>IF(Table1[[#This Row],[Claim_Amount]]&lt;0,0,Table1[[#This Row],[Claim_Amount]])</f>
        <v>0</v>
      </c>
      <c r="J608" t="str">
        <f>IF(Table1[[#This Row],[Column1]]=0,"",Table1[[#This Row],[Column1]])</f>
        <v/>
      </c>
      <c r="K608" t="s">
        <v>1098</v>
      </c>
      <c r="M608" s="1" t="s">
        <v>42</v>
      </c>
      <c r="N608" s="1" t="s">
        <v>18</v>
      </c>
      <c r="P608" s="1" t="s">
        <v>27</v>
      </c>
    </row>
    <row r="609" spans="1:16" ht="15.75" customHeight="1" x14ac:dyDescent="0.35">
      <c r="A609" s="1" t="s">
        <v>66</v>
      </c>
      <c r="C609" s="1" t="s">
        <v>224</v>
      </c>
      <c r="D609" s="1" t="s">
        <v>267</v>
      </c>
      <c r="E609" s="1" t="s">
        <v>85</v>
      </c>
      <c r="F609" s="1" t="s">
        <v>31</v>
      </c>
      <c r="G609" s="1" t="s">
        <v>41</v>
      </c>
      <c r="H609" s="1">
        <v>-155</v>
      </c>
      <c r="I609" s="1">
        <f>IF(Table1[[#This Row],[Claim_Amount]]&lt;0,0,Table1[[#This Row],[Claim_Amount]])</f>
        <v>0</v>
      </c>
      <c r="J609" s="1" t="str">
        <f>IF(Table1[[#This Row],[Column1]]=0,"",Table1[[#This Row],[Column1]])</f>
        <v/>
      </c>
      <c r="K609" s="1" t="s">
        <v>1098</v>
      </c>
      <c r="M609" s="1" t="s">
        <v>121</v>
      </c>
      <c r="N609" s="1" t="s">
        <v>26</v>
      </c>
      <c r="P609" s="1" t="s">
        <v>37</v>
      </c>
    </row>
    <row r="610" spans="1:16" ht="15.75" customHeight="1" x14ac:dyDescent="0.35">
      <c r="A610" s="1" t="s">
        <v>321</v>
      </c>
      <c r="D610" s="1" t="s">
        <v>197</v>
      </c>
      <c r="E610" s="1" t="s">
        <v>77</v>
      </c>
      <c r="F610" s="1" t="s">
        <v>53</v>
      </c>
      <c r="G610" s="1" t="s">
        <v>48</v>
      </c>
      <c r="H610" s="1">
        <v>186.98</v>
      </c>
      <c r="I610" s="1">
        <f>IF(Table1[[#This Row],[Claim_Amount]]&lt;0,0,Table1[[#This Row],[Claim_Amount]])</f>
        <v>186.98</v>
      </c>
      <c r="J610" s="1">
        <f>IF(Table1[[#This Row],[Column1]]=0,"",Table1[[#This Row],[Column1]])</f>
        <v>186.98</v>
      </c>
      <c r="K610" s="1">
        <v>186.98</v>
      </c>
      <c r="M610" s="1" t="s">
        <v>25</v>
      </c>
      <c r="N610" s="1" t="s">
        <v>18</v>
      </c>
      <c r="P610" s="1" t="s">
        <v>65</v>
      </c>
    </row>
    <row r="611" spans="1:16" ht="15.75" customHeight="1" x14ac:dyDescent="0.35">
      <c r="A611" s="1" t="s">
        <v>66</v>
      </c>
      <c r="D611" s="1" t="s">
        <v>808</v>
      </c>
      <c r="E611" s="1" t="s">
        <v>35</v>
      </c>
      <c r="F611" s="1" t="s">
        <v>23</v>
      </c>
      <c r="G611" s="1" t="s">
        <v>48</v>
      </c>
      <c r="H611" s="1">
        <v>-142</v>
      </c>
      <c r="I611" s="1">
        <f>IF(Table1[[#This Row],[Claim_Amount]]&lt;0,0,Table1[[#This Row],[Claim_Amount]])</f>
        <v>0</v>
      </c>
      <c r="J611" s="1" t="str">
        <f>IF(Table1[[#This Row],[Column1]]=0,"",Table1[[#This Row],[Column1]])</f>
        <v/>
      </c>
      <c r="K611" s="1" t="s">
        <v>1098</v>
      </c>
      <c r="L611" s="1">
        <v>4204.03</v>
      </c>
      <c r="M611" s="1" t="s">
        <v>25</v>
      </c>
      <c r="N611" s="1" t="s">
        <v>32</v>
      </c>
      <c r="P611" s="1" t="s">
        <v>19</v>
      </c>
    </row>
    <row r="612" spans="1:16" ht="15.75" customHeight="1" x14ac:dyDescent="0.35">
      <c r="A612" s="1" t="s">
        <v>114</v>
      </c>
      <c r="B612" s="1" t="s">
        <v>86</v>
      </c>
      <c r="D612" s="1" t="s">
        <v>809</v>
      </c>
      <c r="E612" s="1" t="s">
        <v>35</v>
      </c>
      <c r="F612" s="1" t="s">
        <v>47</v>
      </c>
      <c r="H612" s="1">
        <v>2578.56</v>
      </c>
      <c r="I612" s="1">
        <f>IF(Table1[[#This Row],[Claim_Amount]]&lt;0,0,Table1[[#This Row],[Claim_Amount]])</f>
        <v>2578.56</v>
      </c>
      <c r="J612" s="1">
        <f>IF(Table1[[#This Row],[Column1]]=0,"",Table1[[#This Row],[Column1]])</f>
        <v>2578.56</v>
      </c>
      <c r="K612" s="1">
        <v>2578.56</v>
      </c>
      <c r="M612" s="1" t="s">
        <v>17</v>
      </c>
      <c r="N612" s="1" t="s">
        <v>57</v>
      </c>
      <c r="P612" s="1" t="s">
        <v>65</v>
      </c>
    </row>
    <row r="613" spans="1:16" ht="15.75" customHeight="1" x14ac:dyDescent="0.35">
      <c r="A613" s="1" t="s">
        <v>198</v>
      </c>
      <c r="D613" s="1" t="s">
        <v>810</v>
      </c>
      <c r="E613" s="1" t="s">
        <v>30</v>
      </c>
      <c r="G613" s="1" t="s">
        <v>24</v>
      </c>
      <c r="I613">
        <f>IF(Table1[[#This Row],[Claim_Amount]]&lt;0,0,Table1[[#This Row],[Claim_Amount]])</f>
        <v>0</v>
      </c>
      <c r="J613" t="str">
        <f>IF(Table1[[#This Row],[Column1]]=0,"",Table1[[#This Row],[Column1]])</f>
        <v/>
      </c>
      <c r="K613" t="s">
        <v>1098</v>
      </c>
      <c r="L613" s="1">
        <v>3038.76</v>
      </c>
      <c r="M613" s="1" t="s">
        <v>36</v>
      </c>
      <c r="N613" s="1" t="s">
        <v>26</v>
      </c>
      <c r="O613" s="1">
        <v>15</v>
      </c>
      <c r="P613" s="1" t="s">
        <v>19</v>
      </c>
    </row>
    <row r="614" spans="1:16" ht="15.75" customHeight="1" x14ac:dyDescent="0.35">
      <c r="A614" s="1" t="s">
        <v>285</v>
      </c>
      <c r="D614" s="1" t="s">
        <v>259</v>
      </c>
      <c r="E614" s="1" t="s">
        <v>77</v>
      </c>
      <c r="F614" s="1" t="s">
        <v>93</v>
      </c>
      <c r="G614" s="1" t="s">
        <v>24</v>
      </c>
      <c r="I614">
        <f>IF(Table1[[#This Row],[Claim_Amount]]&lt;0,0,Table1[[#This Row],[Claim_Amount]])</f>
        <v>0</v>
      </c>
      <c r="J614" t="str">
        <f>IF(Table1[[#This Row],[Column1]]=0,"",Table1[[#This Row],[Column1]])</f>
        <v/>
      </c>
      <c r="K614" t="s">
        <v>1098</v>
      </c>
      <c r="M614" s="1" t="s">
        <v>121</v>
      </c>
      <c r="N614" s="1" t="s">
        <v>57</v>
      </c>
      <c r="P614" s="1" t="s">
        <v>65</v>
      </c>
    </row>
    <row r="615" spans="1:16" ht="15.75" customHeight="1" x14ac:dyDescent="0.35">
      <c r="A615" s="1" t="s">
        <v>13</v>
      </c>
      <c r="B615" s="1" t="s">
        <v>811</v>
      </c>
      <c r="C615" s="1" t="s">
        <v>119</v>
      </c>
      <c r="D615" s="1" t="s">
        <v>370</v>
      </c>
      <c r="E615" s="1" t="s">
        <v>85</v>
      </c>
      <c r="F615" s="1" t="s">
        <v>53</v>
      </c>
      <c r="G615" s="1" t="s">
        <v>48</v>
      </c>
      <c r="H615" s="1">
        <v>1485.68</v>
      </c>
      <c r="I615" s="1">
        <f>IF(Table1[[#This Row],[Claim_Amount]]&lt;0,0,Table1[[#This Row],[Claim_Amount]])</f>
        <v>1485.68</v>
      </c>
      <c r="J615" s="1">
        <f>IF(Table1[[#This Row],[Column1]]=0,"",Table1[[#This Row],[Column1]])</f>
        <v>1485.68</v>
      </c>
      <c r="K615" s="1">
        <v>1485.68</v>
      </c>
      <c r="M615" s="1" t="s">
        <v>42</v>
      </c>
      <c r="N615" s="1" t="s">
        <v>32</v>
      </c>
      <c r="P615" s="1" t="s">
        <v>19</v>
      </c>
    </row>
    <row r="616" spans="1:16" ht="15.75" customHeight="1" x14ac:dyDescent="0.35">
      <c r="A616" s="1" t="s">
        <v>173</v>
      </c>
      <c r="C616" s="1" t="s">
        <v>119</v>
      </c>
      <c r="D616" s="1" t="s">
        <v>812</v>
      </c>
      <c r="E616" s="1" t="s">
        <v>77</v>
      </c>
      <c r="F616" s="1" t="s">
        <v>23</v>
      </c>
      <c r="G616" s="1" t="s">
        <v>54</v>
      </c>
      <c r="H616" s="1">
        <v>-175</v>
      </c>
      <c r="I616" s="1">
        <f>IF(Table1[[#This Row],[Claim_Amount]]&lt;0,0,Table1[[#This Row],[Claim_Amount]])</f>
        <v>0</v>
      </c>
      <c r="J616" s="1" t="str">
        <f>IF(Table1[[#This Row],[Column1]]=0,"",Table1[[#This Row],[Column1]])</f>
        <v/>
      </c>
      <c r="K616" s="1" t="s">
        <v>1098</v>
      </c>
      <c r="M616" s="1" t="s">
        <v>17</v>
      </c>
      <c r="N616" s="1" t="s">
        <v>49</v>
      </c>
      <c r="P616" s="1" t="s">
        <v>37</v>
      </c>
    </row>
    <row r="617" spans="1:16" ht="15.75" customHeight="1" x14ac:dyDescent="0.35">
      <c r="A617" s="1" t="s">
        <v>38</v>
      </c>
      <c r="B617" s="1" t="s">
        <v>758</v>
      </c>
      <c r="C617" s="1" t="s">
        <v>518</v>
      </c>
      <c r="D617" s="1" t="s">
        <v>649</v>
      </c>
      <c r="E617" s="1" t="s">
        <v>30</v>
      </c>
      <c r="F617" s="1" t="s">
        <v>23</v>
      </c>
      <c r="G617" s="1" t="s">
        <v>24</v>
      </c>
      <c r="I617">
        <f>IF(Table1[[#This Row],[Claim_Amount]]&lt;0,0,Table1[[#This Row],[Claim_Amount]])</f>
        <v>0</v>
      </c>
      <c r="J617" t="str">
        <f>IF(Table1[[#This Row],[Column1]]=0,"",Table1[[#This Row],[Column1]])</f>
        <v/>
      </c>
      <c r="K617" t="s">
        <v>1098</v>
      </c>
      <c r="L617" s="1">
        <v>2324.4299999999998</v>
      </c>
      <c r="M617" s="1" t="s">
        <v>42</v>
      </c>
      <c r="N617" s="1" t="s">
        <v>32</v>
      </c>
      <c r="P617" s="1" t="s">
        <v>19</v>
      </c>
    </row>
    <row r="618" spans="1:16" ht="15.75" customHeight="1" x14ac:dyDescent="0.35">
      <c r="A618" s="1" t="s">
        <v>43</v>
      </c>
      <c r="C618" s="1" t="s">
        <v>458</v>
      </c>
      <c r="D618" s="1" t="s">
        <v>813</v>
      </c>
      <c r="E618" s="1" t="s">
        <v>30</v>
      </c>
      <c r="F618" s="1" t="s">
        <v>31</v>
      </c>
      <c r="G618" s="1" t="s">
        <v>24</v>
      </c>
      <c r="I618">
        <f>IF(Table1[[#This Row],[Claim_Amount]]&lt;0,0,Table1[[#This Row],[Claim_Amount]])</f>
        <v>0</v>
      </c>
      <c r="J618" t="str">
        <f>IF(Table1[[#This Row],[Column1]]=0,"",Table1[[#This Row],[Column1]])</f>
        <v/>
      </c>
      <c r="K618" t="s">
        <v>1098</v>
      </c>
      <c r="M618" s="1" t="s">
        <v>25</v>
      </c>
      <c r="N618" s="1" t="s">
        <v>26</v>
      </c>
      <c r="P618" s="1" t="s">
        <v>65</v>
      </c>
    </row>
    <row r="619" spans="1:16" ht="15.75" customHeight="1" x14ac:dyDescent="0.35">
      <c r="A619" s="1" t="s">
        <v>198</v>
      </c>
      <c r="D619" s="1" t="s">
        <v>814</v>
      </c>
      <c r="E619" s="1" t="s">
        <v>22</v>
      </c>
      <c r="G619" s="1" t="s">
        <v>24</v>
      </c>
      <c r="H619" s="1">
        <v>-54</v>
      </c>
      <c r="I619" s="1">
        <f>IF(Table1[[#This Row],[Claim_Amount]]&lt;0,0,Table1[[#This Row],[Claim_Amount]])</f>
        <v>0</v>
      </c>
      <c r="J619" s="1" t="str">
        <f>IF(Table1[[#This Row],[Column1]]=0,"",Table1[[#This Row],[Column1]])</f>
        <v/>
      </c>
      <c r="K619" s="1" t="s">
        <v>1098</v>
      </c>
      <c r="M619" s="1" t="s">
        <v>25</v>
      </c>
      <c r="N619" s="1" t="s">
        <v>26</v>
      </c>
      <c r="P619" s="1" t="s">
        <v>19</v>
      </c>
    </row>
    <row r="620" spans="1:16" ht="15.75" customHeight="1" x14ac:dyDescent="0.35">
      <c r="A620" s="1" t="s">
        <v>166</v>
      </c>
      <c r="B620" s="1" t="s">
        <v>737</v>
      </c>
      <c r="D620" s="1" t="s">
        <v>147</v>
      </c>
      <c r="E620" s="1" t="s">
        <v>92</v>
      </c>
      <c r="F620" s="1" t="s">
        <v>23</v>
      </c>
      <c r="I620">
        <f>IF(Table1[[#This Row],[Claim_Amount]]&lt;0,0,Table1[[#This Row],[Claim_Amount]])</f>
        <v>0</v>
      </c>
      <c r="J620" t="str">
        <f>IF(Table1[[#This Row],[Column1]]=0,"",Table1[[#This Row],[Column1]])</f>
        <v/>
      </c>
      <c r="K620" t="s">
        <v>1098</v>
      </c>
      <c r="M620" s="1" t="s">
        <v>121</v>
      </c>
      <c r="N620" s="1" t="s">
        <v>32</v>
      </c>
      <c r="O620" s="1">
        <v>14</v>
      </c>
      <c r="P620" s="1" t="s">
        <v>65</v>
      </c>
    </row>
    <row r="621" spans="1:16" ht="15.75" customHeight="1" x14ac:dyDescent="0.35">
      <c r="A621" s="1" t="s">
        <v>62</v>
      </c>
      <c r="B621" s="1" t="s">
        <v>815</v>
      </c>
      <c r="C621" s="1" t="s">
        <v>816</v>
      </c>
      <c r="D621" s="1" t="s">
        <v>565</v>
      </c>
      <c r="E621" s="1" t="s">
        <v>16</v>
      </c>
      <c r="F621" s="1" t="s">
        <v>93</v>
      </c>
      <c r="G621" s="1" t="s">
        <v>61</v>
      </c>
      <c r="H621" s="1">
        <v>1829.83</v>
      </c>
      <c r="I621" s="1">
        <f>IF(Table1[[#This Row],[Claim_Amount]]&lt;0,0,Table1[[#This Row],[Claim_Amount]])</f>
        <v>1829.83</v>
      </c>
      <c r="J621" s="1">
        <f>IF(Table1[[#This Row],[Column1]]=0,"",Table1[[#This Row],[Column1]])</f>
        <v>1829.83</v>
      </c>
      <c r="K621" s="1">
        <v>1829.83</v>
      </c>
      <c r="M621" s="1" t="s">
        <v>36</v>
      </c>
      <c r="N621" s="1" t="s">
        <v>49</v>
      </c>
      <c r="O621" s="1">
        <v>12</v>
      </c>
    </row>
    <row r="622" spans="1:16" ht="15.75" customHeight="1" x14ac:dyDescent="0.35">
      <c r="A622" s="1" t="s">
        <v>285</v>
      </c>
      <c r="C622" s="1" t="s">
        <v>518</v>
      </c>
      <c r="D622" s="1" t="s">
        <v>122</v>
      </c>
      <c r="E622" s="1" t="s">
        <v>77</v>
      </c>
      <c r="F622" s="1" t="s">
        <v>23</v>
      </c>
      <c r="G622" s="1" t="s">
        <v>54</v>
      </c>
      <c r="I622">
        <f>IF(Table1[[#This Row],[Claim_Amount]]&lt;0,0,Table1[[#This Row],[Claim_Amount]])</f>
        <v>0</v>
      </c>
      <c r="J622" t="str">
        <f>IF(Table1[[#This Row],[Column1]]=0,"",Table1[[#This Row],[Column1]])</f>
        <v/>
      </c>
      <c r="K622" t="s">
        <v>1098</v>
      </c>
      <c r="M622" s="1" t="s">
        <v>17</v>
      </c>
      <c r="N622" s="1" t="s">
        <v>26</v>
      </c>
      <c r="P622" s="1" t="s">
        <v>27</v>
      </c>
    </row>
    <row r="623" spans="1:16" ht="15.75" customHeight="1" x14ac:dyDescent="0.35">
      <c r="A623" s="1" t="s">
        <v>105</v>
      </c>
      <c r="D623" s="1" t="s">
        <v>817</v>
      </c>
      <c r="E623" s="1" t="s">
        <v>92</v>
      </c>
      <c r="F623" s="1" t="s">
        <v>23</v>
      </c>
      <c r="G623" s="1" t="s">
        <v>54</v>
      </c>
      <c r="I623">
        <f>IF(Table1[[#This Row],[Claim_Amount]]&lt;0,0,Table1[[#This Row],[Claim_Amount]])</f>
        <v>0</v>
      </c>
      <c r="J623" t="str">
        <f>IF(Table1[[#This Row],[Column1]]=0,"",Table1[[#This Row],[Column1]])</f>
        <v/>
      </c>
      <c r="K623" t="s">
        <v>1098</v>
      </c>
      <c r="L623" s="1">
        <v>2026.14</v>
      </c>
      <c r="M623" s="1" t="s">
        <v>36</v>
      </c>
      <c r="N623" s="1" t="s">
        <v>26</v>
      </c>
      <c r="P623" s="1" t="s">
        <v>27</v>
      </c>
    </row>
    <row r="624" spans="1:16" ht="15.75" customHeight="1" x14ac:dyDescent="0.35">
      <c r="A624" s="1" t="s">
        <v>43</v>
      </c>
      <c r="B624" s="1" t="s">
        <v>818</v>
      </c>
      <c r="D624" s="1" t="s">
        <v>819</v>
      </c>
      <c r="E624" s="1" t="s">
        <v>85</v>
      </c>
      <c r="F624" s="1" t="s">
        <v>93</v>
      </c>
      <c r="G624" s="1" t="s">
        <v>54</v>
      </c>
      <c r="H624" s="1">
        <v>4092.97</v>
      </c>
      <c r="I624" s="1">
        <f>IF(Table1[[#This Row],[Claim_Amount]]&lt;0,0,Table1[[#This Row],[Claim_Amount]])</f>
        <v>4092.97</v>
      </c>
      <c r="J624" s="1">
        <f>IF(Table1[[#This Row],[Column1]]=0,"",Table1[[#This Row],[Column1]])</f>
        <v>4092.97</v>
      </c>
      <c r="K624" s="1">
        <v>4092.97</v>
      </c>
      <c r="L624" s="1">
        <v>1216.31</v>
      </c>
      <c r="M624" s="1" t="s">
        <v>36</v>
      </c>
      <c r="N624" s="1" t="s">
        <v>57</v>
      </c>
      <c r="O624" s="1">
        <v>44</v>
      </c>
      <c r="P624" s="1" t="s">
        <v>27</v>
      </c>
    </row>
    <row r="625" spans="1:16" ht="15.75" customHeight="1" x14ac:dyDescent="0.35">
      <c r="A625" s="1" t="s">
        <v>430</v>
      </c>
      <c r="C625" s="1" t="s">
        <v>278</v>
      </c>
      <c r="D625" s="1" t="s">
        <v>820</v>
      </c>
      <c r="E625" s="1" t="s">
        <v>35</v>
      </c>
      <c r="F625" s="1" t="s">
        <v>23</v>
      </c>
      <c r="G625" s="1" t="s">
        <v>61</v>
      </c>
      <c r="I625">
        <f>IF(Table1[[#This Row],[Claim_Amount]]&lt;0,0,Table1[[#This Row],[Claim_Amount]])</f>
        <v>0</v>
      </c>
      <c r="J625" t="str">
        <f>IF(Table1[[#This Row],[Column1]]=0,"",Table1[[#This Row],[Column1]])</f>
        <v/>
      </c>
      <c r="K625" t="s">
        <v>1098</v>
      </c>
      <c r="M625" s="1" t="s">
        <v>121</v>
      </c>
      <c r="N625" s="1" t="s">
        <v>32</v>
      </c>
      <c r="O625" s="1">
        <v>50</v>
      </c>
      <c r="P625" s="1" t="s">
        <v>19</v>
      </c>
    </row>
    <row r="626" spans="1:16" ht="15.75" customHeight="1" x14ac:dyDescent="0.35">
      <c r="A626" s="1" t="s">
        <v>82</v>
      </c>
      <c r="B626" s="1" t="s">
        <v>821</v>
      </c>
      <c r="D626" s="1" t="s">
        <v>822</v>
      </c>
      <c r="E626" s="1" t="s">
        <v>77</v>
      </c>
      <c r="F626" s="1" t="s">
        <v>23</v>
      </c>
      <c r="G626" s="1" t="s">
        <v>48</v>
      </c>
      <c r="I626">
        <f>IF(Table1[[#This Row],[Claim_Amount]]&lt;0,0,Table1[[#This Row],[Claim_Amount]])</f>
        <v>0</v>
      </c>
      <c r="J626" t="str">
        <f>IF(Table1[[#This Row],[Column1]]=0,"",Table1[[#This Row],[Column1]])</f>
        <v/>
      </c>
      <c r="K626" t="s">
        <v>1098</v>
      </c>
      <c r="M626" s="1" t="s">
        <v>36</v>
      </c>
      <c r="N626" s="1" t="s">
        <v>18</v>
      </c>
      <c r="P626" s="1" t="s">
        <v>19</v>
      </c>
    </row>
    <row r="627" spans="1:16" ht="15.75" customHeight="1" x14ac:dyDescent="0.35">
      <c r="A627" s="1" t="s">
        <v>110</v>
      </c>
      <c r="D627" s="1" t="s">
        <v>109</v>
      </c>
      <c r="E627" s="1" t="s">
        <v>16</v>
      </c>
      <c r="F627" s="1" t="s">
        <v>47</v>
      </c>
      <c r="G627" s="1" t="s">
        <v>61</v>
      </c>
      <c r="H627" s="1">
        <v>1174.27</v>
      </c>
      <c r="I627" s="1">
        <f>IF(Table1[[#This Row],[Claim_Amount]]&lt;0,0,Table1[[#This Row],[Claim_Amount]])</f>
        <v>1174.27</v>
      </c>
      <c r="J627" s="1">
        <f>IF(Table1[[#This Row],[Column1]]=0,"",Table1[[#This Row],[Column1]])</f>
        <v>1174.27</v>
      </c>
      <c r="K627" s="1">
        <v>1174.27</v>
      </c>
      <c r="L627" s="1">
        <v>4955.1499999999996</v>
      </c>
      <c r="M627" s="1" t="s">
        <v>17</v>
      </c>
      <c r="N627" s="1" t="s">
        <v>26</v>
      </c>
      <c r="O627" s="1">
        <v>4</v>
      </c>
      <c r="P627" s="1" t="s">
        <v>65</v>
      </c>
    </row>
    <row r="628" spans="1:16" ht="15.75" customHeight="1" x14ac:dyDescent="0.35">
      <c r="A628" s="1" t="s">
        <v>215</v>
      </c>
      <c r="D628" s="1" t="s">
        <v>823</v>
      </c>
      <c r="E628" s="1" t="s">
        <v>92</v>
      </c>
      <c r="F628" s="1" t="s">
        <v>93</v>
      </c>
      <c r="G628" s="1" t="s">
        <v>54</v>
      </c>
      <c r="H628" s="1">
        <v>2019.2</v>
      </c>
      <c r="I628" s="1">
        <f>IF(Table1[[#This Row],[Claim_Amount]]&lt;0,0,Table1[[#This Row],[Claim_Amount]])</f>
        <v>2019.2</v>
      </c>
      <c r="J628" s="1">
        <f>IF(Table1[[#This Row],[Column1]]=0,"",Table1[[#This Row],[Column1]])</f>
        <v>2019.2</v>
      </c>
      <c r="K628" s="1">
        <v>2019.2</v>
      </c>
      <c r="L628" s="1">
        <v>3300.12</v>
      </c>
      <c r="M628" s="1" t="s">
        <v>42</v>
      </c>
      <c r="N628" s="1" t="s">
        <v>57</v>
      </c>
      <c r="P628" s="1" t="s">
        <v>27</v>
      </c>
    </row>
    <row r="629" spans="1:16" ht="15.75" customHeight="1" x14ac:dyDescent="0.35">
      <c r="A629" s="1" t="s">
        <v>198</v>
      </c>
      <c r="D629" s="1" t="s">
        <v>251</v>
      </c>
      <c r="E629" s="1" t="s">
        <v>30</v>
      </c>
      <c r="F629" s="1" t="s">
        <v>31</v>
      </c>
      <c r="G629" s="1" t="s">
        <v>41</v>
      </c>
      <c r="H629" s="1">
        <v>3503.97</v>
      </c>
      <c r="I629" s="1">
        <f>IF(Table1[[#This Row],[Claim_Amount]]&lt;0,0,Table1[[#This Row],[Claim_Amount]])</f>
        <v>3503.97</v>
      </c>
      <c r="J629" s="1">
        <f>IF(Table1[[#This Row],[Column1]]=0,"",Table1[[#This Row],[Column1]])</f>
        <v>3503.97</v>
      </c>
      <c r="K629" s="1">
        <v>3503.97</v>
      </c>
      <c r="M629" s="1" t="s">
        <v>36</v>
      </c>
      <c r="N629" s="1" t="s">
        <v>49</v>
      </c>
      <c r="O629" s="1">
        <v>17</v>
      </c>
      <c r="P629" s="1" t="s">
        <v>65</v>
      </c>
    </row>
    <row r="630" spans="1:16" ht="15.75" customHeight="1" x14ac:dyDescent="0.35">
      <c r="A630" s="1" t="s">
        <v>277</v>
      </c>
      <c r="B630" s="1" t="s">
        <v>691</v>
      </c>
      <c r="C630" s="1" t="s">
        <v>414</v>
      </c>
      <c r="D630" s="1" t="s">
        <v>789</v>
      </c>
      <c r="E630" s="1" t="s">
        <v>85</v>
      </c>
      <c r="G630" s="1" t="s">
        <v>48</v>
      </c>
      <c r="H630" s="1">
        <v>3267.05</v>
      </c>
      <c r="I630" s="1">
        <f>IF(Table1[[#This Row],[Claim_Amount]]&lt;0,0,Table1[[#This Row],[Claim_Amount]])</f>
        <v>3267.05</v>
      </c>
      <c r="J630" s="1">
        <f>IF(Table1[[#This Row],[Column1]]=0,"",Table1[[#This Row],[Column1]])</f>
        <v>3267.05</v>
      </c>
      <c r="K630" s="1">
        <v>3267.05</v>
      </c>
      <c r="L630" s="1">
        <v>155.38</v>
      </c>
      <c r="M630" s="1" t="s">
        <v>42</v>
      </c>
      <c r="N630" s="1" t="s">
        <v>32</v>
      </c>
      <c r="P630" s="1" t="s">
        <v>27</v>
      </c>
    </row>
    <row r="631" spans="1:16" ht="15.75" customHeight="1" x14ac:dyDescent="0.35">
      <c r="A631" s="1" t="s">
        <v>96</v>
      </c>
      <c r="D631" s="1" t="s">
        <v>615</v>
      </c>
      <c r="E631" s="1" t="s">
        <v>77</v>
      </c>
      <c r="F631" s="1" t="s">
        <v>23</v>
      </c>
      <c r="G631" s="1" t="s">
        <v>24</v>
      </c>
      <c r="H631" s="1">
        <v>-57</v>
      </c>
      <c r="I631" s="1">
        <f>IF(Table1[[#This Row],[Claim_Amount]]&lt;0,0,Table1[[#This Row],[Claim_Amount]])</f>
        <v>0</v>
      </c>
      <c r="J631" s="1" t="str">
        <f>IF(Table1[[#This Row],[Column1]]=0,"",Table1[[#This Row],[Column1]])</f>
        <v/>
      </c>
      <c r="K631" s="1" t="s">
        <v>1098</v>
      </c>
      <c r="M631" s="1" t="s">
        <v>42</v>
      </c>
      <c r="N631" s="1" t="s">
        <v>26</v>
      </c>
      <c r="P631" s="1" t="s">
        <v>19</v>
      </c>
    </row>
    <row r="632" spans="1:16" ht="15.75" customHeight="1" x14ac:dyDescent="0.35">
      <c r="A632" s="1" t="s">
        <v>154</v>
      </c>
      <c r="C632" s="1" t="s">
        <v>45</v>
      </c>
      <c r="D632" s="1" t="s">
        <v>824</v>
      </c>
      <c r="E632" s="1" t="s">
        <v>22</v>
      </c>
      <c r="F632" s="1" t="s">
        <v>53</v>
      </c>
      <c r="H632" s="1">
        <v>4646.3999999999996</v>
      </c>
      <c r="I632" s="1">
        <f>IF(Table1[[#This Row],[Claim_Amount]]&lt;0,0,Table1[[#This Row],[Claim_Amount]])</f>
        <v>4646.3999999999996</v>
      </c>
      <c r="J632" s="1">
        <f>IF(Table1[[#This Row],[Column1]]=0,"",Table1[[#This Row],[Column1]])</f>
        <v>4646.3999999999996</v>
      </c>
      <c r="K632" s="1">
        <v>4646.3999999999996</v>
      </c>
      <c r="M632" s="1" t="s">
        <v>42</v>
      </c>
      <c r="N632" s="1" t="s">
        <v>57</v>
      </c>
    </row>
    <row r="633" spans="1:16" ht="15.75" customHeight="1" x14ac:dyDescent="0.35">
      <c r="A633" s="1" t="s">
        <v>168</v>
      </c>
      <c r="C633" s="1" t="s">
        <v>45</v>
      </c>
      <c r="D633" s="1" t="s">
        <v>448</v>
      </c>
      <c r="E633" s="1" t="s">
        <v>16</v>
      </c>
      <c r="F633" s="1" t="s">
        <v>31</v>
      </c>
      <c r="I633">
        <f>IF(Table1[[#This Row],[Claim_Amount]]&lt;0,0,Table1[[#This Row],[Claim_Amount]])</f>
        <v>0</v>
      </c>
      <c r="J633" t="str">
        <f>IF(Table1[[#This Row],[Column1]]=0,"",Table1[[#This Row],[Column1]])</f>
        <v/>
      </c>
      <c r="K633" t="s">
        <v>1098</v>
      </c>
      <c r="M633" s="1" t="s">
        <v>42</v>
      </c>
      <c r="N633" s="1" t="s">
        <v>57</v>
      </c>
      <c r="O633" s="1">
        <v>25</v>
      </c>
    </row>
    <row r="634" spans="1:16" ht="15.75" customHeight="1" x14ac:dyDescent="0.35">
      <c r="A634" s="1" t="s">
        <v>38</v>
      </c>
      <c r="D634" s="1" t="s">
        <v>825</v>
      </c>
      <c r="E634" s="1" t="s">
        <v>92</v>
      </c>
      <c r="F634" s="1" t="s">
        <v>47</v>
      </c>
      <c r="I634">
        <f>IF(Table1[[#This Row],[Claim_Amount]]&lt;0,0,Table1[[#This Row],[Claim_Amount]])</f>
        <v>0</v>
      </c>
      <c r="J634" t="str">
        <f>IF(Table1[[#This Row],[Column1]]=0,"",Table1[[#This Row],[Column1]])</f>
        <v/>
      </c>
      <c r="K634" t="s">
        <v>1098</v>
      </c>
      <c r="L634" s="1">
        <v>2246.85</v>
      </c>
      <c r="M634" s="1" t="s">
        <v>121</v>
      </c>
      <c r="N634" s="1" t="s">
        <v>26</v>
      </c>
      <c r="O634" s="1">
        <v>29</v>
      </c>
      <c r="P634" s="1" t="s">
        <v>27</v>
      </c>
    </row>
    <row r="635" spans="1:16" ht="15.75" customHeight="1" x14ac:dyDescent="0.35">
      <c r="A635" s="1" t="s">
        <v>285</v>
      </c>
      <c r="D635" s="1" t="s">
        <v>826</v>
      </c>
      <c r="E635" s="1" t="s">
        <v>30</v>
      </c>
      <c r="F635" s="1" t="s">
        <v>47</v>
      </c>
      <c r="G635" s="1" t="s">
        <v>41</v>
      </c>
      <c r="I635">
        <f>IF(Table1[[#This Row],[Claim_Amount]]&lt;0,0,Table1[[#This Row],[Claim_Amount]])</f>
        <v>0</v>
      </c>
      <c r="J635" t="str">
        <f>IF(Table1[[#This Row],[Column1]]=0,"",Table1[[#This Row],[Column1]])</f>
        <v/>
      </c>
      <c r="K635" t="s">
        <v>1098</v>
      </c>
      <c r="M635" s="1" t="s">
        <v>42</v>
      </c>
      <c r="N635" s="1" t="s">
        <v>49</v>
      </c>
      <c r="O635" s="1">
        <v>8</v>
      </c>
      <c r="P635" s="1" t="s">
        <v>65</v>
      </c>
    </row>
    <row r="636" spans="1:16" ht="15.75" customHeight="1" x14ac:dyDescent="0.35">
      <c r="A636" s="1" t="s">
        <v>50</v>
      </c>
      <c r="C636" s="1" t="s">
        <v>416</v>
      </c>
      <c r="D636" s="1" t="s">
        <v>199</v>
      </c>
      <c r="E636" s="1" t="s">
        <v>35</v>
      </c>
      <c r="F636" s="1" t="s">
        <v>47</v>
      </c>
      <c r="G636" s="1" t="s">
        <v>48</v>
      </c>
      <c r="I636">
        <f>IF(Table1[[#This Row],[Claim_Amount]]&lt;0,0,Table1[[#This Row],[Claim_Amount]])</f>
        <v>0</v>
      </c>
      <c r="J636" t="str">
        <f>IF(Table1[[#This Row],[Column1]]=0,"",Table1[[#This Row],[Column1]])</f>
        <v/>
      </c>
      <c r="K636" t="s">
        <v>1098</v>
      </c>
      <c r="M636" s="1" t="s">
        <v>42</v>
      </c>
      <c r="N636" s="1" t="s">
        <v>32</v>
      </c>
      <c r="P636" s="1" t="s">
        <v>27</v>
      </c>
    </row>
    <row r="637" spans="1:16" ht="15.75" customHeight="1" x14ac:dyDescent="0.35">
      <c r="A637" s="1" t="s">
        <v>73</v>
      </c>
      <c r="B637" s="1" t="s">
        <v>513</v>
      </c>
      <c r="C637" s="1" t="s">
        <v>440</v>
      </c>
      <c r="D637" s="1" t="s">
        <v>762</v>
      </c>
      <c r="E637" s="1" t="s">
        <v>77</v>
      </c>
      <c r="F637" s="1" t="s">
        <v>23</v>
      </c>
      <c r="G637" s="1" t="s">
        <v>54</v>
      </c>
      <c r="I637">
        <f>IF(Table1[[#This Row],[Claim_Amount]]&lt;0,0,Table1[[#This Row],[Claim_Amount]])</f>
        <v>0</v>
      </c>
      <c r="J637" t="str">
        <f>IF(Table1[[#This Row],[Column1]]=0,"",Table1[[#This Row],[Column1]])</f>
        <v/>
      </c>
      <c r="K637" t="s">
        <v>1098</v>
      </c>
      <c r="M637" s="1" t="s">
        <v>121</v>
      </c>
      <c r="N637" s="1" t="s">
        <v>26</v>
      </c>
      <c r="P637" s="1" t="s">
        <v>27</v>
      </c>
    </row>
    <row r="638" spans="1:16" ht="15.75" customHeight="1" x14ac:dyDescent="0.35">
      <c r="A638" s="1" t="s">
        <v>50</v>
      </c>
      <c r="D638" s="1" t="s">
        <v>827</v>
      </c>
      <c r="E638" s="1" t="s">
        <v>77</v>
      </c>
      <c r="F638" s="1" t="s">
        <v>31</v>
      </c>
      <c r="G638" s="1" t="s">
        <v>54</v>
      </c>
      <c r="H638" s="1">
        <v>204.23</v>
      </c>
      <c r="I638" s="1">
        <f>IF(Table1[[#This Row],[Claim_Amount]]&lt;0,0,Table1[[#This Row],[Claim_Amount]])</f>
        <v>204.23</v>
      </c>
      <c r="J638" s="1">
        <f>IF(Table1[[#This Row],[Column1]]=0,"",Table1[[#This Row],[Column1]])</f>
        <v>204.23</v>
      </c>
      <c r="K638" s="1">
        <v>204.23</v>
      </c>
      <c r="L638" s="1">
        <v>1489.82</v>
      </c>
      <c r="M638" s="1" t="s">
        <v>36</v>
      </c>
      <c r="N638" s="1" t="s">
        <v>26</v>
      </c>
      <c r="P638" s="1" t="s">
        <v>65</v>
      </c>
    </row>
    <row r="639" spans="1:16" ht="15.75" customHeight="1" x14ac:dyDescent="0.35">
      <c r="A639" s="1" t="s">
        <v>58</v>
      </c>
      <c r="D639" s="1" t="s">
        <v>828</v>
      </c>
      <c r="E639" s="1" t="s">
        <v>35</v>
      </c>
      <c r="G639" s="1" t="s">
        <v>24</v>
      </c>
      <c r="H639" s="1">
        <v>1936.39</v>
      </c>
      <c r="I639" s="1">
        <f>IF(Table1[[#This Row],[Claim_Amount]]&lt;0,0,Table1[[#This Row],[Claim_Amount]])</f>
        <v>1936.39</v>
      </c>
      <c r="J639" s="1">
        <f>IF(Table1[[#This Row],[Column1]]=0,"",Table1[[#This Row],[Column1]])</f>
        <v>1936.39</v>
      </c>
      <c r="K639" s="1">
        <v>1936.39</v>
      </c>
      <c r="L639" s="1">
        <v>4778.1400000000003</v>
      </c>
      <c r="M639" s="1" t="s">
        <v>36</v>
      </c>
      <c r="N639" s="1" t="s">
        <v>57</v>
      </c>
    </row>
    <row r="640" spans="1:16" ht="15.75" customHeight="1" x14ac:dyDescent="0.35">
      <c r="A640" s="1" t="s">
        <v>168</v>
      </c>
      <c r="C640" s="1" t="s">
        <v>183</v>
      </c>
      <c r="D640" s="1" t="s">
        <v>829</v>
      </c>
      <c r="E640" s="1" t="s">
        <v>35</v>
      </c>
      <c r="F640" s="1" t="s">
        <v>47</v>
      </c>
      <c r="G640" s="1" t="s">
        <v>54</v>
      </c>
      <c r="I640">
        <f>IF(Table1[[#This Row],[Claim_Amount]]&lt;0,0,Table1[[#This Row],[Claim_Amount]])</f>
        <v>0</v>
      </c>
      <c r="J640" t="str">
        <f>IF(Table1[[#This Row],[Column1]]=0,"",Table1[[#This Row],[Column1]])</f>
        <v/>
      </c>
      <c r="K640" t="s">
        <v>1098</v>
      </c>
      <c r="M640" s="1" t="s">
        <v>17</v>
      </c>
      <c r="N640" s="1" t="s">
        <v>32</v>
      </c>
      <c r="P640" s="1" t="s">
        <v>65</v>
      </c>
    </row>
    <row r="641" spans="1:16" ht="15.75" customHeight="1" x14ac:dyDescent="0.35">
      <c r="A641" s="1" t="s">
        <v>173</v>
      </c>
      <c r="C641" s="1" t="s">
        <v>425</v>
      </c>
      <c r="D641" s="1" t="s">
        <v>830</v>
      </c>
      <c r="E641" s="1" t="s">
        <v>92</v>
      </c>
      <c r="F641" s="1" t="s">
        <v>47</v>
      </c>
      <c r="G641" s="1" t="s">
        <v>54</v>
      </c>
      <c r="H641" s="1">
        <v>-102</v>
      </c>
      <c r="I641" s="1">
        <f>IF(Table1[[#This Row],[Claim_Amount]]&lt;0,0,Table1[[#This Row],[Claim_Amount]])</f>
        <v>0</v>
      </c>
      <c r="J641" s="1" t="str">
        <f>IF(Table1[[#This Row],[Column1]]=0,"",Table1[[#This Row],[Column1]])</f>
        <v/>
      </c>
      <c r="K641" s="1" t="s">
        <v>1098</v>
      </c>
      <c r="M641" s="1" t="s">
        <v>121</v>
      </c>
      <c r="N641" s="1" t="s">
        <v>18</v>
      </c>
      <c r="O641" s="1">
        <v>36</v>
      </c>
    </row>
    <row r="642" spans="1:16" ht="15.75" customHeight="1" x14ac:dyDescent="0.35">
      <c r="A642" s="1" t="s">
        <v>170</v>
      </c>
      <c r="C642" s="1" t="s">
        <v>243</v>
      </c>
      <c r="D642" s="1" t="s">
        <v>831</v>
      </c>
      <c r="E642" s="1" t="s">
        <v>92</v>
      </c>
      <c r="F642" s="1" t="s">
        <v>23</v>
      </c>
      <c r="G642" s="1" t="s">
        <v>61</v>
      </c>
      <c r="I642">
        <f>IF(Table1[[#This Row],[Claim_Amount]]&lt;0,0,Table1[[#This Row],[Claim_Amount]])</f>
        <v>0</v>
      </c>
      <c r="J642" t="str">
        <f>IF(Table1[[#This Row],[Column1]]=0,"",Table1[[#This Row],[Column1]])</f>
        <v/>
      </c>
      <c r="K642" t="s">
        <v>1098</v>
      </c>
      <c r="M642" s="1" t="s">
        <v>17</v>
      </c>
      <c r="N642" s="1" t="s">
        <v>18</v>
      </c>
      <c r="P642" s="1" t="s">
        <v>19</v>
      </c>
    </row>
    <row r="643" spans="1:16" ht="15.75" customHeight="1" x14ac:dyDescent="0.35">
      <c r="A643" s="1" t="s">
        <v>132</v>
      </c>
      <c r="D643" s="1" t="s">
        <v>832</v>
      </c>
      <c r="E643" s="1" t="s">
        <v>16</v>
      </c>
      <c r="G643" s="1" t="s">
        <v>24</v>
      </c>
      <c r="H643" s="1">
        <v>-43</v>
      </c>
      <c r="I643" s="1">
        <f>IF(Table1[[#This Row],[Claim_Amount]]&lt;0,0,Table1[[#This Row],[Claim_Amount]])</f>
        <v>0</v>
      </c>
      <c r="J643" s="1" t="str">
        <f>IF(Table1[[#This Row],[Column1]]=0,"",Table1[[#This Row],[Column1]])</f>
        <v/>
      </c>
      <c r="K643" s="1" t="s">
        <v>1098</v>
      </c>
      <c r="M643" s="1" t="s">
        <v>17</v>
      </c>
      <c r="N643" s="1" t="s">
        <v>49</v>
      </c>
      <c r="P643" s="1" t="s">
        <v>65</v>
      </c>
    </row>
    <row r="644" spans="1:16" ht="15.75" customHeight="1" x14ac:dyDescent="0.35">
      <c r="A644" s="1" t="s">
        <v>137</v>
      </c>
      <c r="B644" s="1" t="s">
        <v>237</v>
      </c>
      <c r="D644" s="1" t="s">
        <v>833</v>
      </c>
      <c r="E644" s="1" t="s">
        <v>35</v>
      </c>
      <c r="F644" s="1" t="s">
        <v>23</v>
      </c>
      <c r="G644" s="1" t="s">
        <v>61</v>
      </c>
      <c r="H644" s="1">
        <v>-100</v>
      </c>
      <c r="I644" s="1">
        <f>IF(Table1[[#This Row],[Claim_Amount]]&lt;0,0,Table1[[#This Row],[Claim_Amount]])</f>
        <v>0</v>
      </c>
      <c r="J644" s="1" t="str">
        <f>IF(Table1[[#This Row],[Column1]]=0,"",Table1[[#This Row],[Column1]])</f>
        <v/>
      </c>
      <c r="K644" s="1" t="s">
        <v>1098</v>
      </c>
      <c r="M644" s="1" t="s">
        <v>121</v>
      </c>
      <c r="N644" s="1" t="s">
        <v>49</v>
      </c>
      <c r="P644" s="1" t="s">
        <v>65</v>
      </c>
    </row>
    <row r="645" spans="1:16" ht="15.75" customHeight="1" x14ac:dyDescent="0.35">
      <c r="A645" s="1" t="s">
        <v>168</v>
      </c>
      <c r="C645" s="1" t="s">
        <v>224</v>
      </c>
      <c r="D645" s="1" t="s">
        <v>834</v>
      </c>
      <c r="E645" s="1" t="s">
        <v>92</v>
      </c>
      <c r="H645" s="1">
        <v>-92</v>
      </c>
      <c r="I645" s="1">
        <f>IF(Table1[[#This Row],[Claim_Amount]]&lt;0,0,Table1[[#This Row],[Claim_Amount]])</f>
        <v>0</v>
      </c>
      <c r="J645" s="1" t="str">
        <f>IF(Table1[[#This Row],[Column1]]=0,"",Table1[[#This Row],[Column1]])</f>
        <v/>
      </c>
      <c r="K645" s="1" t="s">
        <v>1098</v>
      </c>
      <c r="M645" s="1" t="s">
        <v>36</v>
      </c>
      <c r="N645" s="1" t="s">
        <v>32</v>
      </c>
      <c r="O645" s="1">
        <v>60</v>
      </c>
      <c r="P645" s="1" t="s">
        <v>65</v>
      </c>
    </row>
    <row r="646" spans="1:16" ht="15.75" customHeight="1" x14ac:dyDescent="0.35">
      <c r="A646" s="1" t="s">
        <v>192</v>
      </c>
      <c r="D646" s="1" t="s">
        <v>835</v>
      </c>
      <c r="E646" s="1" t="s">
        <v>22</v>
      </c>
      <c r="F646" s="1" t="s">
        <v>93</v>
      </c>
      <c r="G646" s="1" t="s">
        <v>24</v>
      </c>
      <c r="I646">
        <f>IF(Table1[[#This Row],[Claim_Amount]]&lt;0,0,Table1[[#This Row],[Claim_Amount]])</f>
        <v>0</v>
      </c>
      <c r="J646" t="str">
        <f>IF(Table1[[#This Row],[Column1]]=0,"",Table1[[#This Row],[Column1]])</f>
        <v/>
      </c>
      <c r="K646" t="s">
        <v>1098</v>
      </c>
      <c r="M646" s="1" t="s">
        <v>36</v>
      </c>
      <c r="N646" s="1" t="s">
        <v>57</v>
      </c>
      <c r="O646" s="1">
        <v>20</v>
      </c>
      <c r="P646" s="1" t="s">
        <v>27</v>
      </c>
    </row>
    <row r="647" spans="1:16" ht="15.75" customHeight="1" x14ac:dyDescent="0.35">
      <c r="A647" s="1" t="s">
        <v>261</v>
      </c>
      <c r="B647" s="1" t="s">
        <v>836</v>
      </c>
      <c r="D647" s="1" t="s">
        <v>837</v>
      </c>
      <c r="E647" s="1" t="s">
        <v>92</v>
      </c>
      <c r="F647" s="1" t="s">
        <v>31</v>
      </c>
      <c r="G647" s="1" t="s">
        <v>54</v>
      </c>
      <c r="I647">
        <f>IF(Table1[[#This Row],[Claim_Amount]]&lt;0,0,Table1[[#This Row],[Claim_Amount]])</f>
        <v>0</v>
      </c>
      <c r="J647" t="str">
        <f>IF(Table1[[#This Row],[Column1]]=0,"",Table1[[#This Row],[Column1]])</f>
        <v/>
      </c>
      <c r="K647" t="s">
        <v>1098</v>
      </c>
      <c r="L647" s="1">
        <v>747.97</v>
      </c>
      <c r="M647" s="1" t="s">
        <v>36</v>
      </c>
      <c r="N647" s="1" t="s">
        <v>57</v>
      </c>
      <c r="O647" s="1">
        <v>48</v>
      </c>
      <c r="P647" s="1" t="s">
        <v>19</v>
      </c>
    </row>
    <row r="648" spans="1:16" ht="15.75" customHeight="1" x14ac:dyDescent="0.35">
      <c r="A648" s="1" t="s">
        <v>154</v>
      </c>
      <c r="C648" s="1" t="s">
        <v>358</v>
      </c>
      <c r="D648" s="1" t="s">
        <v>838</v>
      </c>
      <c r="E648" s="1" t="s">
        <v>85</v>
      </c>
      <c r="F648" s="1" t="s">
        <v>31</v>
      </c>
      <c r="G648" s="1" t="s">
        <v>54</v>
      </c>
      <c r="I648">
        <f>IF(Table1[[#This Row],[Claim_Amount]]&lt;0,0,Table1[[#This Row],[Claim_Amount]])</f>
        <v>0</v>
      </c>
      <c r="J648" t="str">
        <f>IF(Table1[[#This Row],[Column1]]=0,"",Table1[[#This Row],[Column1]])</f>
        <v/>
      </c>
      <c r="K648" t="s">
        <v>1098</v>
      </c>
      <c r="M648" s="1" t="s">
        <v>25</v>
      </c>
      <c r="N648" s="1" t="s">
        <v>26</v>
      </c>
      <c r="P648" s="1" t="s">
        <v>37</v>
      </c>
    </row>
    <row r="649" spans="1:16" ht="15.75" customHeight="1" x14ac:dyDescent="0.35">
      <c r="A649" s="1" t="s">
        <v>247</v>
      </c>
      <c r="B649" s="1" t="s">
        <v>839</v>
      </c>
      <c r="C649" s="1" t="s">
        <v>97</v>
      </c>
      <c r="D649" s="1" t="s">
        <v>407</v>
      </c>
      <c r="E649" s="1" t="s">
        <v>16</v>
      </c>
      <c r="F649" s="1" t="s">
        <v>31</v>
      </c>
      <c r="G649" s="1" t="s">
        <v>24</v>
      </c>
      <c r="H649" s="1">
        <v>-80</v>
      </c>
      <c r="I649" s="1">
        <f>IF(Table1[[#This Row],[Claim_Amount]]&lt;0,0,Table1[[#This Row],[Claim_Amount]])</f>
        <v>0</v>
      </c>
      <c r="J649" s="1" t="str">
        <f>IF(Table1[[#This Row],[Column1]]=0,"",Table1[[#This Row],[Column1]])</f>
        <v/>
      </c>
      <c r="K649" s="1" t="s">
        <v>1098</v>
      </c>
      <c r="M649" s="1" t="s">
        <v>25</v>
      </c>
      <c r="N649" s="1" t="s">
        <v>32</v>
      </c>
      <c r="O649" s="1">
        <v>57</v>
      </c>
      <c r="P649" s="1" t="s">
        <v>37</v>
      </c>
    </row>
    <row r="650" spans="1:16" ht="15.75" customHeight="1" x14ac:dyDescent="0.35">
      <c r="A650" s="1" t="s">
        <v>108</v>
      </c>
      <c r="C650" s="1" t="s">
        <v>258</v>
      </c>
      <c r="D650" s="1" t="s">
        <v>840</v>
      </c>
      <c r="E650" s="1" t="s">
        <v>35</v>
      </c>
      <c r="G650" s="1" t="s">
        <v>61</v>
      </c>
      <c r="H650" s="1">
        <v>-160</v>
      </c>
      <c r="I650" s="1">
        <f>IF(Table1[[#This Row],[Claim_Amount]]&lt;0,0,Table1[[#This Row],[Claim_Amount]])</f>
        <v>0</v>
      </c>
      <c r="J650" s="1" t="str">
        <f>IF(Table1[[#This Row],[Column1]]=0,"",Table1[[#This Row],[Column1]])</f>
        <v/>
      </c>
      <c r="K650" s="1" t="s">
        <v>1098</v>
      </c>
      <c r="L650" s="1">
        <v>4366.97</v>
      </c>
      <c r="M650" s="1" t="s">
        <v>17</v>
      </c>
      <c r="N650" s="1" t="s">
        <v>32</v>
      </c>
      <c r="O650" s="1">
        <v>30</v>
      </c>
      <c r="P650" s="1" t="s">
        <v>37</v>
      </c>
    </row>
    <row r="651" spans="1:16" ht="15.75" customHeight="1" x14ac:dyDescent="0.35">
      <c r="A651" s="1" t="s">
        <v>102</v>
      </c>
      <c r="C651" s="1" t="s">
        <v>112</v>
      </c>
      <c r="D651" s="1" t="s">
        <v>559</v>
      </c>
      <c r="E651" s="1" t="s">
        <v>22</v>
      </c>
      <c r="H651" s="1">
        <v>1110.24</v>
      </c>
      <c r="I651" s="1">
        <f>IF(Table1[[#This Row],[Claim_Amount]]&lt;0,0,Table1[[#This Row],[Claim_Amount]])</f>
        <v>1110.24</v>
      </c>
      <c r="J651" s="1">
        <f>IF(Table1[[#This Row],[Column1]]=0,"",Table1[[#This Row],[Column1]])</f>
        <v>1110.24</v>
      </c>
      <c r="K651" s="1">
        <v>1110.24</v>
      </c>
      <c r="M651" s="1" t="s">
        <v>17</v>
      </c>
      <c r="N651" s="1" t="s">
        <v>18</v>
      </c>
      <c r="P651" s="1" t="s">
        <v>27</v>
      </c>
    </row>
    <row r="652" spans="1:16" ht="15.75" customHeight="1" x14ac:dyDescent="0.35">
      <c r="A652" s="1" t="s">
        <v>110</v>
      </c>
      <c r="C652" s="1" t="s">
        <v>221</v>
      </c>
      <c r="D652" s="1" t="s">
        <v>563</v>
      </c>
      <c r="E652" s="1" t="s">
        <v>35</v>
      </c>
      <c r="F652" s="1" t="s">
        <v>93</v>
      </c>
      <c r="G652" s="1" t="s">
        <v>41</v>
      </c>
      <c r="H652" s="1">
        <v>-84</v>
      </c>
      <c r="I652" s="1">
        <f>IF(Table1[[#This Row],[Claim_Amount]]&lt;0,0,Table1[[#This Row],[Claim_Amount]])</f>
        <v>0</v>
      </c>
      <c r="J652" s="1" t="str">
        <f>IF(Table1[[#This Row],[Column1]]=0,"",Table1[[#This Row],[Column1]])</f>
        <v/>
      </c>
      <c r="K652" s="1" t="s">
        <v>1098</v>
      </c>
      <c r="M652" s="1" t="s">
        <v>121</v>
      </c>
      <c r="N652" s="1" t="s">
        <v>57</v>
      </c>
      <c r="P652" s="1" t="s">
        <v>37</v>
      </c>
    </row>
    <row r="653" spans="1:16" ht="15.75" customHeight="1" x14ac:dyDescent="0.35">
      <c r="A653" s="1" t="s">
        <v>261</v>
      </c>
      <c r="B653" s="1" t="s">
        <v>616</v>
      </c>
      <c r="D653" s="1" t="s">
        <v>841</v>
      </c>
      <c r="E653" s="1" t="s">
        <v>35</v>
      </c>
      <c r="F653" s="1" t="s">
        <v>53</v>
      </c>
      <c r="G653" s="1" t="s">
        <v>61</v>
      </c>
      <c r="H653" s="1">
        <v>922.16</v>
      </c>
      <c r="I653" s="1">
        <f>IF(Table1[[#This Row],[Claim_Amount]]&lt;0,0,Table1[[#This Row],[Claim_Amount]])</f>
        <v>922.16</v>
      </c>
      <c r="J653" s="1">
        <f>IF(Table1[[#This Row],[Column1]]=0,"",Table1[[#This Row],[Column1]])</f>
        <v>922.16</v>
      </c>
      <c r="K653" s="1">
        <v>922.16</v>
      </c>
      <c r="M653" s="1" t="s">
        <v>17</v>
      </c>
      <c r="N653" s="1" t="s">
        <v>49</v>
      </c>
    </row>
    <row r="654" spans="1:16" ht="15.75" customHeight="1" x14ac:dyDescent="0.35">
      <c r="A654" s="1" t="s">
        <v>70</v>
      </c>
      <c r="B654" s="1" t="s">
        <v>842</v>
      </c>
      <c r="D654" s="1" t="s">
        <v>216</v>
      </c>
      <c r="E654" s="1" t="s">
        <v>16</v>
      </c>
      <c r="F654" s="1" t="s">
        <v>47</v>
      </c>
      <c r="G654" s="1" t="s">
        <v>41</v>
      </c>
      <c r="H654" s="1">
        <v>-91</v>
      </c>
      <c r="I654" s="1">
        <f>IF(Table1[[#This Row],[Claim_Amount]]&lt;0,0,Table1[[#This Row],[Claim_Amount]])</f>
        <v>0</v>
      </c>
      <c r="J654" s="1" t="str">
        <f>IF(Table1[[#This Row],[Column1]]=0,"",Table1[[#This Row],[Column1]])</f>
        <v/>
      </c>
      <c r="K654" s="1" t="s">
        <v>1098</v>
      </c>
      <c r="M654" s="1" t="s">
        <v>121</v>
      </c>
      <c r="N654" s="1" t="s">
        <v>49</v>
      </c>
      <c r="O654" s="1">
        <v>16</v>
      </c>
      <c r="P654" s="1" t="s">
        <v>27</v>
      </c>
    </row>
    <row r="655" spans="1:16" ht="15.75" customHeight="1" x14ac:dyDescent="0.35">
      <c r="A655" s="1" t="s">
        <v>117</v>
      </c>
      <c r="B655" s="1" t="s">
        <v>270</v>
      </c>
      <c r="C655" s="1" t="s">
        <v>696</v>
      </c>
      <c r="D655" s="1" t="s">
        <v>60</v>
      </c>
      <c r="E655" s="1" t="s">
        <v>30</v>
      </c>
      <c r="F655" s="1" t="s">
        <v>93</v>
      </c>
      <c r="G655" s="1" t="s">
        <v>54</v>
      </c>
      <c r="H655" s="1">
        <v>1070.69</v>
      </c>
      <c r="I655" s="1">
        <f>IF(Table1[[#This Row],[Claim_Amount]]&lt;0,0,Table1[[#This Row],[Claim_Amount]])</f>
        <v>1070.69</v>
      </c>
      <c r="J655" s="1">
        <f>IF(Table1[[#This Row],[Column1]]=0,"",Table1[[#This Row],[Column1]])</f>
        <v>1070.69</v>
      </c>
      <c r="K655" s="1">
        <v>1070.69</v>
      </c>
      <c r="M655" s="1" t="s">
        <v>36</v>
      </c>
      <c r="N655" s="1" t="s">
        <v>32</v>
      </c>
    </row>
    <row r="656" spans="1:16" ht="15.75" customHeight="1" x14ac:dyDescent="0.35">
      <c r="A656" s="1" t="s">
        <v>105</v>
      </c>
      <c r="B656" s="1" t="s">
        <v>843</v>
      </c>
      <c r="C656" s="1" t="s">
        <v>80</v>
      </c>
      <c r="D656" s="1" t="s">
        <v>844</v>
      </c>
      <c r="E656" s="1" t="s">
        <v>16</v>
      </c>
      <c r="G656" s="1" t="s">
        <v>61</v>
      </c>
      <c r="I656">
        <f>IF(Table1[[#This Row],[Claim_Amount]]&lt;0,0,Table1[[#This Row],[Claim_Amount]])</f>
        <v>0</v>
      </c>
      <c r="J656" t="str">
        <f>IF(Table1[[#This Row],[Column1]]=0,"",Table1[[#This Row],[Column1]])</f>
        <v/>
      </c>
      <c r="K656" t="s">
        <v>1098</v>
      </c>
      <c r="M656" s="1" t="s">
        <v>121</v>
      </c>
      <c r="N656" s="1" t="s">
        <v>18</v>
      </c>
      <c r="O656" s="1">
        <v>18</v>
      </c>
      <c r="P656" s="1" t="s">
        <v>27</v>
      </c>
    </row>
    <row r="657" spans="1:16" ht="15.75" customHeight="1" x14ac:dyDescent="0.35">
      <c r="A657" s="1" t="s">
        <v>114</v>
      </c>
      <c r="B657" s="1" t="s">
        <v>103</v>
      </c>
      <c r="C657" s="1" t="s">
        <v>228</v>
      </c>
      <c r="D657" s="1" t="s">
        <v>126</v>
      </c>
      <c r="E657" s="1" t="s">
        <v>16</v>
      </c>
      <c r="F657" s="1" t="s">
        <v>47</v>
      </c>
      <c r="G657" s="1" t="s">
        <v>48</v>
      </c>
      <c r="I657">
        <f>IF(Table1[[#This Row],[Claim_Amount]]&lt;0,0,Table1[[#This Row],[Claim_Amount]])</f>
        <v>0</v>
      </c>
      <c r="J657" t="str">
        <f>IF(Table1[[#This Row],[Column1]]=0,"",Table1[[#This Row],[Column1]])</f>
        <v/>
      </c>
      <c r="K657" t="s">
        <v>1098</v>
      </c>
      <c r="L657" s="1">
        <v>1451.29</v>
      </c>
      <c r="M657" s="1" t="s">
        <v>17</v>
      </c>
      <c r="N657" s="1" t="s">
        <v>18</v>
      </c>
      <c r="P657" s="1" t="s">
        <v>19</v>
      </c>
    </row>
    <row r="658" spans="1:16" ht="15.75" customHeight="1" x14ac:dyDescent="0.35">
      <c r="A658" s="1" t="s">
        <v>179</v>
      </c>
      <c r="C658" s="1" t="s">
        <v>442</v>
      </c>
      <c r="D658" s="1" t="s">
        <v>845</v>
      </c>
      <c r="E658" s="1" t="s">
        <v>30</v>
      </c>
      <c r="H658" s="1">
        <v>3823.81</v>
      </c>
      <c r="I658" s="1">
        <f>IF(Table1[[#This Row],[Claim_Amount]]&lt;0,0,Table1[[#This Row],[Claim_Amount]])</f>
        <v>3823.81</v>
      </c>
      <c r="J658" s="1">
        <f>IF(Table1[[#This Row],[Column1]]=0,"",Table1[[#This Row],[Column1]])</f>
        <v>3823.81</v>
      </c>
      <c r="K658" s="1">
        <v>3823.81</v>
      </c>
      <c r="M658" s="1" t="s">
        <v>36</v>
      </c>
      <c r="N658" s="1" t="s">
        <v>18</v>
      </c>
    </row>
    <row r="659" spans="1:16" ht="15.75" customHeight="1" x14ac:dyDescent="0.35">
      <c r="A659" s="1" t="s">
        <v>179</v>
      </c>
      <c r="B659" s="1" t="s">
        <v>597</v>
      </c>
      <c r="D659" s="1" t="s">
        <v>846</v>
      </c>
      <c r="E659" s="1" t="s">
        <v>16</v>
      </c>
      <c r="F659" s="1" t="s">
        <v>31</v>
      </c>
      <c r="G659" s="1" t="s">
        <v>41</v>
      </c>
      <c r="I659">
        <f>IF(Table1[[#This Row],[Claim_Amount]]&lt;0,0,Table1[[#This Row],[Claim_Amount]])</f>
        <v>0</v>
      </c>
      <c r="J659" t="str">
        <f>IF(Table1[[#This Row],[Column1]]=0,"",Table1[[#This Row],[Column1]])</f>
        <v/>
      </c>
      <c r="K659" t="s">
        <v>1098</v>
      </c>
      <c r="M659" s="1" t="s">
        <v>121</v>
      </c>
      <c r="N659" s="1" t="s">
        <v>49</v>
      </c>
      <c r="P659" s="1" t="s">
        <v>19</v>
      </c>
    </row>
    <row r="660" spans="1:16" ht="15.75" customHeight="1" x14ac:dyDescent="0.35">
      <c r="A660" s="1" t="s">
        <v>198</v>
      </c>
      <c r="D660" s="1" t="s">
        <v>326</v>
      </c>
      <c r="E660" s="1" t="s">
        <v>85</v>
      </c>
      <c r="F660" s="1" t="s">
        <v>53</v>
      </c>
      <c r="G660" s="1" t="s">
        <v>61</v>
      </c>
      <c r="H660" s="1">
        <v>-196</v>
      </c>
      <c r="I660" s="1">
        <f>IF(Table1[[#This Row],[Claim_Amount]]&lt;0,0,Table1[[#This Row],[Claim_Amount]])</f>
        <v>0</v>
      </c>
      <c r="J660" s="1" t="str">
        <f>IF(Table1[[#This Row],[Column1]]=0,"",Table1[[#This Row],[Column1]])</f>
        <v/>
      </c>
      <c r="K660" s="1" t="s">
        <v>1098</v>
      </c>
      <c r="M660" s="1" t="s">
        <v>25</v>
      </c>
      <c r="N660" s="1" t="s">
        <v>49</v>
      </c>
      <c r="P660" s="1" t="s">
        <v>19</v>
      </c>
    </row>
    <row r="661" spans="1:16" ht="15.75" customHeight="1" x14ac:dyDescent="0.35">
      <c r="A661" s="1" t="s">
        <v>78</v>
      </c>
      <c r="B661" s="1" t="s">
        <v>847</v>
      </c>
      <c r="D661" s="1" t="s">
        <v>134</v>
      </c>
      <c r="E661" s="1" t="s">
        <v>92</v>
      </c>
      <c r="F661" s="1" t="s">
        <v>31</v>
      </c>
      <c r="G661" s="1" t="s">
        <v>24</v>
      </c>
      <c r="H661" s="1">
        <v>4057.92</v>
      </c>
      <c r="I661" s="1">
        <f>IF(Table1[[#This Row],[Claim_Amount]]&lt;0,0,Table1[[#This Row],[Claim_Amount]])</f>
        <v>4057.92</v>
      </c>
      <c r="J661" s="1">
        <f>IF(Table1[[#This Row],[Column1]]=0,"",Table1[[#This Row],[Column1]])</f>
        <v>4057.92</v>
      </c>
      <c r="K661" s="1">
        <v>4057.92</v>
      </c>
      <c r="L661" s="1">
        <v>2826.38</v>
      </c>
      <c r="M661" s="1" t="s">
        <v>121</v>
      </c>
      <c r="N661" s="1" t="s">
        <v>57</v>
      </c>
      <c r="O661" s="1">
        <v>15</v>
      </c>
      <c r="P661" s="1" t="s">
        <v>65</v>
      </c>
    </row>
    <row r="662" spans="1:16" ht="15.75" customHeight="1" x14ac:dyDescent="0.35">
      <c r="A662" s="1" t="s">
        <v>78</v>
      </c>
      <c r="C662" s="1" t="s">
        <v>354</v>
      </c>
      <c r="D662" s="1" t="s">
        <v>848</v>
      </c>
      <c r="E662" s="1" t="s">
        <v>92</v>
      </c>
      <c r="G662" s="1" t="s">
        <v>41</v>
      </c>
      <c r="I662">
        <f>IF(Table1[[#This Row],[Claim_Amount]]&lt;0,0,Table1[[#This Row],[Claim_Amount]])</f>
        <v>0</v>
      </c>
      <c r="J662" t="str">
        <f>IF(Table1[[#This Row],[Column1]]=0,"",Table1[[#This Row],[Column1]])</f>
        <v/>
      </c>
      <c r="K662" t="s">
        <v>1098</v>
      </c>
      <c r="M662" s="1" t="s">
        <v>121</v>
      </c>
      <c r="N662" s="1" t="s">
        <v>26</v>
      </c>
      <c r="P662" s="1" t="s">
        <v>65</v>
      </c>
    </row>
    <row r="663" spans="1:16" ht="15.75" customHeight="1" x14ac:dyDescent="0.35">
      <c r="A663" s="1" t="s">
        <v>231</v>
      </c>
      <c r="D663" s="1" t="s">
        <v>217</v>
      </c>
      <c r="E663" s="1" t="s">
        <v>77</v>
      </c>
      <c r="G663" s="1" t="s">
        <v>48</v>
      </c>
      <c r="H663" s="1">
        <v>2596.4299999999998</v>
      </c>
      <c r="I663" s="1">
        <f>IF(Table1[[#This Row],[Claim_Amount]]&lt;0,0,Table1[[#This Row],[Claim_Amount]])</f>
        <v>2596.4299999999998</v>
      </c>
      <c r="J663" s="1">
        <f>IF(Table1[[#This Row],[Column1]]=0,"",Table1[[#This Row],[Column1]])</f>
        <v>2596.4299999999998</v>
      </c>
      <c r="K663" s="1">
        <v>2596.4299999999998</v>
      </c>
      <c r="M663" s="1" t="s">
        <v>25</v>
      </c>
      <c r="N663" s="1" t="s">
        <v>49</v>
      </c>
      <c r="O663" s="1">
        <v>8</v>
      </c>
      <c r="P663" s="1" t="s">
        <v>65</v>
      </c>
    </row>
    <row r="664" spans="1:16" ht="15.75" customHeight="1" x14ac:dyDescent="0.35">
      <c r="A664" s="1" t="s">
        <v>302</v>
      </c>
      <c r="B664" s="1" t="s">
        <v>737</v>
      </c>
      <c r="C664" s="1" t="s">
        <v>632</v>
      </c>
      <c r="D664" s="1" t="s">
        <v>849</v>
      </c>
      <c r="E664" s="1" t="s">
        <v>77</v>
      </c>
      <c r="F664" s="1" t="s">
        <v>93</v>
      </c>
      <c r="I664">
        <f>IF(Table1[[#This Row],[Claim_Amount]]&lt;0,0,Table1[[#This Row],[Claim_Amount]])</f>
        <v>0</v>
      </c>
      <c r="J664" t="str">
        <f>IF(Table1[[#This Row],[Column1]]=0,"",Table1[[#This Row],[Column1]])</f>
        <v/>
      </c>
      <c r="K664" t="s">
        <v>1098</v>
      </c>
      <c r="M664" s="1" t="s">
        <v>121</v>
      </c>
      <c r="N664" s="1" t="s">
        <v>49</v>
      </c>
      <c r="P664" s="1" t="s">
        <v>19</v>
      </c>
    </row>
    <row r="665" spans="1:16" ht="15.75" customHeight="1" x14ac:dyDescent="0.35">
      <c r="A665" s="1" t="s">
        <v>62</v>
      </c>
      <c r="D665" s="1" t="s">
        <v>835</v>
      </c>
      <c r="E665" s="1" t="s">
        <v>30</v>
      </c>
      <c r="G665" s="1" t="s">
        <v>24</v>
      </c>
      <c r="I665">
        <f>IF(Table1[[#This Row],[Claim_Amount]]&lt;0,0,Table1[[#This Row],[Claim_Amount]])</f>
        <v>0</v>
      </c>
      <c r="J665" t="str">
        <f>IF(Table1[[#This Row],[Column1]]=0,"",Table1[[#This Row],[Column1]])</f>
        <v/>
      </c>
      <c r="K665" t="s">
        <v>1098</v>
      </c>
      <c r="M665" s="1" t="s">
        <v>42</v>
      </c>
      <c r="N665" s="1" t="s">
        <v>57</v>
      </c>
      <c r="P665" s="1" t="s">
        <v>37</v>
      </c>
    </row>
    <row r="666" spans="1:16" ht="15.75" customHeight="1" x14ac:dyDescent="0.35">
      <c r="A666" s="1" t="s">
        <v>173</v>
      </c>
      <c r="C666" s="1" t="s">
        <v>133</v>
      </c>
      <c r="D666" s="1" t="s">
        <v>415</v>
      </c>
      <c r="E666" s="1" t="s">
        <v>92</v>
      </c>
      <c r="F666" s="1" t="s">
        <v>53</v>
      </c>
      <c r="G666" s="1" t="s">
        <v>24</v>
      </c>
      <c r="H666" s="1">
        <v>794.23</v>
      </c>
      <c r="I666" s="1">
        <f>IF(Table1[[#This Row],[Claim_Amount]]&lt;0,0,Table1[[#This Row],[Claim_Amount]])</f>
        <v>794.23</v>
      </c>
      <c r="J666" s="1">
        <f>IF(Table1[[#This Row],[Column1]]=0,"",Table1[[#This Row],[Column1]])</f>
        <v>794.23</v>
      </c>
      <c r="K666" s="1">
        <v>794.23</v>
      </c>
      <c r="L666" s="1">
        <v>1593.61</v>
      </c>
      <c r="M666" s="1" t="s">
        <v>17</v>
      </c>
      <c r="N666" s="1" t="s">
        <v>26</v>
      </c>
      <c r="P666" s="1" t="s">
        <v>27</v>
      </c>
    </row>
    <row r="667" spans="1:16" ht="15.75" customHeight="1" x14ac:dyDescent="0.35">
      <c r="A667" s="1" t="s">
        <v>108</v>
      </c>
      <c r="C667" s="1" t="s">
        <v>503</v>
      </c>
      <c r="D667" s="1" t="s">
        <v>850</v>
      </c>
      <c r="E667" s="1" t="s">
        <v>85</v>
      </c>
      <c r="F667" s="1" t="s">
        <v>31</v>
      </c>
      <c r="I667">
        <f>IF(Table1[[#This Row],[Claim_Amount]]&lt;0,0,Table1[[#This Row],[Claim_Amount]])</f>
        <v>0</v>
      </c>
      <c r="J667" t="str">
        <f>IF(Table1[[#This Row],[Column1]]=0,"",Table1[[#This Row],[Column1]])</f>
        <v/>
      </c>
      <c r="K667" t="s">
        <v>1098</v>
      </c>
      <c r="M667" s="1" t="s">
        <v>36</v>
      </c>
      <c r="N667" s="1" t="s">
        <v>32</v>
      </c>
      <c r="P667" s="1" t="s">
        <v>37</v>
      </c>
    </row>
    <row r="668" spans="1:16" ht="15.75" customHeight="1" x14ac:dyDescent="0.35">
      <c r="A668" s="1" t="s">
        <v>247</v>
      </c>
      <c r="C668" s="1" t="s">
        <v>336</v>
      </c>
      <c r="D668" s="1" t="s">
        <v>851</v>
      </c>
      <c r="E668" s="1" t="s">
        <v>35</v>
      </c>
      <c r="F668" s="1" t="s">
        <v>93</v>
      </c>
      <c r="G668" s="1" t="s">
        <v>41</v>
      </c>
      <c r="H668" s="1">
        <v>932.71</v>
      </c>
      <c r="I668" s="1">
        <f>IF(Table1[[#This Row],[Claim_Amount]]&lt;0,0,Table1[[#This Row],[Claim_Amount]])</f>
        <v>932.71</v>
      </c>
      <c r="J668" s="1">
        <f>IF(Table1[[#This Row],[Column1]]=0,"",Table1[[#This Row],[Column1]])</f>
        <v>932.71</v>
      </c>
      <c r="K668" s="1">
        <v>932.71</v>
      </c>
      <c r="M668" s="1" t="s">
        <v>36</v>
      </c>
      <c r="N668" s="1" t="s">
        <v>49</v>
      </c>
    </row>
    <row r="669" spans="1:16" ht="15.75" customHeight="1" x14ac:dyDescent="0.35">
      <c r="A669" s="1" t="s">
        <v>154</v>
      </c>
      <c r="D669" s="1" t="s">
        <v>570</v>
      </c>
      <c r="E669" s="1" t="s">
        <v>85</v>
      </c>
      <c r="F669" s="1" t="s">
        <v>23</v>
      </c>
      <c r="G669" s="1" t="s">
        <v>54</v>
      </c>
      <c r="H669" s="1">
        <v>-52</v>
      </c>
      <c r="I669" s="1">
        <f>IF(Table1[[#This Row],[Claim_Amount]]&lt;0,0,Table1[[#This Row],[Claim_Amount]])</f>
        <v>0</v>
      </c>
      <c r="J669" s="1" t="str">
        <f>IF(Table1[[#This Row],[Column1]]=0,"",Table1[[#This Row],[Column1]])</f>
        <v/>
      </c>
      <c r="K669" s="1" t="s">
        <v>1098</v>
      </c>
      <c r="M669" s="1" t="s">
        <v>25</v>
      </c>
      <c r="N669" s="1" t="s">
        <v>26</v>
      </c>
      <c r="P669" s="1" t="s">
        <v>37</v>
      </c>
    </row>
    <row r="670" spans="1:16" ht="15.75" customHeight="1" x14ac:dyDescent="0.35">
      <c r="A670" s="1" t="s">
        <v>62</v>
      </c>
      <c r="D670" s="1" t="s">
        <v>517</v>
      </c>
      <c r="E670" s="1" t="s">
        <v>77</v>
      </c>
      <c r="F670" s="1" t="s">
        <v>53</v>
      </c>
      <c r="G670" s="1" t="s">
        <v>48</v>
      </c>
      <c r="I670">
        <f>IF(Table1[[#This Row],[Claim_Amount]]&lt;0,0,Table1[[#This Row],[Claim_Amount]])</f>
        <v>0</v>
      </c>
      <c r="J670" t="str">
        <f>IF(Table1[[#This Row],[Column1]]=0,"",Table1[[#This Row],[Column1]])</f>
        <v/>
      </c>
      <c r="K670" t="s">
        <v>1098</v>
      </c>
      <c r="M670" s="1" t="s">
        <v>36</v>
      </c>
      <c r="N670" s="1" t="s">
        <v>26</v>
      </c>
      <c r="P670" s="1" t="s">
        <v>65</v>
      </c>
    </row>
    <row r="671" spans="1:16" ht="15.75" customHeight="1" x14ac:dyDescent="0.35">
      <c r="A671" s="1" t="s">
        <v>132</v>
      </c>
      <c r="C671" s="1" t="s">
        <v>314</v>
      </c>
      <c r="D671" s="1" t="s">
        <v>852</v>
      </c>
      <c r="E671" s="1" t="s">
        <v>35</v>
      </c>
      <c r="F671" s="1" t="s">
        <v>31</v>
      </c>
      <c r="I671">
        <f>IF(Table1[[#This Row],[Claim_Amount]]&lt;0,0,Table1[[#This Row],[Claim_Amount]])</f>
        <v>0</v>
      </c>
      <c r="J671" t="str">
        <f>IF(Table1[[#This Row],[Column1]]=0,"",Table1[[#This Row],[Column1]])</f>
        <v/>
      </c>
      <c r="K671" t="s">
        <v>1098</v>
      </c>
      <c r="M671" s="1" t="s">
        <v>121</v>
      </c>
      <c r="N671" s="1" t="s">
        <v>32</v>
      </c>
      <c r="P671" s="1" t="s">
        <v>65</v>
      </c>
    </row>
    <row r="672" spans="1:16" ht="15.75" customHeight="1" x14ac:dyDescent="0.35">
      <c r="A672" s="1" t="s">
        <v>110</v>
      </c>
      <c r="B672" s="1" t="s">
        <v>647</v>
      </c>
      <c r="D672" s="1" t="s">
        <v>853</v>
      </c>
      <c r="E672" s="1" t="s">
        <v>92</v>
      </c>
      <c r="F672" s="1" t="s">
        <v>47</v>
      </c>
      <c r="G672" s="1" t="s">
        <v>24</v>
      </c>
      <c r="I672">
        <f>IF(Table1[[#This Row],[Claim_Amount]]&lt;0,0,Table1[[#This Row],[Claim_Amount]])</f>
        <v>0</v>
      </c>
      <c r="J672" t="str">
        <f>IF(Table1[[#This Row],[Column1]]=0,"",Table1[[#This Row],[Column1]])</f>
        <v/>
      </c>
      <c r="K672" t="s">
        <v>1098</v>
      </c>
      <c r="M672" s="1" t="s">
        <v>42</v>
      </c>
      <c r="N672" s="1" t="s">
        <v>57</v>
      </c>
      <c r="O672" s="1">
        <v>58</v>
      </c>
    </row>
    <row r="673" spans="1:16" ht="15.75" customHeight="1" x14ac:dyDescent="0.35">
      <c r="A673" s="1" t="s">
        <v>38</v>
      </c>
      <c r="D673" s="1" t="s">
        <v>398</v>
      </c>
      <c r="E673" s="1" t="s">
        <v>92</v>
      </c>
      <c r="F673" s="1" t="s">
        <v>31</v>
      </c>
      <c r="H673" s="1">
        <v>333.27</v>
      </c>
      <c r="I673" s="1">
        <f>IF(Table1[[#This Row],[Claim_Amount]]&lt;0,0,Table1[[#This Row],[Claim_Amount]])</f>
        <v>333.27</v>
      </c>
      <c r="J673" s="1">
        <f>IF(Table1[[#This Row],[Column1]]=0,"",Table1[[#This Row],[Column1]])</f>
        <v>333.27</v>
      </c>
      <c r="K673" s="1">
        <v>333.27</v>
      </c>
      <c r="M673" s="1" t="s">
        <v>36</v>
      </c>
      <c r="N673" s="1" t="s">
        <v>49</v>
      </c>
      <c r="O673" s="1">
        <v>31</v>
      </c>
      <c r="P673" s="1" t="s">
        <v>37</v>
      </c>
    </row>
    <row r="674" spans="1:16" ht="15.75" customHeight="1" x14ac:dyDescent="0.35">
      <c r="A674" s="1" t="s">
        <v>148</v>
      </c>
      <c r="C674" s="1" t="s">
        <v>479</v>
      </c>
      <c r="D674" s="1" t="s">
        <v>854</v>
      </c>
      <c r="E674" s="1" t="s">
        <v>85</v>
      </c>
      <c r="H674" s="1">
        <v>925.69</v>
      </c>
      <c r="I674" s="1">
        <f>IF(Table1[[#This Row],[Claim_Amount]]&lt;0,0,Table1[[#This Row],[Claim_Amount]])</f>
        <v>925.69</v>
      </c>
      <c r="J674" s="1">
        <f>IF(Table1[[#This Row],[Column1]]=0,"",Table1[[#This Row],[Column1]])</f>
        <v>925.69</v>
      </c>
      <c r="K674" s="1">
        <v>925.69</v>
      </c>
      <c r="L674" s="1">
        <v>2126.88</v>
      </c>
      <c r="M674" s="1" t="s">
        <v>25</v>
      </c>
      <c r="N674" s="1" t="s">
        <v>49</v>
      </c>
      <c r="P674" s="1" t="s">
        <v>19</v>
      </c>
    </row>
    <row r="675" spans="1:16" ht="15.75" customHeight="1" x14ac:dyDescent="0.35">
      <c r="A675" s="1" t="s">
        <v>58</v>
      </c>
      <c r="C675" s="1" t="s">
        <v>97</v>
      </c>
      <c r="D675" s="1" t="s">
        <v>855</v>
      </c>
      <c r="E675" s="1" t="s">
        <v>22</v>
      </c>
      <c r="G675" s="1" t="s">
        <v>41</v>
      </c>
      <c r="I675">
        <f>IF(Table1[[#This Row],[Claim_Amount]]&lt;0,0,Table1[[#This Row],[Claim_Amount]])</f>
        <v>0</v>
      </c>
      <c r="J675" t="str">
        <f>IF(Table1[[#This Row],[Column1]]=0,"",Table1[[#This Row],[Column1]])</f>
        <v/>
      </c>
      <c r="K675" t="s">
        <v>1098</v>
      </c>
      <c r="M675" s="1" t="s">
        <v>121</v>
      </c>
      <c r="N675" s="1" t="s">
        <v>49</v>
      </c>
      <c r="P675" s="1" t="s">
        <v>19</v>
      </c>
    </row>
    <row r="676" spans="1:16" ht="15.75" customHeight="1" x14ac:dyDescent="0.35">
      <c r="A676" s="1" t="s">
        <v>430</v>
      </c>
      <c r="D676" s="1" t="s">
        <v>568</v>
      </c>
      <c r="E676" s="1" t="s">
        <v>92</v>
      </c>
      <c r="F676" s="1" t="s">
        <v>47</v>
      </c>
      <c r="G676" s="1" t="s">
        <v>24</v>
      </c>
      <c r="I676">
        <f>IF(Table1[[#This Row],[Claim_Amount]]&lt;0,0,Table1[[#This Row],[Claim_Amount]])</f>
        <v>0</v>
      </c>
      <c r="J676" t="str">
        <f>IF(Table1[[#This Row],[Column1]]=0,"",Table1[[#This Row],[Column1]])</f>
        <v/>
      </c>
      <c r="K676" t="s">
        <v>1098</v>
      </c>
      <c r="L676" s="1">
        <v>3194.73</v>
      </c>
      <c r="M676" s="1" t="s">
        <v>42</v>
      </c>
      <c r="N676" s="1" t="s">
        <v>32</v>
      </c>
      <c r="P676" s="1" t="s">
        <v>19</v>
      </c>
    </row>
    <row r="677" spans="1:16" ht="15.75" customHeight="1" x14ac:dyDescent="0.35">
      <c r="A677" s="1" t="s">
        <v>114</v>
      </c>
      <c r="C677" s="1" t="s">
        <v>592</v>
      </c>
      <c r="D677" s="1" t="s">
        <v>201</v>
      </c>
      <c r="E677" s="1" t="s">
        <v>16</v>
      </c>
      <c r="F677" s="1" t="s">
        <v>93</v>
      </c>
      <c r="H677" s="1">
        <v>477.77</v>
      </c>
      <c r="I677" s="1">
        <f>IF(Table1[[#This Row],[Claim_Amount]]&lt;0,0,Table1[[#This Row],[Claim_Amount]])</f>
        <v>477.77</v>
      </c>
      <c r="J677" s="1">
        <f>IF(Table1[[#This Row],[Column1]]=0,"",Table1[[#This Row],[Column1]])</f>
        <v>477.77</v>
      </c>
      <c r="K677" s="1">
        <v>477.77</v>
      </c>
      <c r="L677" s="1">
        <v>3845.28</v>
      </c>
      <c r="M677" s="1" t="s">
        <v>17</v>
      </c>
      <c r="N677" s="1" t="s">
        <v>32</v>
      </c>
      <c r="O677" s="1">
        <v>29</v>
      </c>
      <c r="P677" s="1" t="s">
        <v>65</v>
      </c>
    </row>
    <row r="678" spans="1:16" ht="15.75" customHeight="1" x14ac:dyDescent="0.35">
      <c r="A678" s="1" t="s">
        <v>192</v>
      </c>
      <c r="C678" s="1" t="s">
        <v>395</v>
      </c>
      <c r="D678" s="1" t="s">
        <v>856</v>
      </c>
      <c r="E678" s="1" t="s">
        <v>92</v>
      </c>
      <c r="F678" s="1" t="s">
        <v>93</v>
      </c>
      <c r="G678" s="1" t="s">
        <v>41</v>
      </c>
      <c r="H678" s="1">
        <v>-90</v>
      </c>
      <c r="I678" s="1">
        <f>IF(Table1[[#This Row],[Claim_Amount]]&lt;0,0,Table1[[#This Row],[Claim_Amount]])</f>
        <v>0</v>
      </c>
      <c r="J678" s="1" t="str">
        <f>IF(Table1[[#This Row],[Column1]]=0,"",Table1[[#This Row],[Column1]])</f>
        <v/>
      </c>
      <c r="K678" s="1" t="s">
        <v>1098</v>
      </c>
      <c r="L678" s="1">
        <v>1168.5</v>
      </c>
      <c r="M678" s="1" t="s">
        <v>42</v>
      </c>
      <c r="N678" s="1" t="s">
        <v>18</v>
      </c>
      <c r="P678" s="1" t="s">
        <v>27</v>
      </c>
    </row>
    <row r="679" spans="1:16" ht="15.75" customHeight="1" x14ac:dyDescent="0.35">
      <c r="A679" s="1" t="s">
        <v>321</v>
      </c>
      <c r="D679" s="1" t="s">
        <v>826</v>
      </c>
      <c r="E679" s="1" t="s">
        <v>22</v>
      </c>
      <c r="G679" s="1" t="s">
        <v>54</v>
      </c>
      <c r="I679">
        <f>IF(Table1[[#This Row],[Claim_Amount]]&lt;0,0,Table1[[#This Row],[Claim_Amount]])</f>
        <v>0</v>
      </c>
      <c r="J679" t="str">
        <f>IF(Table1[[#This Row],[Column1]]=0,"",Table1[[#This Row],[Column1]])</f>
        <v/>
      </c>
      <c r="K679" t="s">
        <v>1098</v>
      </c>
      <c r="M679" s="1" t="s">
        <v>121</v>
      </c>
      <c r="N679" s="1" t="s">
        <v>18</v>
      </c>
      <c r="P679" s="1" t="s">
        <v>65</v>
      </c>
    </row>
    <row r="680" spans="1:16" ht="15.75" customHeight="1" x14ac:dyDescent="0.35">
      <c r="A680" s="1" t="s">
        <v>321</v>
      </c>
      <c r="D680" s="1" t="s">
        <v>370</v>
      </c>
      <c r="E680" s="1" t="s">
        <v>30</v>
      </c>
      <c r="G680" s="1" t="s">
        <v>41</v>
      </c>
      <c r="I680">
        <f>IF(Table1[[#This Row],[Claim_Amount]]&lt;0,0,Table1[[#This Row],[Claim_Amount]])</f>
        <v>0</v>
      </c>
      <c r="J680" t="str">
        <f>IF(Table1[[#This Row],[Column1]]=0,"",Table1[[#This Row],[Column1]])</f>
        <v/>
      </c>
      <c r="K680" t="s">
        <v>1098</v>
      </c>
      <c r="M680" s="1" t="s">
        <v>25</v>
      </c>
      <c r="N680" s="1" t="s">
        <v>26</v>
      </c>
      <c r="P680" s="1" t="s">
        <v>65</v>
      </c>
    </row>
    <row r="681" spans="1:16" ht="15.75" customHeight="1" x14ac:dyDescent="0.35">
      <c r="A681" s="1" t="s">
        <v>285</v>
      </c>
      <c r="D681" s="1" t="s">
        <v>730</v>
      </c>
      <c r="E681" s="1" t="s">
        <v>30</v>
      </c>
      <c r="F681" s="1" t="s">
        <v>23</v>
      </c>
      <c r="G681" s="1" t="s">
        <v>41</v>
      </c>
      <c r="I681">
        <f>IF(Table1[[#This Row],[Claim_Amount]]&lt;0,0,Table1[[#This Row],[Claim_Amount]])</f>
        <v>0</v>
      </c>
      <c r="J681" t="str">
        <f>IF(Table1[[#This Row],[Column1]]=0,"",Table1[[#This Row],[Column1]])</f>
        <v/>
      </c>
      <c r="K681" t="s">
        <v>1098</v>
      </c>
      <c r="L681" s="1">
        <v>4353.18</v>
      </c>
      <c r="M681" s="1" t="s">
        <v>17</v>
      </c>
      <c r="N681" s="1" t="s">
        <v>49</v>
      </c>
      <c r="P681" s="1" t="s">
        <v>27</v>
      </c>
    </row>
    <row r="682" spans="1:16" ht="15.75" customHeight="1" x14ac:dyDescent="0.35">
      <c r="A682" s="1" t="s">
        <v>43</v>
      </c>
      <c r="B682" s="1" t="s">
        <v>351</v>
      </c>
      <c r="D682" s="1" t="s">
        <v>34</v>
      </c>
      <c r="E682" s="1" t="s">
        <v>22</v>
      </c>
      <c r="F682" s="1" t="s">
        <v>23</v>
      </c>
      <c r="G682" s="1" t="s">
        <v>48</v>
      </c>
      <c r="H682" s="1">
        <v>-126</v>
      </c>
      <c r="I682" s="1">
        <f>IF(Table1[[#This Row],[Claim_Amount]]&lt;0,0,Table1[[#This Row],[Claim_Amount]])</f>
        <v>0</v>
      </c>
      <c r="J682" s="1" t="str">
        <f>IF(Table1[[#This Row],[Column1]]=0,"",Table1[[#This Row],[Column1]])</f>
        <v/>
      </c>
      <c r="K682" s="1" t="s">
        <v>1098</v>
      </c>
      <c r="M682" s="1" t="s">
        <v>17</v>
      </c>
      <c r="N682" s="1" t="s">
        <v>32</v>
      </c>
    </row>
    <row r="683" spans="1:16" ht="15.75" customHeight="1" x14ac:dyDescent="0.35">
      <c r="A683" s="1" t="s">
        <v>114</v>
      </c>
      <c r="D683" s="1" t="s">
        <v>857</v>
      </c>
      <c r="E683" s="1" t="s">
        <v>77</v>
      </c>
      <c r="F683" s="1" t="s">
        <v>53</v>
      </c>
      <c r="G683" s="1" t="s">
        <v>41</v>
      </c>
      <c r="H683" s="1">
        <v>4772.21</v>
      </c>
      <c r="I683" s="1">
        <f>IF(Table1[[#This Row],[Claim_Amount]]&lt;0,0,Table1[[#This Row],[Claim_Amount]])</f>
        <v>4772.21</v>
      </c>
      <c r="J683" s="1">
        <f>IF(Table1[[#This Row],[Column1]]=0,"",Table1[[#This Row],[Column1]])</f>
        <v>4772.21</v>
      </c>
      <c r="K683" s="1">
        <v>4772.21</v>
      </c>
      <c r="L683" s="1">
        <v>861.93</v>
      </c>
      <c r="M683" s="1" t="s">
        <v>42</v>
      </c>
      <c r="N683" s="1" t="s">
        <v>57</v>
      </c>
      <c r="P683" s="1" t="s">
        <v>65</v>
      </c>
    </row>
    <row r="684" spans="1:16" ht="15.75" customHeight="1" x14ac:dyDescent="0.35">
      <c r="A684" s="1" t="s">
        <v>209</v>
      </c>
      <c r="B684" s="1" t="s">
        <v>858</v>
      </c>
      <c r="D684" s="1" t="s">
        <v>859</v>
      </c>
      <c r="E684" s="1" t="s">
        <v>22</v>
      </c>
      <c r="F684" s="1" t="s">
        <v>31</v>
      </c>
      <c r="G684" s="1" t="s">
        <v>48</v>
      </c>
      <c r="H684" s="1">
        <v>2010.17</v>
      </c>
      <c r="I684" s="1">
        <f>IF(Table1[[#This Row],[Claim_Amount]]&lt;0,0,Table1[[#This Row],[Claim_Amount]])</f>
        <v>2010.17</v>
      </c>
      <c r="J684" s="1">
        <f>IF(Table1[[#This Row],[Column1]]=0,"",Table1[[#This Row],[Column1]])</f>
        <v>2010.17</v>
      </c>
      <c r="K684" s="1">
        <v>2010.17</v>
      </c>
      <c r="L684" s="1">
        <v>3310.11</v>
      </c>
      <c r="M684" s="1" t="s">
        <v>17</v>
      </c>
      <c r="N684" s="1" t="s">
        <v>32</v>
      </c>
      <c r="O684" s="1">
        <v>19</v>
      </c>
      <c r="P684" s="1" t="s">
        <v>65</v>
      </c>
    </row>
    <row r="685" spans="1:16" ht="15.75" customHeight="1" x14ac:dyDescent="0.35">
      <c r="A685" s="1" t="s">
        <v>170</v>
      </c>
      <c r="C685" s="1" t="s">
        <v>816</v>
      </c>
      <c r="D685" s="1" t="s">
        <v>860</v>
      </c>
      <c r="E685" s="1" t="s">
        <v>16</v>
      </c>
      <c r="F685" s="1" t="s">
        <v>53</v>
      </c>
      <c r="G685" s="1" t="s">
        <v>24</v>
      </c>
      <c r="H685" s="1">
        <v>-130</v>
      </c>
      <c r="I685" s="1">
        <f>IF(Table1[[#This Row],[Claim_Amount]]&lt;0,0,Table1[[#This Row],[Claim_Amount]])</f>
        <v>0</v>
      </c>
      <c r="J685" s="1" t="str">
        <f>IF(Table1[[#This Row],[Column1]]=0,"",Table1[[#This Row],[Column1]])</f>
        <v/>
      </c>
      <c r="K685" s="1" t="s">
        <v>1098</v>
      </c>
      <c r="M685" s="1" t="s">
        <v>121</v>
      </c>
      <c r="N685" s="1" t="s">
        <v>49</v>
      </c>
      <c r="O685" s="1">
        <v>45</v>
      </c>
      <c r="P685" s="1" t="s">
        <v>19</v>
      </c>
    </row>
    <row r="686" spans="1:16" ht="15.75" customHeight="1" x14ac:dyDescent="0.35">
      <c r="A686" s="1" t="s">
        <v>33</v>
      </c>
      <c r="C686" s="1" t="s">
        <v>245</v>
      </c>
      <c r="D686" s="1" t="s">
        <v>861</v>
      </c>
      <c r="E686" s="1" t="s">
        <v>35</v>
      </c>
      <c r="F686" s="1" t="s">
        <v>53</v>
      </c>
      <c r="G686" s="1" t="s">
        <v>54</v>
      </c>
      <c r="I686">
        <f>IF(Table1[[#This Row],[Claim_Amount]]&lt;0,0,Table1[[#This Row],[Claim_Amount]])</f>
        <v>0</v>
      </c>
      <c r="J686" t="str">
        <f>IF(Table1[[#This Row],[Column1]]=0,"",Table1[[#This Row],[Column1]])</f>
        <v/>
      </c>
      <c r="K686" t="s">
        <v>1098</v>
      </c>
      <c r="M686" s="1" t="s">
        <v>36</v>
      </c>
      <c r="N686" s="1" t="s">
        <v>26</v>
      </c>
      <c r="P686" s="1" t="s">
        <v>65</v>
      </c>
    </row>
    <row r="687" spans="1:16" ht="15.75" customHeight="1" x14ac:dyDescent="0.35">
      <c r="A687" s="1" t="s">
        <v>202</v>
      </c>
      <c r="D687" s="1" t="s">
        <v>862</v>
      </c>
      <c r="E687" s="1" t="s">
        <v>22</v>
      </c>
      <c r="F687" s="1" t="s">
        <v>53</v>
      </c>
      <c r="G687" s="1" t="s">
        <v>61</v>
      </c>
      <c r="H687" s="1">
        <v>-45</v>
      </c>
      <c r="I687" s="1">
        <f>IF(Table1[[#This Row],[Claim_Amount]]&lt;0,0,Table1[[#This Row],[Claim_Amount]])</f>
        <v>0</v>
      </c>
      <c r="J687" s="1" t="str">
        <f>IF(Table1[[#This Row],[Column1]]=0,"",Table1[[#This Row],[Column1]])</f>
        <v/>
      </c>
      <c r="K687" s="1" t="s">
        <v>1098</v>
      </c>
      <c r="L687" s="1">
        <v>980.45</v>
      </c>
      <c r="M687" s="1" t="s">
        <v>42</v>
      </c>
      <c r="N687" s="1" t="s">
        <v>49</v>
      </c>
      <c r="P687" s="1" t="s">
        <v>37</v>
      </c>
    </row>
    <row r="688" spans="1:16" ht="15.75" customHeight="1" x14ac:dyDescent="0.35">
      <c r="A688" s="1" t="s">
        <v>43</v>
      </c>
      <c r="D688" s="1" t="s">
        <v>527</v>
      </c>
      <c r="E688" s="1" t="s">
        <v>16</v>
      </c>
      <c r="F688" s="1" t="s">
        <v>31</v>
      </c>
      <c r="G688" s="1" t="s">
        <v>48</v>
      </c>
      <c r="H688" s="1">
        <v>938.61</v>
      </c>
      <c r="I688" s="1">
        <f>IF(Table1[[#This Row],[Claim_Amount]]&lt;0,0,Table1[[#This Row],[Claim_Amount]])</f>
        <v>938.61</v>
      </c>
      <c r="J688" s="1">
        <f>IF(Table1[[#This Row],[Column1]]=0,"",Table1[[#This Row],[Column1]])</f>
        <v>938.61</v>
      </c>
      <c r="K688" s="1">
        <v>938.61</v>
      </c>
      <c r="L688" s="1">
        <v>2351.37</v>
      </c>
      <c r="M688" s="1" t="s">
        <v>42</v>
      </c>
      <c r="N688" s="1" t="s">
        <v>26</v>
      </c>
      <c r="P688" s="1" t="s">
        <v>19</v>
      </c>
    </row>
    <row r="689" spans="1:16" ht="15.75" customHeight="1" x14ac:dyDescent="0.35">
      <c r="A689" s="1" t="s">
        <v>132</v>
      </c>
      <c r="B689" s="1" t="s">
        <v>299</v>
      </c>
      <c r="D689" s="1" t="s">
        <v>143</v>
      </c>
      <c r="E689" s="1" t="s">
        <v>35</v>
      </c>
      <c r="G689" s="1" t="s">
        <v>48</v>
      </c>
      <c r="I689">
        <f>IF(Table1[[#This Row],[Claim_Amount]]&lt;0,0,Table1[[#This Row],[Claim_Amount]])</f>
        <v>0</v>
      </c>
      <c r="J689" t="str">
        <f>IF(Table1[[#This Row],[Column1]]=0,"",Table1[[#This Row],[Column1]])</f>
        <v/>
      </c>
      <c r="K689" t="s">
        <v>1098</v>
      </c>
      <c r="M689" s="1" t="s">
        <v>25</v>
      </c>
      <c r="N689" s="1" t="s">
        <v>57</v>
      </c>
    </row>
    <row r="690" spans="1:16" ht="15.75" customHeight="1" x14ac:dyDescent="0.35">
      <c r="A690" s="1" t="s">
        <v>242</v>
      </c>
      <c r="D690" s="1" t="s">
        <v>502</v>
      </c>
      <c r="E690" s="1" t="s">
        <v>77</v>
      </c>
      <c r="F690" s="1" t="s">
        <v>47</v>
      </c>
      <c r="G690" s="1" t="s">
        <v>48</v>
      </c>
      <c r="I690">
        <f>IF(Table1[[#This Row],[Claim_Amount]]&lt;0,0,Table1[[#This Row],[Claim_Amount]])</f>
        <v>0</v>
      </c>
      <c r="J690" t="str">
        <f>IF(Table1[[#This Row],[Column1]]=0,"",Table1[[#This Row],[Column1]])</f>
        <v/>
      </c>
      <c r="K690" t="s">
        <v>1098</v>
      </c>
      <c r="M690" s="1" t="s">
        <v>36</v>
      </c>
      <c r="N690" s="1" t="s">
        <v>32</v>
      </c>
    </row>
    <row r="691" spans="1:16" ht="15.75" customHeight="1" x14ac:dyDescent="0.35">
      <c r="A691" s="1" t="s">
        <v>168</v>
      </c>
      <c r="D691" s="1" t="s">
        <v>863</v>
      </c>
      <c r="E691" s="1" t="s">
        <v>77</v>
      </c>
      <c r="F691" s="1" t="s">
        <v>31</v>
      </c>
      <c r="G691" s="1" t="s">
        <v>61</v>
      </c>
      <c r="I691">
        <f>IF(Table1[[#This Row],[Claim_Amount]]&lt;0,0,Table1[[#This Row],[Claim_Amount]])</f>
        <v>0</v>
      </c>
      <c r="J691" t="str">
        <f>IF(Table1[[#This Row],[Column1]]=0,"",Table1[[#This Row],[Column1]])</f>
        <v/>
      </c>
      <c r="K691" t="s">
        <v>1098</v>
      </c>
      <c r="M691" s="1" t="s">
        <v>42</v>
      </c>
      <c r="N691" s="1" t="s">
        <v>26</v>
      </c>
      <c r="P691" s="1" t="s">
        <v>65</v>
      </c>
    </row>
    <row r="692" spans="1:16" ht="15.75" customHeight="1" x14ac:dyDescent="0.35">
      <c r="A692" s="1" t="s">
        <v>261</v>
      </c>
      <c r="D692" s="1" t="s">
        <v>864</v>
      </c>
      <c r="E692" s="1" t="s">
        <v>30</v>
      </c>
      <c r="F692" s="1" t="s">
        <v>23</v>
      </c>
      <c r="G692" s="1" t="s">
        <v>41</v>
      </c>
      <c r="H692" s="1">
        <v>-146</v>
      </c>
      <c r="I692" s="1">
        <f>IF(Table1[[#This Row],[Claim_Amount]]&lt;0,0,Table1[[#This Row],[Claim_Amount]])</f>
        <v>0</v>
      </c>
      <c r="J692" s="1" t="str">
        <f>IF(Table1[[#This Row],[Column1]]=0,"",Table1[[#This Row],[Column1]])</f>
        <v/>
      </c>
      <c r="K692" s="1" t="s">
        <v>1098</v>
      </c>
      <c r="L692" s="1">
        <v>1280.7</v>
      </c>
      <c r="M692" s="1" t="s">
        <v>36</v>
      </c>
      <c r="N692" s="1" t="s">
        <v>26</v>
      </c>
      <c r="P692" s="1" t="s">
        <v>65</v>
      </c>
    </row>
    <row r="693" spans="1:16" ht="15.75" customHeight="1" x14ac:dyDescent="0.35">
      <c r="A693" s="1" t="s">
        <v>13</v>
      </c>
      <c r="D693" s="1" t="s">
        <v>865</v>
      </c>
      <c r="E693" s="1" t="s">
        <v>22</v>
      </c>
      <c r="G693" s="1" t="s">
        <v>54</v>
      </c>
      <c r="H693" s="1">
        <v>2866.89</v>
      </c>
      <c r="I693" s="1">
        <f>IF(Table1[[#This Row],[Claim_Amount]]&lt;0,0,Table1[[#This Row],[Claim_Amount]])</f>
        <v>2866.89</v>
      </c>
      <c r="J693" s="1">
        <f>IF(Table1[[#This Row],[Column1]]=0,"",Table1[[#This Row],[Column1]])</f>
        <v>2866.89</v>
      </c>
      <c r="K693" s="1">
        <v>2866.89</v>
      </c>
      <c r="L693" s="1">
        <v>1666.61</v>
      </c>
      <c r="M693" s="1" t="s">
        <v>17</v>
      </c>
      <c r="N693" s="1" t="s">
        <v>57</v>
      </c>
      <c r="P693" s="1" t="s">
        <v>19</v>
      </c>
    </row>
    <row r="694" spans="1:16" ht="15.75" customHeight="1" x14ac:dyDescent="0.35">
      <c r="A694" s="1" t="s">
        <v>33</v>
      </c>
      <c r="D694" s="1" t="s">
        <v>866</v>
      </c>
      <c r="E694" s="1" t="s">
        <v>16</v>
      </c>
      <c r="F694" s="1" t="s">
        <v>93</v>
      </c>
      <c r="H694" s="1">
        <v>1321.45</v>
      </c>
      <c r="I694" s="1">
        <f>IF(Table1[[#This Row],[Claim_Amount]]&lt;0,0,Table1[[#This Row],[Claim_Amount]])</f>
        <v>1321.45</v>
      </c>
      <c r="J694" s="1">
        <f>IF(Table1[[#This Row],[Column1]]=0,"",Table1[[#This Row],[Column1]])</f>
        <v>1321.45</v>
      </c>
      <c r="K694" s="1">
        <v>1321.45</v>
      </c>
      <c r="M694" s="1" t="s">
        <v>25</v>
      </c>
      <c r="N694" s="1" t="s">
        <v>18</v>
      </c>
      <c r="P694" s="1" t="s">
        <v>27</v>
      </c>
    </row>
    <row r="695" spans="1:16" ht="15.75" customHeight="1" x14ac:dyDescent="0.35">
      <c r="A695" s="1" t="s">
        <v>110</v>
      </c>
      <c r="C695" s="1" t="s">
        <v>455</v>
      </c>
      <c r="D695" s="1" t="s">
        <v>794</v>
      </c>
      <c r="E695" s="1" t="s">
        <v>22</v>
      </c>
      <c r="F695" s="1" t="s">
        <v>53</v>
      </c>
      <c r="G695" s="1" t="s">
        <v>41</v>
      </c>
      <c r="I695">
        <f>IF(Table1[[#This Row],[Claim_Amount]]&lt;0,0,Table1[[#This Row],[Claim_Amount]])</f>
        <v>0</v>
      </c>
      <c r="J695" t="str">
        <f>IF(Table1[[#This Row],[Column1]]=0,"",Table1[[#This Row],[Column1]])</f>
        <v/>
      </c>
      <c r="K695" t="s">
        <v>1098</v>
      </c>
      <c r="L695" s="1">
        <v>2532.7399999999998</v>
      </c>
      <c r="M695" s="1" t="s">
        <v>36</v>
      </c>
      <c r="N695" s="1" t="s">
        <v>49</v>
      </c>
      <c r="O695" s="1">
        <v>58</v>
      </c>
      <c r="P695" s="1" t="s">
        <v>27</v>
      </c>
    </row>
    <row r="696" spans="1:16" ht="15.75" customHeight="1" x14ac:dyDescent="0.35">
      <c r="A696" s="1" t="s">
        <v>38</v>
      </c>
      <c r="C696" s="1" t="s">
        <v>484</v>
      </c>
      <c r="D696" s="1" t="s">
        <v>639</v>
      </c>
      <c r="E696" s="1" t="s">
        <v>92</v>
      </c>
      <c r="F696" s="1" t="s">
        <v>53</v>
      </c>
      <c r="G696" s="1" t="s">
        <v>54</v>
      </c>
      <c r="I696">
        <f>IF(Table1[[#This Row],[Claim_Amount]]&lt;0,0,Table1[[#This Row],[Claim_Amount]])</f>
        <v>0</v>
      </c>
      <c r="J696" t="str">
        <f>IF(Table1[[#This Row],[Column1]]=0,"",Table1[[#This Row],[Column1]])</f>
        <v/>
      </c>
      <c r="K696" t="s">
        <v>1098</v>
      </c>
      <c r="L696" s="1">
        <v>530.88</v>
      </c>
      <c r="M696" s="1" t="s">
        <v>25</v>
      </c>
      <c r="N696" s="1" t="s">
        <v>32</v>
      </c>
      <c r="O696" s="1">
        <v>14</v>
      </c>
    </row>
    <row r="697" spans="1:16" ht="15.75" customHeight="1" x14ac:dyDescent="0.35">
      <c r="A697" s="1" t="s">
        <v>261</v>
      </c>
      <c r="D697" s="1" t="s">
        <v>850</v>
      </c>
      <c r="E697" s="1" t="s">
        <v>92</v>
      </c>
      <c r="F697" s="1" t="s">
        <v>47</v>
      </c>
      <c r="G697" s="1" t="s">
        <v>48</v>
      </c>
      <c r="H697" s="1">
        <v>2404.23</v>
      </c>
      <c r="I697" s="1">
        <f>IF(Table1[[#This Row],[Claim_Amount]]&lt;0,0,Table1[[#This Row],[Claim_Amount]])</f>
        <v>2404.23</v>
      </c>
      <c r="J697" s="1">
        <f>IF(Table1[[#This Row],[Column1]]=0,"",Table1[[#This Row],[Column1]])</f>
        <v>2404.23</v>
      </c>
      <c r="K697" s="1">
        <v>2404.23</v>
      </c>
      <c r="M697" s="1" t="s">
        <v>42</v>
      </c>
      <c r="N697" s="1" t="s">
        <v>49</v>
      </c>
      <c r="P697" s="1" t="s">
        <v>37</v>
      </c>
    </row>
    <row r="698" spans="1:16" ht="15.75" customHeight="1" x14ac:dyDescent="0.35">
      <c r="A698" s="1" t="s">
        <v>187</v>
      </c>
      <c r="D698" s="1" t="s">
        <v>867</v>
      </c>
      <c r="E698" s="1" t="s">
        <v>22</v>
      </c>
      <c r="F698" s="1" t="s">
        <v>47</v>
      </c>
      <c r="G698" s="1" t="s">
        <v>61</v>
      </c>
      <c r="I698">
        <f>IF(Table1[[#This Row],[Claim_Amount]]&lt;0,0,Table1[[#This Row],[Claim_Amount]])</f>
        <v>0</v>
      </c>
      <c r="J698" t="str">
        <f>IF(Table1[[#This Row],[Column1]]=0,"",Table1[[#This Row],[Column1]])</f>
        <v/>
      </c>
      <c r="K698" t="s">
        <v>1098</v>
      </c>
      <c r="M698" s="1" t="s">
        <v>36</v>
      </c>
      <c r="N698" s="1" t="s">
        <v>32</v>
      </c>
      <c r="P698" s="1" t="s">
        <v>27</v>
      </c>
    </row>
    <row r="699" spans="1:16" ht="15.75" customHeight="1" x14ac:dyDescent="0.35">
      <c r="A699" s="1" t="s">
        <v>215</v>
      </c>
      <c r="C699" s="1" t="s">
        <v>193</v>
      </c>
      <c r="D699" s="1" t="s">
        <v>868</v>
      </c>
      <c r="E699" s="1" t="s">
        <v>92</v>
      </c>
      <c r="F699" s="1" t="s">
        <v>47</v>
      </c>
      <c r="G699" s="1" t="s">
        <v>48</v>
      </c>
      <c r="I699">
        <f>IF(Table1[[#This Row],[Claim_Amount]]&lt;0,0,Table1[[#This Row],[Claim_Amount]])</f>
        <v>0</v>
      </c>
      <c r="J699" t="str">
        <f>IF(Table1[[#This Row],[Column1]]=0,"",Table1[[#This Row],[Column1]])</f>
        <v/>
      </c>
      <c r="K699" t="s">
        <v>1098</v>
      </c>
      <c r="M699" s="1" t="s">
        <v>17</v>
      </c>
      <c r="N699" s="1" t="s">
        <v>49</v>
      </c>
      <c r="P699" s="1" t="s">
        <v>65</v>
      </c>
    </row>
    <row r="700" spans="1:16" ht="15.75" customHeight="1" x14ac:dyDescent="0.35">
      <c r="A700" s="1" t="s">
        <v>33</v>
      </c>
      <c r="B700" s="1" t="s">
        <v>456</v>
      </c>
      <c r="D700" s="1" t="s">
        <v>869</v>
      </c>
      <c r="E700" s="1" t="s">
        <v>92</v>
      </c>
      <c r="F700" s="1" t="s">
        <v>93</v>
      </c>
      <c r="G700" s="1" t="s">
        <v>24</v>
      </c>
      <c r="H700" s="1">
        <v>-198</v>
      </c>
      <c r="I700" s="1">
        <f>IF(Table1[[#This Row],[Claim_Amount]]&lt;0,0,Table1[[#This Row],[Claim_Amount]])</f>
        <v>0</v>
      </c>
      <c r="J700" s="1" t="str">
        <f>IF(Table1[[#This Row],[Column1]]=0,"",Table1[[#This Row],[Column1]])</f>
        <v/>
      </c>
      <c r="K700" s="1" t="s">
        <v>1098</v>
      </c>
      <c r="M700" s="1" t="s">
        <v>17</v>
      </c>
      <c r="N700" s="1" t="s">
        <v>49</v>
      </c>
      <c r="P700" s="1" t="s">
        <v>27</v>
      </c>
    </row>
    <row r="701" spans="1:16" ht="15.75" customHeight="1" x14ac:dyDescent="0.35">
      <c r="A701" s="1" t="s">
        <v>58</v>
      </c>
      <c r="C701" s="1" t="s">
        <v>150</v>
      </c>
      <c r="D701" s="1" t="s">
        <v>870</v>
      </c>
      <c r="E701" s="1" t="s">
        <v>92</v>
      </c>
      <c r="F701" s="1" t="s">
        <v>47</v>
      </c>
      <c r="G701" s="1" t="s">
        <v>54</v>
      </c>
      <c r="H701" s="1">
        <v>-67</v>
      </c>
      <c r="I701" s="1">
        <f>IF(Table1[[#This Row],[Claim_Amount]]&lt;0,0,Table1[[#This Row],[Claim_Amount]])</f>
        <v>0</v>
      </c>
      <c r="J701" s="1" t="str">
        <f>IF(Table1[[#This Row],[Column1]]=0,"",Table1[[#This Row],[Column1]])</f>
        <v/>
      </c>
      <c r="K701" s="1" t="s">
        <v>1098</v>
      </c>
      <c r="M701" s="1" t="s">
        <v>42</v>
      </c>
      <c r="N701" s="1" t="s">
        <v>49</v>
      </c>
      <c r="O701" s="1">
        <v>10</v>
      </c>
      <c r="P701" s="1" t="s">
        <v>37</v>
      </c>
    </row>
    <row r="702" spans="1:16" ht="15.75" customHeight="1" x14ac:dyDescent="0.35">
      <c r="A702" s="1" t="s">
        <v>261</v>
      </c>
      <c r="D702" s="1" t="s">
        <v>798</v>
      </c>
      <c r="E702" s="1" t="s">
        <v>77</v>
      </c>
      <c r="F702" s="1" t="s">
        <v>47</v>
      </c>
      <c r="H702" s="1">
        <v>-117</v>
      </c>
      <c r="I702" s="1">
        <f>IF(Table1[[#This Row],[Claim_Amount]]&lt;0,0,Table1[[#This Row],[Claim_Amount]])</f>
        <v>0</v>
      </c>
      <c r="J702" s="1" t="str">
        <f>IF(Table1[[#This Row],[Column1]]=0,"",Table1[[#This Row],[Column1]])</f>
        <v/>
      </c>
      <c r="K702" s="1" t="s">
        <v>1098</v>
      </c>
      <c r="L702" s="1">
        <v>984.93</v>
      </c>
      <c r="M702" s="1" t="s">
        <v>36</v>
      </c>
      <c r="N702" s="1" t="s">
        <v>18</v>
      </c>
    </row>
    <row r="703" spans="1:16" ht="15.75" customHeight="1" x14ac:dyDescent="0.35">
      <c r="A703" s="1" t="s">
        <v>163</v>
      </c>
      <c r="D703" s="1" t="s">
        <v>467</v>
      </c>
      <c r="E703" s="1" t="s">
        <v>85</v>
      </c>
      <c r="F703" s="1" t="s">
        <v>47</v>
      </c>
      <c r="I703">
        <f>IF(Table1[[#This Row],[Claim_Amount]]&lt;0,0,Table1[[#This Row],[Claim_Amount]])</f>
        <v>0</v>
      </c>
      <c r="J703" t="str">
        <f>IF(Table1[[#This Row],[Column1]]=0,"",Table1[[#This Row],[Column1]])</f>
        <v/>
      </c>
      <c r="K703" t="s">
        <v>1098</v>
      </c>
      <c r="M703" s="1" t="s">
        <v>121</v>
      </c>
      <c r="N703" s="1" t="s">
        <v>57</v>
      </c>
      <c r="O703" s="1">
        <v>32</v>
      </c>
      <c r="P703" s="1" t="s">
        <v>65</v>
      </c>
    </row>
    <row r="704" spans="1:16" ht="15.75" customHeight="1" x14ac:dyDescent="0.35">
      <c r="A704" s="1" t="s">
        <v>173</v>
      </c>
      <c r="C704" s="1" t="s">
        <v>453</v>
      </c>
      <c r="D704" s="1" t="s">
        <v>142</v>
      </c>
      <c r="E704" s="1" t="s">
        <v>85</v>
      </c>
      <c r="F704" s="1" t="s">
        <v>31</v>
      </c>
      <c r="G704" s="1" t="s">
        <v>61</v>
      </c>
      <c r="H704" s="1">
        <v>-62</v>
      </c>
      <c r="I704" s="1">
        <f>IF(Table1[[#This Row],[Claim_Amount]]&lt;0,0,Table1[[#This Row],[Claim_Amount]])</f>
        <v>0</v>
      </c>
      <c r="J704" s="1" t="str">
        <f>IF(Table1[[#This Row],[Column1]]=0,"",Table1[[#This Row],[Column1]])</f>
        <v/>
      </c>
      <c r="K704" s="1" t="s">
        <v>1098</v>
      </c>
      <c r="M704" s="1" t="s">
        <v>36</v>
      </c>
      <c r="N704" s="1" t="s">
        <v>49</v>
      </c>
      <c r="O704" s="1">
        <v>15</v>
      </c>
      <c r="P704" s="1" t="s">
        <v>37</v>
      </c>
    </row>
    <row r="705" spans="1:16" ht="15.75" customHeight="1" x14ac:dyDescent="0.35">
      <c r="A705" s="1" t="s">
        <v>163</v>
      </c>
      <c r="B705" s="1" t="s">
        <v>871</v>
      </c>
      <c r="D705" s="1" t="s">
        <v>872</v>
      </c>
      <c r="E705" s="1" t="s">
        <v>16</v>
      </c>
      <c r="F705" s="1" t="s">
        <v>23</v>
      </c>
      <c r="H705" s="1">
        <v>-183</v>
      </c>
      <c r="I705" s="1">
        <f>IF(Table1[[#This Row],[Claim_Amount]]&lt;0,0,Table1[[#This Row],[Claim_Amount]])</f>
        <v>0</v>
      </c>
      <c r="J705" s="1" t="str">
        <f>IF(Table1[[#This Row],[Column1]]=0,"",Table1[[#This Row],[Column1]])</f>
        <v/>
      </c>
      <c r="K705" s="1" t="s">
        <v>1098</v>
      </c>
      <c r="M705" s="1" t="s">
        <v>121</v>
      </c>
      <c r="N705" s="1" t="s">
        <v>26</v>
      </c>
      <c r="P705" s="1" t="s">
        <v>27</v>
      </c>
    </row>
    <row r="706" spans="1:16" ht="15.75" customHeight="1" x14ac:dyDescent="0.35">
      <c r="A706" s="1" t="s">
        <v>137</v>
      </c>
      <c r="B706" s="1" t="s">
        <v>342</v>
      </c>
      <c r="C706" s="1" t="s">
        <v>314</v>
      </c>
      <c r="D706" s="1" t="s">
        <v>693</v>
      </c>
      <c r="E706" s="1" t="s">
        <v>22</v>
      </c>
      <c r="F706" s="1" t="s">
        <v>53</v>
      </c>
      <c r="H706" s="1">
        <v>-103</v>
      </c>
      <c r="I706" s="1">
        <f>IF(Table1[[#This Row],[Claim_Amount]]&lt;0,0,Table1[[#This Row],[Claim_Amount]])</f>
        <v>0</v>
      </c>
      <c r="J706" s="1" t="str">
        <f>IF(Table1[[#This Row],[Column1]]=0,"",Table1[[#This Row],[Column1]])</f>
        <v/>
      </c>
      <c r="K706" s="1" t="s">
        <v>1098</v>
      </c>
      <c r="M706" s="1" t="s">
        <v>121</v>
      </c>
      <c r="N706" s="1" t="s">
        <v>49</v>
      </c>
      <c r="O706" s="1">
        <v>50</v>
      </c>
      <c r="P706" s="1" t="s">
        <v>19</v>
      </c>
    </row>
    <row r="707" spans="1:16" ht="15.75" customHeight="1" x14ac:dyDescent="0.35">
      <c r="A707" s="1" t="s">
        <v>50</v>
      </c>
      <c r="C707" s="1" t="s">
        <v>63</v>
      </c>
      <c r="D707" s="1" t="s">
        <v>873</v>
      </c>
      <c r="E707" s="1" t="s">
        <v>92</v>
      </c>
      <c r="F707" s="1" t="s">
        <v>93</v>
      </c>
      <c r="G707" s="1" t="s">
        <v>24</v>
      </c>
      <c r="I707">
        <f>IF(Table1[[#This Row],[Claim_Amount]]&lt;0,0,Table1[[#This Row],[Claim_Amount]])</f>
        <v>0</v>
      </c>
      <c r="J707" t="str">
        <f>IF(Table1[[#This Row],[Column1]]=0,"",Table1[[#This Row],[Column1]])</f>
        <v/>
      </c>
      <c r="K707" t="s">
        <v>1098</v>
      </c>
      <c r="M707" s="1" t="s">
        <v>25</v>
      </c>
      <c r="N707" s="1" t="s">
        <v>49</v>
      </c>
      <c r="P707" s="1" t="s">
        <v>37</v>
      </c>
    </row>
    <row r="708" spans="1:16" ht="15.75" customHeight="1" x14ac:dyDescent="0.35">
      <c r="A708" s="1" t="s">
        <v>231</v>
      </c>
      <c r="D708" s="1" t="s">
        <v>874</v>
      </c>
      <c r="E708" s="1" t="s">
        <v>35</v>
      </c>
      <c r="F708" s="1" t="s">
        <v>31</v>
      </c>
      <c r="G708" s="1" t="s">
        <v>54</v>
      </c>
      <c r="I708">
        <f>IF(Table1[[#This Row],[Claim_Amount]]&lt;0,0,Table1[[#This Row],[Claim_Amount]])</f>
        <v>0</v>
      </c>
      <c r="J708" t="str">
        <f>IF(Table1[[#This Row],[Column1]]=0,"",Table1[[#This Row],[Column1]])</f>
        <v/>
      </c>
      <c r="K708" t="s">
        <v>1098</v>
      </c>
      <c r="M708" s="1" t="s">
        <v>25</v>
      </c>
      <c r="N708" s="1" t="s">
        <v>18</v>
      </c>
    </row>
    <row r="709" spans="1:16" ht="15.75" customHeight="1" x14ac:dyDescent="0.35">
      <c r="A709" s="1" t="s">
        <v>242</v>
      </c>
      <c r="C709" s="1" t="s">
        <v>414</v>
      </c>
      <c r="D709" s="1" t="s">
        <v>875</v>
      </c>
      <c r="E709" s="1" t="s">
        <v>35</v>
      </c>
      <c r="F709" s="1" t="s">
        <v>53</v>
      </c>
      <c r="I709">
        <f>IF(Table1[[#This Row],[Claim_Amount]]&lt;0,0,Table1[[#This Row],[Claim_Amount]])</f>
        <v>0</v>
      </c>
      <c r="J709" t="str">
        <f>IF(Table1[[#This Row],[Column1]]=0,"",Table1[[#This Row],[Column1]])</f>
        <v/>
      </c>
      <c r="K709" t="s">
        <v>1098</v>
      </c>
      <c r="M709" s="1" t="s">
        <v>121</v>
      </c>
      <c r="N709" s="1" t="s">
        <v>32</v>
      </c>
      <c r="O709" s="1">
        <v>40</v>
      </c>
      <c r="P709" s="1" t="s">
        <v>19</v>
      </c>
    </row>
    <row r="710" spans="1:16" ht="15.75" customHeight="1" x14ac:dyDescent="0.35">
      <c r="A710" s="1" t="s">
        <v>187</v>
      </c>
      <c r="C710" s="1" t="s">
        <v>119</v>
      </c>
      <c r="D710" s="1" t="s">
        <v>876</v>
      </c>
      <c r="E710" s="1" t="s">
        <v>22</v>
      </c>
      <c r="F710" s="1" t="s">
        <v>47</v>
      </c>
      <c r="G710" s="1" t="s">
        <v>48</v>
      </c>
      <c r="I710">
        <f>IF(Table1[[#This Row],[Claim_Amount]]&lt;0,0,Table1[[#This Row],[Claim_Amount]])</f>
        <v>0</v>
      </c>
      <c r="J710" t="str">
        <f>IF(Table1[[#This Row],[Column1]]=0,"",Table1[[#This Row],[Column1]])</f>
        <v/>
      </c>
      <c r="K710" t="s">
        <v>1098</v>
      </c>
      <c r="M710" s="1" t="s">
        <v>36</v>
      </c>
      <c r="N710" s="1" t="s">
        <v>32</v>
      </c>
      <c r="P710" s="1" t="s">
        <v>37</v>
      </c>
    </row>
    <row r="711" spans="1:16" ht="15.75" customHeight="1" x14ac:dyDescent="0.35">
      <c r="A711" s="1" t="s">
        <v>117</v>
      </c>
      <c r="B711" s="1" t="s">
        <v>799</v>
      </c>
      <c r="D711" s="1" t="s">
        <v>877</v>
      </c>
      <c r="E711" s="1" t="s">
        <v>35</v>
      </c>
      <c r="F711" s="1" t="s">
        <v>23</v>
      </c>
      <c r="G711" s="1" t="s">
        <v>41</v>
      </c>
      <c r="I711">
        <f>IF(Table1[[#This Row],[Claim_Amount]]&lt;0,0,Table1[[#This Row],[Claim_Amount]])</f>
        <v>0</v>
      </c>
      <c r="J711" t="str">
        <f>IF(Table1[[#This Row],[Column1]]=0,"",Table1[[#This Row],[Column1]])</f>
        <v/>
      </c>
      <c r="K711" t="s">
        <v>1098</v>
      </c>
      <c r="M711" s="1" t="s">
        <v>25</v>
      </c>
      <c r="N711" s="1" t="s">
        <v>18</v>
      </c>
      <c r="P711" s="1" t="s">
        <v>37</v>
      </c>
    </row>
    <row r="712" spans="1:16" ht="15.75" customHeight="1" x14ac:dyDescent="0.35">
      <c r="A712" s="1" t="s">
        <v>209</v>
      </c>
      <c r="B712" s="1" t="s">
        <v>878</v>
      </c>
      <c r="C712" s="1" t="s">
        <v>133</v>
      </c>
      <c r="D712" s="1" t="s">
        <v>637</v>
      </c>
      <c r="E712" s="1" t="s">
        <v>77</v>
      </c>
      <c r="G712" s="1" t="s">
        <v>61</v>
      </c>
      <c r="H712" s="1">
        <v>4762.54</v>
      </c>
      <c r="I712" s="1">
        <f>IF(Table1[[#This Row],[Claim_Amount]]&lt;0,0,Table1[[#This Row],[Claim_Amount]])</f>
        <v>4762.54</v>
      </c>
      <c r="J712" s="1">
        <f>IF(Table1[[#This Row],[Column1]]=0,"",Table1[[#This Row],[Column1]])</f>
        <v>4762.54</v>
      </c>
      <c r="K712" s="1">
        <v>4762.54</v>
      </c>
      <c r="M712" s="1" t="s">
        <v>36</v>
      </c>
      <c r="N712" s="1" t="s">
        <v>26</v>
      </c>
      <c r="O712" s="1">
        <v>51</v>
      </c>
      <c r="P712" s="1" t="s">
        <v>37</v>
      </c>
    </row>
    <row r="713" spans="1:16" ht="15.75" customHeight="1" x14ac:dyDescent="0.35">
      <c r="A713" s="1" t="s">
        <v>209</v>
      </c>
      <c r="B713" s="1" t="s">
        <v>879</v>
      </c>
      <c r="D713" s="1" t="s">
        <v>880</v>
      </c>
      <c r="E713" s="1" t="s">
        <v>85</v>
      </c>
      <c r="I713">
        <f>IF(Table1[[#This Row],[Claim_Amount]]&lt;0,0,Table1[[#This Row],[Claim_Amount]])</f>
        <v>0</v>
      </c>
      <c r="J713" t="str">
        <f>IF(Table1[[#This Row],[Column1]]=0,"",Table1[[#This Row],[Column1]])</f>
        <v/>
      </c>
      <c r="K713" t="s">
        <v>1098</v>
      </c>
      <c r="L713" s="1">
        <v>2782.28</v>
      </c>
      <c r="M713" s="1" t="s">
        <v>17</v>
      </c>
      <c r="N713" s="1" t="s">
        <v>26</v>
      </c>
      <c r="O713" s="1">
        <v>57</v>
      </c>
    </row>
    <row r="714" spans="1:16" ht="15.75" customHeight="1" x14ac:dyDescent="0.35">
      <c r="A714" s="1" t="s">
        <v>192</v>
      </c>
      <c r="B714" s="1" t="s">
        <v>125</v>
      </c>
      <c r="C714" s="1" t="s">
        <v>644</v>
      </c>
      <c r="D714" s="1" t="s">
        <v>624</v>
      </c>
      <c r="E714" s="1" t="s">
        <v>16</v>
      </c>
      <c r="F714" s="1" t="s">
        <v>47</v>
      </c>
      <c r="G714" s="1" t="s">
        <v>61</v>
      </c>
      <c r="H714" s="1">
        <v>1628.35</v>
      </c>
      <c r="I714" s="1">
        <f>IF(Table1[[#This Row],[Claim_Amount]]&lt;0,0,Table1[[#This Row],[Claim_Amount]])</f>
        <v>1628.35</v>
      </c>
      <c r="J714" s="1">
        <f>IF(Table1[[#This Row],[Column1]]=0,"",Table1[[#This Row],[Column1]])</f>
        <v>1628.35</v>
      </c>
      <c r="K714" s="1">
        <v>1628.35</v>
      </c>
      <c r="L714" s="1">
        <v>1022.31</v>
      </c>
      <c r="M714" s="1" t="s">
        <v>121</v>
      </c>
      <c r="N714" s="1" t="s">
        <v>26</v>
      </c>
      <c r="O714" s="1">
        <v>30</v>
      </c>
      <c r="P714" s="1" t="s">
        <v>19</v>
      </c>
    </row>
    <row r="715" spans="1:16" ht="15.75" customHeight="1" x14ac:dyDescent="0.35">
      <c r="A715" s="1" t="s">
        <v>73</v>
      </c>
      <c r="B715" s="1" t="s">
        <v>881</v>
      </c>
      <c r="D715" s="1" t="s">
        <v>732</v>
      </c>
      <c r="E715" s="1" t="s">
        <v>77</v>
      </c>
      <c r="F715" s="1" t="s">
        <v>23</v>
      </c>
      <c r="I715">
        <f>IF(Table1[[#This Row],[Claim_Amount]]&lt;0,0,Table1[[#This Row],[Claim_Amount]])</f>
        <v>0</v>
      </c>
      <c r="J715" t="str">
        <f>IF(Table1[[#This Row],[Column1]]=0,"",Table1[[#This Row],[Column1]])</f>
        <v/>
      </c>
      <c r="K715" t="s">
        <v>1098</v>
      </c>
      <c r="M715" s="1" t="s">
        <v>36</v>
      </c>
      <c r="N715" s="1" t="s">
        <v>49</v>
      </c>
      <c r="P715" s="1" t="s">
        <v>37</v>
      </c>
    </row>
    <row r="716" spans="1:16" ht="15.75" customHeight="1" x14ac:dyDescent="0.35">
      <c r="A716" s="1" t="s">
        <v>154</v>
      </c>
      <c r="C716" s="1" t="s">
        <v>150</v>
      </c>
      <c r="D716" s="1" t="s">
        <v>563</v>
      </c>
      <c r="E716" s="1" t="s">
        <v>92</v>
      </c>
      <c r="G716" s="1" t="s">
        <v>41</v>
      </c>
      <c r="I716">
        <f>IF(Table1[[#This Row],[Claim_Amount]]&lt;0,0,Table1[[#This Row],[Claim_Amount]])</f>
        <v>0</v>
      </c>
      <c r="J716" t="str">
        <f>IF(Table1[[#This Row],[Column1]]=0,"",Table1[[#This Row],[Column1]])</f>
        <v/>
      </c>
      <c r="K716" t="s">
        <v>1098</v>
      </c>
      <c r="M716" s="1" t="s">
        <v>36</v>
      </c>
      <c r="N716" s="1" t="s">
        <v>57</v>
      </c>
      <c r="P716" s="1" t="s">
        <v>37</v>
      </c>
    </row>
    <row r="717" spans="1:16" ht="15.75" customHeight="1" x14ac:dyDescent="0.35">
      <c r="A717" s="1" t="s">
        <v>55</v>
      </c>
      <c r="B717" s="1" t="s">
        <v>882</v>
      </c>
      <c r="C717" s="1" t="s">
        <v>486</v>
      </c>
      <c r="D717" s="1" t="s">
        <v>883</v>
      </c>
      <c r="E717" s="1" t="s">
        <v>85</v>
      </c>
      <c r="F717" s="1" t="s">
        <v>93</v>
      </c>
      <c r="G717" s="1" t="s">
        <v>61</v>
      </c>
      <c r="I717">
        <f>IF(Table1[[#This Row],[Claim_Amount]]&lt;0,0,Table1[[#This Row],[Claim_Amount]])</f>
        <v>0</v>
      </c>
      <c r="J717" t="str">
        <f>IF(Table1[[#This Row],[Column1]]=0,"",Table1[[#This Row],[Column1]])</f>
        <v/>
      </c>
      <c r="K717" t="s">
        <v>1098</v>
      </c>
      <c r="M717" s="1" t="s">
        <v>42</v>
      </c>
      <c r="N717" s="1" t="s">
        <v>57</v>
      </c>
      <c r="O717" s="1">
        <v>52</v>
      </c>
      <c r="P717" s="1" t="s">
        <v>65</v>
      </c>
    </row>
    <row r="718" spans="1:16" ht="15.75" customHeight="1" x14ac:dyDescent="0.35">
      <c r="A718" s="1" t="s">
        <v>202</v>
      </c>
      <c r="B718" s="1" t="s">
        <v>884</v>
      </c>
      <c r="D718" s="1" t="s">
        <v>294</v>
      </c>
      <c r="E718" s="1" t="s">
        <v>77</v>
      </c>
      <c r="F718" s="1" t="s">
        <v>23</v>
      </c>
      <c r="I718">
        <f>IF(Table1[[#This Row],[Claim_Amount]]&lt;0,0,Table1[[#This Row],[Claim_Amount]])</f>
        <v>0</v>
      </c>
      <c r="J718" t="str">
        <f>IF(Table1[[#This Row],[Column1]]=0,"",Table1[[#This Row],[Column1]])</f>
        <v/>
      </c>
      <c r="K718" t="s">
        <v>1098</v>
      </c>
      <c r="L718" s="1">
        <v>2876.49</v>
      </c>
      <c r="M718" s="1" t="s">
        <v>42</v>
      </c>
      <c r="N718" s="1" t="s">
        <v>18</v>
      </c>
      <c r="P718" s="1" t="s">
        <v>65</v>
      </c>
    </row>
    <row r="719" spans="1:16" ht="15.75" customHeight="1" x14ac:dyDescent="0.35">
      <c r="A719" s="1" t="s">
        <v>132</v>
      </c>
      <c r="D719" s="1" t="s">
        <v>885</v>
      </c>
      <c r="E719" s="1" t="s">
        <v>22</v>
      </c>
      <c r="F719" s="1" t="s">
        <v>53</v>
      </c>
      <c r="H719" s="1">
        <v>-77</v>
      </c>
      <c r="I719" s="1">
        <f>IF(Table1[[#This Row],[Claim_Amount]]&lt;0,0,Table1[[#This Row],[Claim_Amount]])</f>
        <v>0</v>
      </c>
      <c r="J719" s="1" t="str">
        <f>IF(Table1[[#This Row],[Column1]]=0,"",Table1[[#This Row],[Column1]])</f>
        <v/>
      </c>
      <c r="K719" s="1" t="s">
        <v>1098</v>
      </c>
      <c r="M719" s="1" t="s">
        <v>42</v>
      </c>
      <c r="N719" s="1" t="s">
        <v>18</v>
      </c>
      <c r="P719" s="1" t="s">
        <v>27</v>
      </c>
    </row>
    <row r="720" spans="1:16" ht="15.75" customHeight="1" x14ac:dyDescent="0.35">
      <c r="A720" s="1" t="s">
        <v>148</v>
      </c>
      <c r="D720" s="1" t="s">
        <v>651</v>
      </c>
      <c r="E720" s="1" t="s">
        <v>22</v>
      </c>
      <c r="F720" s="1" t="s">
        <v>53</v>
      </c>
      <c r="G720" s="1" t="s">
        <v>61</v>
      </c>
      <c r="I720">
        <f>IF(Table1[[#This Row],[Claim_Amount]]&lt;0,0,Table1[[#This Row],[Claim_Amount]])</f>
        <v>0</v>
      </c>
      <c r="J720" t="str">
        <f>IF(Table1[[#This Row],[Column1]]=0,"",Table1[[#This Row],[Column1]])</f>
        <v/>
      </c>
      <c r="K720" t="s">
        <v>1098</v>
      </c>
      <c r="M720" s="1" t="s">
        <v>25</v>
      </c>
      <c r="N720" s="1" t="s">
        <v>18</v>
      </c>
      <c r="P720" s="1" t="s">
        <v>27</v>
      </c>
    </row>
    <row r="721" spans="1:16" ht="15.75" customHeight="1" x14ac:dyDescent="0.35">
      <c r="A721" s="1" t="s">
        <v>261</v>
      </c>
      <c r="B721" s="1" t="s">
        <v>886</v>
      </c>
      <c r="D721" s="1" t="s">
        <v>887</v>
      </c>
      <c r="E721" s="1" t="s">
        <v>35</v>
      </c>
      <c r="F721" s="1" t="s">
        <v>93</v>
      </c>
      <c r="G721" s="1" t="s">
        <v>24</v>
      </c>
      <c r="I721">
        <f>IF(Table1[[#This Row],[Claim_Amount]]&lt;0,0,Table1[[#This Row],[Claim_Amount]])</f>
        <v>0</v>
      </c>
      <c r="J721" t="str">
        <f>IF(Table1[[#This Row],[Column1]]=0,"",Table1[[#This Row],[Column1]])</f>
        <v/>
      </c>
      <c r="K721" t="s">
        <v>1098</v>
      </c>
      <c r="L721" s="1">
        <v>578.83000000000004</v>
      </c>
      <c r="M721" s="1" t="s">
        <v>17</v>
      </c>
      <c r="N721" s="1" t="s">
        <v>32</v>
      </c>
    </row>
    <row r="722" spans="1:16" ht="15.75" customHeight="1" x14ac:dyDescent="0.35">
      <c r="A722" s="1" t="s">
        <v>285</v>
      </c>
      <c r="D722" s="1" t="s">
        <v>113</v>
      </c>
      <c r="E722" s="1" t="s">
        <v>77</v>
      </c>
      <c r="F722" s="1" t="s">
        <v>23</v>
      </c>
      <c r="G722" s="1" t="s">
        <v>61</v>
      </c>
      <c r="I722">
        <f>IF(Table1[[#This Row],[Claim_Amount]]&lt;0,0,Table1[[#This Row],[Claim_Amount]])</f>
        <v>0</v>
      </c>
      <c r="J722" t="str">
        <f>IF(Table1[[#This Row],[Column1]]=0,"",Table1[[#This Row],[Column1]])</f>
        <v/>
      </c>
      <c r="K722" t="s">
        <v>1098</v>
      </c>
      <c r="M722" s="1" t="s">
        <v>42</v>
      </c>
      <c r="N722" s="1" t="s">
        <v>26</v>
      </c>
      <c r="O722" s="1">
        <v>30</v>
      </c>
      <c r="P722" s="1" t="s">
        <v>19</v>
      </c>
    </row>
    <row r="723" spans="1:16" ht="15.75" customHeight="1" x14ac:dyDescent="0.35">
      <c r="A723" s="1" t="s">
        <v>58</v>
      </c>
      <c r="C723" s="1" t="s">
        <v>305</v>
      </c>
      <c r="D723" s="1" t="s">
        <v>734</v>
      </c>
      <c r="E723" s="1" t="s">
        <v>85</v>
      </c>
      <c r="F723" s="1" t="s">
        <v>47</v>
      </c>
      <c r="G723" s="1" t="s">
        <v>61</v>
      </c>
      <c r="I723">
        <f>IF(Table1[[#This Row],[Claim_Amount]]&lt;0,0,Table1[[#This Row],[Claim_Amount]])</f>
        <v>0</v>
      </c>
      <c r="J723" t="str">
        <f>IF(Table1[[#This Row],[Column1]]=0,"",Table1[[#This Row],[Column1]])</f>
        <v/>
      </c>
      <c r="K723" t="s">
        <v>1098</v>
      </c>
      <c r="M723" s="1" t="s">
        <v>25</v>
      </c>
      <c r="N723" s="1" t="s">
        <v>18</v>
      </c>
      <c r="O723" s="1">
        <v>49</v>
      </c>
      <c r="P723" s="1" t="s">
        <v>27</v>
      </c>
    </row>
    <row r="724" spans="1:16" ht="15.75" customHeight="1" x14ac:dyDescent="0.35">
      <c r="A724" s="1" t="s">
        <v>242</v>
      </c>
      <c r="C724" s="1" t="s">
        <v>133</v>
      </c>
      <c r="D724" s="1" t="s">
        <v>888</v>
      </c>
      <c r="E724" s="1" t="s">
        <v>77</v>
      </c>
      <c r="F724" s="1" t="s">
        <v>31</v>
      </c>
      <c r="G724" s="1" t="s">
        <v>41</v>
      </c>
      <c r="I724">
        <f>IF(Table1[[#This Row],[Claim_Amount]]&lt;0,0,Table1[[#This Row],[Claim_Amount]])</f>
        <v>0</v>
      </c>
      <c r="J724" t="str">
        <f>IF(Table1[[#This Row],[Column1]]=0,"",Table1[[#This Row],[Column1]])</f>
        <v/>
      </c>
      <c r="K724" t="s">
        <v>1098</v>
      </c>
      <c r="M724" s="1" t="s">
        <v>25</v>
      </c>
      <c r="N724" s="1" t="s">
        <v>18</v>
      </c>
      <c r="P724" s="1" t="s">
        <v>37</v>
      </c>
    </row>
    <row r="725" spans="1:16" ht="15.75" customHeight="1" x14ac:dyDescent="0.35">
      <c r="A725" s="1" t="s">
        <v>62</v>
      </c>
      <c r="C725" s="1" t="s">
        <v>416</v>
      </c>
      <c r="D725" s="1" t="s">
        <v>357</v>
      </c>
      <c r="E725" s="1" t="s">
        <v>77</v>
      </c>
      <c r="F725" s="1" t="s">
        <v>23</v>
      </c>
      <c r="G725" s="1" t="s">
        <v>54</v>
      </c>
      <c r="H725" s="1">
        <v>-93</v>
      </c>
      <c r="I725" s="1">
        <f>IF(Table1[[#This Row],[Claim_Amount]]&lt;0,0,Table1[[#This Row],[Claim_Amount]])</f>
        <v>0</v>
      </c>
      <c r="J725" s="1" t="str">
        <f>IF(Table1[[#This Row],[Column1]]=0,"",Table1[[#This Row],[Column1]])</f>
        <v/>
      </c>
      <c r="K725" s="1" t="s">
        <v>1098</v>
      </c>
      <c r="M725" s="1" t="s">
        <v>25</v>
      </c>
      <c r="N725" s="1" t="s">
        <v>26</v>
      </c>
      <c r="O725" s="1">
        <v>36</v>
      </c>
    </row>
    <row r="726" spans="1:16" ht="15.75" customHeight="1" x14ac:dyDescent="0.35">
      <c r="A726" s="1" t="s">
        <v>202</v>
      </c>
      <c r="C726" s="1" t="s">
        <v>491</v>
      </c>
      <c r="D726" s="1" t="s">
        <v>862</v>
      </c>
      <c r="E726" s="1" t="s">
        <v>85</v>
      </c>
      <c r="F726" s="1" t="s">
        <v>23</v>
      </c>
      <c r="H726" s="1">
        <v>-80</v>
      </c>
      <c r="I726" s="1">
        <f>IF(Table1[[#This Row],[Claim_Amount]]&lt;0,0,Table1[[#This Row],[Claim_Amount]])</f>
        <v>0</v>
      </c>
      <c r="J726" s="1" t="str">
        <f>IF(Table1[[#This Row],[Column1]]=0,"",Table1[[#This Row],[Column1]])</f>
        <v/>
      </c>
      <c r="K726" s="1" t="s">
        <v>1098</v>
      </c>
      <c r="M726" s="1" t="s">
        <v>17</v>
      </c>
      <c r="N726" s="1" t="s">
        <v>32</v>
      </c>
      <c r="O726" s="1">
        <v>4</v>
      </c>
    </row>
    <row r="727" spans="1:16" ht="15.75" customHeight="1" x14ac:dyDescent="0.35">
      <c r="A727" s="1" t="s">
        <v>114</v>
      </c>
      <c r="D727" s="1" t="s">
        <v>889</v>
      </c>
      <c r="E727" s="1" t="s">
        <v>16</v>
      </c>
      <c r="F727" s="1" t="s">
        <v>47</v>
      </c>
      <c r="G727" s="1" t="s">
        <v>48</v>
      </c>
      <c r="I727">
        <f>IF(Table1[[#This Row],[Claim_Amount]]&lt;0,0,Table1[[#This Row],[Claim_Amount]])</f>
        <v>0</v>
      </c>
      <c r="J727" t="str">
        <f>IF(Table1[[#This Row],[Column1]]=0,"",Table1[[#This Row],[Column1]])</f>
        <v/>
      </c>
      <c r="K727" t="s">
        <v>1098</v>
      </c>
      <c r="M727" s="1" t="s">
        <v>17</v>
      </c>
      <c r="N727" s="1" t="s">
        <v>57</v>
      </c>
    </row>
    <row r="728" spans="1:16" ht="15.75" customHeight="1" x14ac:dyDescent="0.35">
      <c r="A728" s="1" t="s">
        <v>173</v>
      </c>
      <c r="D728" s="1" t="s">
        <v>890</v>
      </c>
      <c r="E728" s="1" t="s">
        <v>85</v>
      </c>
      <c r="F728" s="1" t="s">
        <v>31</v>
      </c>
      <c r="G728" s="1" t="s">
        <v>24</v>
      </c>
      <c r="H728" s="1">
        <v>549.44000000000005</v>
      </c>
      <c r="I728" s="1">
        <f>IF(Table1[[#This Row],[Claim_Amount]]&lt;0,0,Table1[[#This Row],[Claim_Amount]])</f>
        <v>549.44000000000005</v>
      </c>
      <c r="J728" s="1">
        <f>IF(Table1[[#This Row],[Column1]]=0,"",Table1[[#This Row],[Column1]])</f>
        <v>549.44000000000005</v>
      </c>
      <c r="K728" s="1">
        <v>549.44000000000005</v>
      </c>
      <c r="M728" s="1" t="s">
        <v>42</v>
      </c>
      <c r="N728" s="1" t="s">
        <v>26</v>
      </c>
      <c r="P728" s="1" t="s">
        <v>65</v>
      </c>
    </row>
    <row r="729" spans="1:16" ht="15.75" customHeight="1" x14ac:dyDescent="0.35">
      <c r="A729" s="1" t="s">
        <v>249</v>
      </c>
      <c r="B729" s="1" t="s">
        <v>654</v>
      </c>
      <c r="C729" s="1" t="s">
        <v>94</v>
      </c>
      <c r="D729" s="1" t="s">
        <v>891</v>
      </c>
      <c r="E729" s="1" t="s">
        <v>22</v>
      </c>
      <c r="F729" s="1" t="s">
        <v>31</v>
      </c>
      <c r="G729" s="1" t="s">
        <v>61</v>
      </c>
      <c r="H729" s="1">
        <v>729.7</v>
      </c>
      <c r="I729" s="1">
        <f>IF(Table1[[#This Row],[Claim_Amount]]&lt;0,0,Table1[[#This Row],[Claim_Amount]])</f>
        <v>729.7</v>
      </c>
      <c r="J729" s="1">
        <f>IF(Table1[[#This Row],[Column1]]=0,"",Table1[[#This Row],[Column1]])</f>
        <v>729.7</v>
      </c>
      <c r="K729" s="1">
        <v>729.7</v>
      </c>
      <c r="M729" s="1" t="s">
        <v>25</v>
      </c>
      <c r="N729" s="1" t="s">
        <v>49</v>
      </c>
      <c r="P729" s="1" t="s">
        <v>65</v>
      </c>
    </row>
    <row r="730" spans="1:16" ht="15.75" customHeight="1" x14ac:dyDescent="0.35">
      <c r="A730" s="1" t="s">
        <v>33</v>
      </c>
      <c r="D730" s="1" t="s">
        <v>856</v>
      </c>
      <c r="E730" s="1" t="s">
        <v>22</v>
      </c>
      <c r="F730" s="1" t="s">
        <v>23</v>
      </c>
      <c r="G730" s="1" t="s">
        <v>61</v>
      </c>
      <c r="H730" s="1">
        <v>4847.76</v>
      </c>
      <c r="I730" s="1">
        <f>IF(Table1[[#This Row],[Claim_Amount]]&lt;0,0,Table1[[#This Row],[Claim_Amount]])</f>
        <v>4847.76</v>
      </c>
      <c r="J730" s="1">
        <f>IF(Table1[[#This Row],[Column1]]=0,"",Table1[[#This Row],[Column1]])</f>
        <v>4847.76</v>
      </c>
      <c r="K730" s="1">
        <v>4847.76</v>
      </c>
      <c r="L730" s="1">
        <v>856.27</v>
      </c>
      <c r="M730" s="1" t="s">
        <v>25</v>
      </c>
      <c r="N730" s="1" t="s">
        <v>49</v>
      </c>
      <c r="P730" s="1" t="s">
        <v>27</v>
      </c>
    </row>
    <row r="731" spans="1:16" ht="15.75" customHeight="1" x14ac:dyDescent="0.35">
      <c r="A731" s="1" t="s">
        <v>148</v>
      </c>
      <c r="C731" s="1" t="s">
        <v>395</v>
      </c>
      <c r="D731" s="1" t="s">
        <v>216</v>
      </c>
      <c r="E731" s="1" t="s">
        <v>92</v>
      </c>
      <c r="F731" s="1" t="s">
        <v>47</v>
      </c>
      <c r="G731" s="1" t="s">
        <v>61</v>
      </c>
      <c r="H731" s="1">
        <v>4727.24</v>
      </c>
      <c r="I731" s="1">
        <f>IF(Table1[[#This Row],[Claim_Amount]]&lt;0,0,Table1[[#This Row],[Claim_Amount]])</f>
        <v>4727.24</v>
      </c>
      <c r="J731" s="1">
        <f>IF(Table1[[#This Row],[Column1]]=0,"",Table1[[#This Row],[Column1]])</f>
        <v>4727.24</v>
      </c>
      <c r="K731" s="1">
        <v>4727.24</v>
      </c>
      <c r="M731" s="1" t="s">
        <v>121</v>
      </c>
      <c r="N731" s="1" t="s">
        <v>26</v>
      </c>
      <c r="P731" s="1" t="s">
        <v>27</v>
      </c>
    </row>
    <row r="732" spans="1:16" ht="15.75" customHeight="1" x14ac:dyDescent="0.35">
      <c r="A732" s="1" t="s">
        <v>430</v>
      </c>
      <c r="C732" s="1" t="s">
        <v>94</v>
      </c>
      <c r="D732" s="1" t="s">
        <v>385</v>
      </c>
      <c r="E732" s="1" t="s">
        <v>22</v>
      </c>
      <c r="F732" s="1" t="s">
        <v>53</v>
      </c>
      <c r="G732" s="1" t="s">
        <v>48</v>
      </c>
      <c r="I732">
        <f>IF(Table1[[#This Row],[Claim_Amount]]&lt;0,0,Table1[[#This Row],[Claim_Amount]])</f>
        <v>0</v>
      </c>
      <c r="J732" t="str">
        <f>IF(Table1[[#This Row],[Column1]]=0,"",Table1[[#This Row],[Column1]])</f>
        <v/>
      </c>
      <c r="K732" t="s">
        <v>1098</v>
      </c>
      <c r="L732" s="1">
        <v>274.58</v>
      </c>
      <c r="M732" s="1" t="s">
        <v>17</v>
      </c>
      <c r="N732" s="1" t="s">
        <v>57</v>
      </c>
      <c r="O732" s="1">
        <v>0</v>
      </c>
    </row>
    <row r="733" spans="1:16" ht="15.75" customHeight="1" x14ac:dyDescent="0.35">
      <c r="A733" s="1" t="s">
        <v>50</v>
      </c>
      <c r="C733" s="1" t="s">
        <v>458</v>
      </c>
      <c r="D733" s="1" t="s">
        <v>892</v>
      </c>
      <c r="E733" s="1" t="s">
        <v>35</v>
      </c>
      <c r="F733" s="1" t="s">
        <v>31</v>
      </c>
      <c r="G733" s="1" t="s">
        <v>41</v>
      </c>
      <c r="H733" s="1">
        <v>-50</v>
      </c>
      <c r="I733" s="1">
        <f>IF(Table1[[#This Row],[Claim_Amount]]&lt;0,0,Table1[[#This Row],[Claim_Amount]])</f>
        <v>0</v>
      </c>
      <c r="J733" s="1" t="str">
        <f>IF(Table1[[#This Row],[Column1]]=0,"",Table1[[#This Row],[Column1]])</f>
        <v/>
      </c>
      <c r="K733" s="1" t="s">
        <v>1098</v>
      </c>
      <c r="M733" s="1" t="s">
        <v>17</v>
      </c>
      <c r="N733" s="1" t="s">
        <v>18</v>
      </c>
      <c r="O733" s="1">
        <v>23</v>
      </c>
      <c r="P733" s="1" t="s">
        <v>65</v>
      </c>
    </row>
    <row r="734" spans="1:16" ht="15.75" customHeight="1" x14ac:dyDescent="0.35">
      <c r="A734" s="1" t="s">
        <v>105</v>
      </c>
      <c r="B734" s="1" t="s">
        <v>893</v>
      </c>
      <c r="D734" s="1" t="s">
        <v>153</v>
      </c>
      <c r="E734" s="1" t="s">
        <v>92</v>
      </c>
      <c r="F734" s="1" t="s">
        <v>23</v>
      </c>
      <c r="G734" s="1" t="s">
        <v>61</v>
      </c>
      <c r="H734" s="1">
        <v>1691.33</v>
      </c>
      <c r="I734" s="1">
        <f>IF(Table1[[#This Row],[Claim_Amount]]&lt;0,0,Table1[[#This Row],[Claim_Amount]])</f>
        <v>1691.33</v>
      </c>
      <c r="J734" s="1">
        <f>IF(Table1[[#This Row],[Column1]]=0,"",Table1[[#This Row],[Column1]])</f>
        <v>1691.33</v>
      </c>
      <c r="K734" s="1">
        <v>1691.33</v>
      </c>
      <c r="L734" s="1">
        <v>3688.01</v>
      </c>
      <c r="M734" s="1" t="s">
        <v>121</v>
      </c>
      <c r="N734" s="1" t="s">
        <v>26</v>
      </c>
    </row>
    <row r="735" spans="1:16" ht="15.75" customHeight="1" x14ac:dyDescent="0.35">
      <c r="A735" s="1" t="s">
        <v>168</v>
      </c>
      <c r="B735" s="1" t="s">
        <v>894</v>
      </c>
      <c r="C735" s="1" t="s">
        <v>491</v>
      </c>
      <c r="D735" s="1" t="s">
        <v>895</v>
      </c>
      <c r="E735" s="1" t="s">
        <v>77</v>
      </c>
      <c r="F735" s="1" t="s">
        <v>23</v>
      </c>
      <c r="G735" s="1" t="s">
        <v>61</v>
      </c>
      <c r="H735" s="1">
        <v>-128</v>
      </c>
      <c r="I735" s="1">
        <f>IF(Table1[[#This Row],[Claim_Amount]]&lt;0,0,Table1[[#This Row],[Claim_Amount]])</f>
        <v>0</v>
      </c>
      <c r="J735" s="1" t="str">
        <f>IF(Table1[[#This Row],[Column1]]=0,"",Table1[[#This Row],[Column1]])</f>
        <v/>
      </c>
      <c r="K735" s="1" t="s">
        <v>1098</v>
      </c>
      <c r="M735" s="1" t="s">
        <v>121</v>
      </c>
      <c r="N735" s="1" t="s">
        <v>18</v>
      </c>
      <c r="P735" s="1" t="s">
        <v>19</v>
      </c>
    </row>
    <row r="736" spans="1:16" ht="15.75" customHeight="1" x14ac:dyDescent="0.35">
      <c r="A736" s="1" t="s">
        <v>192</v>
      </c>
      <c r="C736" s="1" t="s">
        <v>177</v>
      </c>
      <c r="D736" s="1" t="s">
        <v>639</v>
      </c>
      <c r="E736" s="1" t="s">
        <v>30</v>
      </c>
      <c r="I736">
        <f>IF(Table1[[#This Row],[Claim_Amount]]&lt;0,0,Table1[[#This Row],[Claim_Amount]])</f>
        <v>0</v>
      </c>
      <c r="J736" t="str">
        <f>IF(Table1[[#This Row],[Column1]]=0,"",Table1[[#This Row],[Column1]])</f>
        <v/>
      </c>
      <c r="K736" t="s">
        <v>1098</v>
      </c>
      <c r="M736" s="1" t="s">
        <v>17</v>
      </c>
      <c r="N736" s="1" t="s">
        <v>18</v>
      </c>
      <c r="P736" s="1" t="s">
        <v>19</v>
      </c>
    </row>
    <row r="737" spans="1:16" ht="15.75" customHeight="1" x14ac:dyDescent="0.35">
      <c r="A737" s="1" t="s">
        <v>148</v>
      </c>
      <c r="D737" s="1" t="s">
        <v>477</v>
      </c>
      <c r="E737" s="1" t="s">
        <v>92</v>
      </c>
      <c r="F737" s="1" t="s">
        <v>93</v>
      </c>
      <c r="H737" s="1">
        <v>-94</v>
      </c>
      <c r="I737" s="1">
        <f>IF(Table1[[#This Row],[Claim_Amount]]&lt;0,0,Table1[[#This Row],[Claim_Amount]])</f>
        <v>0</v>
      </c>
      <c r="J737" s="1" t="str">
        <f>IF(Table1[[#This Row],[Column1]]=0,"",Table1[[#This Row],[Column1]])</f>
        <v/>
      </c>
      <c r="K737" s="1" t="s">
        <v>1098</v>
      </c>
      <c r="M737" s="1" t="s">
        <v>36</v>
      </c>
      <c r="N737" s="1" t="s">
        <v>57</v>
      </c>
      <c r="P737" s="1" t="s">
        <v>65</v>
      </c>
    </row>
    <row r="738" spans="1:16" ht="15.75" customHeight="1" x14ac:dyDescent="0.35">
      <c r="A738" s="1" t="s">
        <v>58</v>
      </c>
      <c r="C738" s="1" t="s">
        <v>378</v>
      </c>
      <c r="D738" s="1" t="s">
        <v>896</v>
      </c>
      <c r="E738" s="1" t="s">
        <v>16</v>
      </c>
      <c r="F738" s="1" t="s">
        <v>93</v>
      </c>
      <c r="G738" s="1" t="s">
        <v>24</v>
      </c>
      <c r="H738" s="1">
        <v>120.89</v>
      </c>
      <c r="I738" s="1">
        <f>IF(Table1[[#This Row],[Claim_Amount]]&lt;0,0,Table1[[#This Row],[Claim_Amount]])</f>
        <v>120.89</v>
      </c>
      <c r="J738" s="1">
        <f>IF(Table1[[#This Row],[Column1]]=0,"",Table1[[#This Row],[Column1]])</f>
        <v>120.89</v>
      </c>
      <c r="K738" s="1">
        <v>120.89</v>
      </c>
      <c r="L738" s="1">
        <v>4185.13</v>
      </c>
      <c r="M738" s="1" t="s">
        <v>17</v>
      </c>
      <c r="N738" s="1" t="s">
        <v>49</v>
      </c>
      <c r="O738" s="1">
        <v>20</v>
      </c>
    </row>
    <row r="739" spans="1:16" ht="15.75" customHeight="1" x14ac:dyDescent="0.35">
      <c r="A739" s="1" t="s">
        <v>285</v>
      </c>
      <c r="D739" s="1" t="s">
        <v>897</v>
      </c>
      <c r="E739" s="1" t="s">
        <v>92</v>
      </c>
      <c r="F739" s="1" t="s">
        <v>47</v>
      </c>
      <c r="G739" s="1" t="s">
        <v>48</v>
      </c>
      <c r="I739">
        <f>IF(Table1[[#This Row],[Claim_Amount]]&lt;0,0,Table1[[#This Row],[Claim_Amount]])</f>
        <v>0</v>
      </c>
      <c r="J739" t="str">
        <f>IF(Table1[[#This Row],[Column1]]=0,"",Table1[[#This Row],[Column1]])</f>
        <v/>
      </c>
      <c r="K739" t="s">
        <v>1098</v>
      </c>
      <c r="L739" s="1">
        <v>1719.41</v>
      </c>
      <c r="M739" s="1" t="s">
        <v>42</v>
      </c>
      <c r="N739" s="1" t="s">
        <v>32</v>
      </c>
    </row>
    <row r="740" spans="1:16" ht="15.75" customHeight="1" x14ac:dyDescent="0.35">
      <c r="A740" s="1" t="s">
        <v>173</v>
      </c>
      <c r="B740" s="1" t="s">
        <v>898</v>
      </c>
      <c r="D740" s="1" t="s">
        <v>899</v>
      </c>
      <c r="E740" s="1" t="s">
        <v>77</v>
      </c>
      <c r="G740" s="1" t="s">
        <v>61</v>
      </c>
      <c r="H740" s="1">
        <v>4825.53</v>
      </c>
      <c r="I740" s="1">
        <f>IF(Table1[[#This Row],[Claim_Amount]]&lt;0,0,Table1[[#This Row],[Claim_Amount]])</f>
        <v>4825.53</v>
      </c>
      <c r="J740" s="1">
        <f>IF(Table1[[#This Row],[Column1]]=0,"",Table1[[#This Row],[Column1]])</f>
        <v>4825.53</v>
      </c>
      <c r="K740" s="1">
        <v>4825.53</v>
      </c>
      <c r="M740" s="1" t="s">
        <v>25</v>
      </c>
      <c r="N740" s="1" t="s">
        <v>26</v>
      </c>
      <c r="P740" s="1" t="s">
        <v>27</v>
      </c>
    </row>
    <row r="741" spans="1:16" ht="15.75" customHeight="1" x14ac:dyDescent="0.35">
      <c r="A741" s="1" t="s">
        <v>277</v>
      </c>
      <c r="D741" s="1" t="s">
        <v>900</v>
      </c>
      <c r="E741" s="1" t="s">
        <v>77</v>
      </c>
      <c r="F741" s="1" t="s">
        <v>47</v>
      </c>
      <c r="G741" s="1" t="s">
        <v>24</v>
      </c>
      <c r="I741">
        <f>IF(Table1[[#This Row],[Claim_Amount]]&lt;0,0,Table1[[#This Row],[Claim_Amount]])</f>
        <v>0</v>
      </c>
      <c r="J741" t="str">
        <f>IF(Table1[[#This Row],[Column1]]=0,"",Table1[[#This Row],[Column1]])</f>
        <v/>
      </c>
      <c r="K741" t="s">
        <v>1098</v>
      </c>
      <c r="L741" s="1">
        <v>3890.76</v>
      </c>
      <c r="M741" s="1" t="s">
        <v>42</v>
      </c>
      <c r="N741" s="1" t="s">
        <v>57</v>
      </c>
      <c r="O741" s="1">
        <v>38</v>
      </c>
    </row>
    <row r="742" spans="1:16" ht="15.75" customHeight="1" x14ac:dyDescent="0.35">
      <c r="A742" s="1" t="s">
        <v>302</v>
      </c>
      <c r="B742" s="1" t="s">
        <v>894</v>
      </c>
      <c r="D742" s="1" t="s">
        <v>697</v>
      </c>
      <c r="E742" s="1" t="s">
        <v>85</v>
      </c>
      <c r="F742" s="1" t="s">
        <v>31</v>
      </c>
      <c r="G742" s="1" t="s">
        <v>24</v>
      </c>
      <c r="I742">
        <f>IF(Table1[[#This Row],[Claim_Amount]]&lt;0,0,Table1[[#This Row],[Claim_Amount]])</f>
        <v>0</v>
      </c>
      <c r="J742" t="str">
        <f>IF(Table1[[#This Row],[Column1]]=0,"",Table1[[#This Row],[Column1]])</f>
        <v/>
      </c>
      <c r="K742" t="s">
        <v>1098</v>
      </c>
      <c r="M742" s="1" t="s">
        <v>17</v>
      </c>
      <c r="N742" s="1" t="s">
        <v>57</v>
      </c>
      <c r="P742" s="1" t="s">
        <v>37</v>
      </c>
    </row>
    <row r="743" spans="1:16" ht="15.75" customHeight="1" x14ac:dyDescent="0.35">
      <c r="A743" s="1" t="s">
        <v>212</v>
      </c>
      <c r="B743" s="1" t="s">
        <v>901</v>
      </c>
      <c r="D743" s="1" t="s">
        <v>679</v>
      </c>
      <c r="E743" s="1" t="s">
        <v>77</v>
      </c>
      <c r="F743" s="1" t="s">
        <v>31</v>
      </c>
      <c r="G743" s="1" t="s">
        <v>24</v>
      </c>
      <c r="H743" s="1">
        <v>3621.66</v>
      </c>
      <c r="I743" s="1">
        <f>IF(Table1[[#This Row],[Claim_Amount]]&lt;0,0,Table1[[#This Row],[Claim_Amount]])</f>
        <v>3621.66</v>
      </c>
      <c r="J743" s="1">
        <f>IF(Table1[[#This Row],[Column1]]=0,"",Table1[[#This Row],[Column1]])</f>
        <v>3621.66</v>
      </c>
      <c r="K743" s="1">
        <v>3621.66</v>
      </c>
      <c r="M743" s="1" t="s">
        <v>36</v>
      </c>
      <c r="N743" s="1" t="s">
        <v>32</v>
      </c>
    </row>
    <row r="744" spans="1:16" ht="15.75" customHeight="1" x14ac:dyDescent="0.35">
      <c r="A744" s="1" t="s">
        <v>154</v>
      </c>
      <c r="B744" s="1" t="s">
        <v>511</v>
      </c>
      <c r="D744" s="1" t="s">
        <v>607</v>
      </c>
      <c r="E744" s="1" t="s">
        <v>22</v>
      </c>
      <c r="F744" s="1" t="s">
        <v>93</v>
      </c>
      <c r="G744" s="1" t="s">
        <v>48</v>
      </c>
      <c r="H744" s="1">
        <v>-175</v>
      </c>
      <c r="I744" s="1">
        <f>IF(Table1[[#This Row],[Claim_Amount]]&lt;0,0,Table1[[#This Row],[Claim_Amount]])</f>
        <v>0</v>
      </c>
      <c r="J744" s="1" t="str">
        <f>IF(Table1[[#This Row],[Column1]]=0,"",Table1[[#This Row],[Column1]])</f>
        <v/>
      </c>
      <c r="K744" s="1" t="s">
        <v>1098</v>
      </c>
      <c r="L744" s="1">
        <v>1985.45</v>
      </c>
      <c r="M744" s="1" t="s">
        <v>17</v>
      </c>
      <c r="N744" s="1" t="s">
        <v>32</v>
      </c>
      <c r="O744" s="1">
        <v>4</v>
      </c>
      <c r="P744" s="1" t="s">
        <v>27</v>
      </c>
    </row>
    <row r="745" spans="1:16" ht="15.75" customHeight="1" x14ac:dyDescent="0.35">
      <c r="A745" s="1" t="s">
        <v>277</v>
      </c>
      <c r="B745" s="1" t="s">
        <v>902</v>
      </c>
      <c r="C745" s="1" t="s">
        <v>408</v>
      </c>
      <c r="D745" s="1" t="s">
        <v>903</v>
      </c>
      <c r="E745" s="1" t="s">
        <v>92</v>
      </c>
      <c r="F745" s="1" t="s">
        <v>31</v>
      </c>
      <c r="G745" s="1" t="s">
        <v>61</v>
      </c>
      <c r="I745">
        <f>IF(Table1[[#This Row],[Claim_Amount]]&lt;0,0,Table1[[#This Row],[Claim_Amount]])</f>
        <v>0</v>
      </c>
      <c r="J745" t="str">
        <f>IF(Table1[[#This Row],[Column1]]=0,"",Table1[[#This Row],[Column1]])</f>
        <v/>
      </c>
      <c r="K745" t="s">
        <v>1098</v>
      </c>
      <c r="M745" s="1" t="s">
        <v>36</v>
      </c>
      <c r="N745" s="1" t="s">
        <v>49</v>
      </c>
      <c r="P745" s="1" t="s">
        <v>37</v>
      </c>
    </row>
    <row r="746" spans="1:16" ht="15.75" customHeight="1" x14ac:dyDescent="0.35">
      <c r="A746" s="1" t="s">
        <v>192</v>
      </c>
      <c r="D746" s="1" t="s">
        <v>904</v>
      </c>
      <c r="E746" s="1" t="s">
        <v>16</v>
      </c>
      <c r="F746" s="1" t="s">
        <v>53</v>
      </c>
      <c r="G746" s="1" t="s">
        <v>41</v>
      </c>
      <c r="H746" s="1">
        <v>-129</v>
      </c>
      <c r="I746" s="1">
        <f>IF(Table1[[#This Row],[Claim_Amount]]&lt;0,0,Table1[[#This Row],[Claim_Amount]])</f>
        <v>0</v>
      </c>
      <c r="J746" s="1" t="str">
        <f>IF(Table1[[#This Row],[Column1]]=0,"",Table1[[#This Row],[Column1]])</f>
        <v/>
      </c>
      <c r="K746" s="1" t="s">
        <v>1098</v>
      </c>
      <c r="M746" s="1" t="s">
        <v>121</v>
      </c>
      <c r="N746" s="1" t="s">
        <v>32</v>
      </c>
      <c r="P746" s="1" t="s">
        <v>19</v>
      </c>
    </row>
    <row r="747" spans="1:16" ht="15.75" customHeight="1" x14ac:dyDescent="0.35">
      <c r="A747" s="1" t="s">
        <v>96</v>
      </c>
      <c r="D747" s="1" t="s">
        <v>663</v>
      </c>
      <c r="E747" s="1" t="s">
        <v>77</v>
      </c>
      <c r="F747" s="1" t="s">
        <v>53</v>
      </c>
      <c r="G747" s="1" t="s">
        <v>61</v>
      </c>
      <c r="I747">
        <f>IF(Table1[[#This Row],[Claim_Amount]]&lt;0,0,Table1[[#This Row],[Claim_Amount]])</f>
        <v>0</v>
      </c>
      <c r="J747" t="str">
        <f>IF(Table1[[#This Row],[Column1]]=0,"",Table1[[#This Row],[Column1]])</f>
        <v/>
      </c>
      <c r="K747" t="s">
        <v>1098</v>
      </c>
      <c r="M747" s="1" t="s">
        <v>36</v>
      </c>
      <c r="N747" s="1" t="s">
        <v>32</v>
      </c>
      <c r="P747" s="1" t="s">
        <v>27</v>
      </c>
    </row>
    <row r="748" spans="1:16" ht="15.75" customHeight="1" x14ac:dyDescent="0.35">
      <c r="A748" s="1" t="s">
        <v>28</v>
      </c>
      <c r="B748" s="1" t="s">
        <v>495</v>
      </c>
      <c r="D748" s="1" t="s">
        <v>580</v>
      </c>
      <c r="E748" s="1" t="s">
        <v>30</v>
      </c>
      <c r="F748" s="1" t="s">
        <v>53</v>
      </c>
      <c r="H748" s="1">
        <v>-191</v>
      </c>
      <c r="I748" s="1">
        <f>IF(Table1[[#This Row],[Claim_Amount]]&lt;0,0,Table1[[#This Row],[Claim_Amount]])</f>
        <v>0</v>
      </c>
      <c r="J748" s="1" t="str">
        <f>IF(Table1[[#This Row],[Column1]]=0,"",Table1[[#This Row],[Column1]])</f>
        <v/>
      </c>
      <c r="K748" s="1" t="s">
        <v>1098</v>
      </c>
      <c r="M748" s="1" t="s">
        <v>121</v>
      </c>
      <c r="N748" s="1" t="s">
        <v>57</v>
      </c>
      <c r="P748" s="1" t="s">
        <v>37</v>
      </c>
    </row>
    <row r="749" spans="1:16" ht="15.75" customHeight="1" x14ac:dyDescent="0.35">
      <c r="A749" s="1" t="s">
        <v>166</v>
      </c>
      <c r="B749" s="1" t="s">
        <v>905</v>
      </c>
      <c r="C749" s="1" t="s">
        <v>463</v>
      </c>
      <c r="D749" s="1" t="s">
        <v>906</v>
      </c>
      <c r="E749" s="1" t="s">
        <v>92</v>
      </c>
      <c r="F749" s="1" t="s">
        <v>47</v>
      </c>
      <c r="H749" s="1">
        <v>-164</v>
      </c>
      <c r="I749" s="1">
        <f>IF(Table1[[#This Row],[Claim_Amount]]&lt;0,0,Table1[[#This Row],[Claim_Amount]])</f>
        <v>0</v>
      </c>
      <c r="J749" s="1" t="str">
        <f>IF(Table1[[#This Row],[Column1]]=0,"",Table1[[#This Row],[Column1]])</f>
        <v/>
      </c>
      <c r="K749" s="1" t="s">
        <v>1098</v>
      </c>
      <c r="M749" s="1" t="s">
        <v>25</v>
      </c>
      <c r="N749" s="1" t="s">
        <v>32</v>
      </c>
      <c r="P749" s="1" t="s">
        <v>37</v>
      </c>
    </row>
    <row r="750" spans="1:16" ht="15.75" customHeight="1" x14ac:dyDescent="0.35">
      <c r="A750" s="1" t="s">
        <v>209</v>
      </c>
      <c r="B750" s="1" t="s">
        <v>879</v>
      </c>
      <c r="D750" s="1" t="s">
        <v>907</v>
      </c>
      <c r="E750" s="1" t="s">
        <v>85</v>
      </c>
      <c r="F750" s="1" t="s">
        <v>23</v>
      </c>
      <c r="I750">
        <f>IF(Table1[[#This Row],[Claim_Amount]]&lt;0,0,Table1[[#This Row],[Claim_Amount]])</f>
        <v>0</v>
      </c>
      <c r="J750" t="str">
        <f>IF(Table1[[#This Row],[Column1]]=0,"",Table1[[#This Row],[Column1]])</f>
        <v/>
      </c>
      <c r="K750" t="s">
        <v>1098</v>
      </c>
      <c r="L750" s="1">
        <v>4607.3100000000004</v>
      </c>
      <c r="M750" s="1" t="s">
        <v>121</v>
      </c>
      <c r="N750" s="1" t="s">
        <v>32</v>
      </c>
      <c r="P750" s="1" t="s">
        <v>27</v>
      </c>
    </row>
    <row r="751" spans="1:16" ht="15.75" customHeight="1" x14ac:dyDescent="0.35">
      <c r="A751" s="1" t="s">
        <v>28</v>
      </c>
      <c r="C751" s="1" t="s">
        <v>232</v>
      </c>
      <c r="D751" s="1" t="s">
        <v>908</v>
      </c>
      <c r="E751" s="1" t="s">
        <v>92</v>
      </c>
      <c r="F751" s="1" t="s">
        <v>93</v>
      </c>
      <c r="G751" s="1" t="s">
        <v>24</v>
      </c>
      <c r="I751">
        <f>IF(Table1[[#This Row],[Claim_Amount]]&lt;0,0,Table1[[#This Row],[Claim_Amount]])</f>
        <v>0</v>
      </c>
      <c r="J751" t="str">
        <f>IF(Table1[[#This Row],[Column1]]=0,"",Table1[[#This Row],[Column1]])</f>
        <v/>
      </c>
      <c r="K751" t="s">
        <v>1098</v>
      </c>
      <c r="M751" s="1" t="s">
        <v>17</v>
      </c>
      <c r="N751" s="1" t="s">
        <v>49</v>
      </c>
      <c r="O751" s="1">
        <v>54</v>
      </c>
      <c r="P751" s="1" t="s">
        <v>27</v>
      </c>
    </row>
    <row r="752" spans="1:16" ht="15.75" customHeight="1" x14ac:dyDescent="0.35">
      <c r="A752" s="1" t="s">
        <v>28</v>
      </c>
      <c r="C752" s="1" t="s">
        <v>278</v>
      </c>
      <c r="D752" s="1" t="s">
        <v>515</v>
      </c>
      <c r="E752" s="1" t="s">
        <v>16</v>
      </c>
      <c r="G752" s="1" t="s">
        <v>48</v>
      </c>
      <c r="I752">
        <f>IF(Table1[[#This Row],[Claim_Amount]]&lt;0,0,Table1[[#This Row],[Claim_Amount]])</f>
        <v>0</v>
      </c>
      <c r="J752" t="str">
        <f>IF(Table1[[#This Row],[Column1]]=0,"",Table1[[#This Row],[Column1]])</f>
        <v/>
      </c>
      <c r="K752" t="s">
        <v>1098</v>
      </c>
      <c r="L752" s="1">
        <v>3794.99</v>
      </c>
      <c r="M752" s="1" t="s">
        <v>42</v>
      </c>
      <c r="N752" s="1" t="s">
        <v>49</v>
      </c>
      <c r="P752" s="1" t="s">
        <v>37</v>
      </c>
    </row>
    <row r="753" spans="1:16" ht="15.75" customHeight="1" x14ac:dyDescent="0.35">
      <c r="A753" s="1" t="s">
        <v>242</v>
      </c>
      <c r="B753" s="1" t="s">
        <v>909</v>
      </c>
      <c r="D753" s="1" t="s">
        <v>910</v>
      </c>
      <c r="E753" s="1" t="s">
        <v>92</v>
      </c>
      <c r="F753" s="1" t="s">
        <v>47</v>
      </c>
      <c r="I753">
        <f>IF(Table1[[#This Row],[Claim_Amount]]&lt;0,0,Table1[[#This Row],[Claim_Amount]])</f>
        <v>0</v>
      </c>
      <c r="J753" t="str">
        <f>IF(Table1[[#This Row],[Column1]]=0,"",Table1[[#This Row],[Column1]])</f>
        <v/>
      </c>
      <c r="K753" t="s">
        <v>1098</v>
      </c>
      <c r="M753" s="1" t="s">
        <v>25</v>
      </c>
      <c r="N753" s="1" t="s">
        <v>18</v>
      </c>
      <c r="O753" s="1">
        <v>5</v>
      </c>
    </row>
    <row r="754" spans="1:16" ht="15.75" customHeight="1" x14ac:dyDescent="0.35">
      <c r="A754" s="1" t="s">
        <v>249</v>
      </c>
      <c r="D754" s="1" t="s">
        <v>911</v>
      </c>
      <c r="E754" s="1" t="s">
        <v>77</v>
      </c>
      <c r="F754" s="1" t="s">
        <v>23</v>
      </c>
      <c r="H754" s="1">
        <v>4082.14</v>
      </c>
      <c r="I754" s="1">
        <f>IF(Table1[[#This Row],[Claim_Amount]]&lt;0,0,Table1[[#This Row],[Claim_Amount]])</f>
        <v>4082.14</v>
      </c>
      <c r="J754" s="1">
        <f>IF(Table1[[#This Row],[Column1]]=0,"",Table1[[#This Row],[Column1]])</f>
        <v>4082.14</v>
      </c>
      <c r="K754" s="1">
        <v>4082.14</v>
      </c>
      <c r="L754" s="1">
        <v>1652.99</v>
      </c>
      <c r="M754" s="1" t="s">
        <v>121</v>
      </c>
      <c r="N754" s="1" t="s">
        <v>26</v>
      </c>
      <c r="P754" s="1" t="s">
        <v>65</v>
      </c>
    </row>
    <row r="755" spans="1:16" ht="15.75" customHeight="1" x14ac:dyDescent="0.35">
      <c r="A755" s="1" t="s">
        <v>249</v>
      </c>
      <c r="B755" s="1" t="s">
        <v>582</v>
      </c>
      <c r="C755" s="1" t="s">
        <v>625</v>
      </c>
      <c r="D755" s="1" t="s">
        <v>912</v>
      </c>
      <c r="E755" s="1" t="s">
        <v>77</v>
      </c>
      <c r="G755" s="1" t="s">
        <v>24</v>
      </c>
      <c r="I755">
        <f>IF(Table1[[#This Row],[Claim_Amount]]&lt;0,0,Table1[[#This Row],[Claim_Amount]])</f>
        <v>0</v>
      </c>
      <c r="J755" t="str">
        <f>IF(Table1[[#This Row],[Column1]]=0,"",Table1[[#This Row],[Column1]])</f>
        <v/>
      </c>
      <c r="K755" t="s">
        <v>1098</v>
      </c>
      <c r="M755" s="1" t="s">
        <v>121</v>
      </c>
      <c r="N755" s="1" t="s">
        <v>49</v>
      </c>
    </row>
    <row r="756" spans="1:16" ht="15.75" customHeight="1" x14ac:dyDescent="0.35">
      <c r="A756" s="1" t="s">
        <v>209</v>
      </c>
      <c r="D756" s="1" t="s">
        <v>913</v>
      </c>
      <c r="E756" s="1" t="s">
        <v>92</v>
      </c>
      <c r="G756" s="1" t="s">
        <v>41</v>
      </c>
      <c r="H756" s="1">
        <v>-77</v>
      </c>
      <c r="I756" s="1">
        <f>IF(Table1[[#This Row],[Claim_Amount]]&lt;0,0,Table1[[#This Row],[Claim_Amount]])</f>
        <v>0</v>
      </c>
      <c r="J756" s="1" t="str">
        <f>IF(Table1[[#This Row],[Column1]]=0,"",Table1[[#This Row],[Column1]])</f>
        <v/>
      </c>
      <c r="K756" s="1" t="s">
        <v>1098</v>
      </c>
      <c r="L756" s="1">
        <v>1882.63</v>
      </c>
      <c r="M756" s="1" t="s">
        <v>42</v>
      </c>
      <c r="N756" s="1" t="s">
        <v>57</v>
      </c>
      <c r="O756" s="1">
        <v>22</v>
      </c>
      <c r="P756" s="1" t="s">
        <v>65</v>
      </c>
    </row>
    <row r="757" spans="1:16" ht="15.75" customHeight="1" x14ac:dyDescent="0.35">
      <c r="A757" s="1" t="s">
        <v>58</v>
      </c>
      <c r="B757" s="1" t="s">
        <v>914</v>
      </c>
      <c r="C757" s="1" t="s">
        <v>358</v>
      </c>
      <c r="D757" s="1" t="s">
        <v>216</v>
      </c>
      <c r="E757" s="1" t="s">
        <v>30</v>
      </c>
      <c r="F757" s="1" t="s">
        <v>31</v>
      </c>
      <c r="G757" s="1" t="s">
        <v>61</v>
      </c>
      <c r="I757">
        <f>IF(Table1[[#This Row],[Claim_Amount]]&lt;0,0,Table1[[#This Row],[Claim_Amount]])</f>
        <v>0</v>
      </c>
      <c r="J757" t="str">
        <f>IF(Table1[[#This Row],[Column1]]=0,"",Table1[[#This Row],[Column1]])</f>
        <v/>
      </c>
      <c r="K757" t="s">
        <v>1098</v>
      </c>
      <c r="M757" s="1" t="s">
        <v>36</v>
      </c>
      <c r="N757" s="1" t="s">
        <v>18</v>
      </c>
    </row>
    <row r="758" spans="1:16" ht="15.75" customHeight="1" x14ac:dyDescent="0.35">
      <c r="A758" s="1" t="s">
        <v>82</v>
      </c>
      <c r="D758" s="1" t="s">
        <v>833</v>
      </c>
      <c r="E758" s="1" t="s">
        <v>16</v>
      </c>
      <c r="F758" s="1" t="s">
        <v>47</v>
      </c>
      <c r="G758" s="1" t="s">
        <v>48</v>
      </c>
      <c r="I758">
        <f>IF(Table1[[#This Row],[Claim_Amount]]&lt;0,0,Table1[[#This Row],[Claim_Amount]])</f>
        <v>0</v>
      </c>
      <c r="J758" t="str">
        <f>IF(Table1[[#This Row],[Column1]]=0,"",Table1[[#This Row],[Column1]])</f>
        <v/>
      </c>
      <c r="K758" t="s">
        <v>1098</v>
      </c>
      <c r="M758" s="1" t="s">
        <v>17</v>
      </c>
      <c r="N758" s="1" t="s">
        <v>26</v>
      </c>
      <c r="P758" s="1" t="s">
        <v>19</v>
      </c>
    </row>
    <row r="759" spans="1:16" ht="15.75" customHeight="1" x14ac:dyDescent="0.35">
      <c r="A759" s="1" t="s">
        <v>168</v>
      </c>
      <c r="C759" s="1" t="s">
        <v>177</v>
      </c>
      <c r="D759" s="1" t="s">
        <v>915</v>
      </c>
      <c r="E759" s="1" t="s">
        <v>35</v>
      </c>
      <c r="F759" s="1" t="s">
        <v>93</v>
      </c>
      <c r="G759" s="1" t="s">
        <v>48</v>
      </c>
      <c r="I759">
        <f>IF(Table1[[#This Row],[Claim_Amount]]&lt;0,0,Table1[[#This Row],[Claim_Amount]])</f>
        <v>0</v>
      </c>
      <c r="J759" t="str">
        <f>IF(Table1[[#This Row],[Column1]]=0,"",Table1[[#This Row],[Column1]])</f>
        <v/>
      </c>
      <c r="K759" t="s">
        <v>1098</v>
      </c>
      <c r="M759" s="1" t="s">
        <v>42</v>
      </c>
      <c r="N759" s="1" t="s">
        <v>32</v>
      </c>
    </row>
    <row r="760" spans="1:16" ht="15.75" customHeight="1" x14ac:dyDescent="0.35">
      <c r="A760" s="1" t="s">
        <v>70</v>
      </c>
      <c r="D760" s="1" t="s">
        <v>452</v>
      </c>
      <c r="E760" s="1" t="s">
        <v>22</v>
      </c>
      <c r="F760" s="1" t="s">
        <v>31</v>
      </c>
      <c r="G760" s="1" t="s">
        <v>54</v>
      </c>
      <c r="H760" s="1">
        <v>642.42999999999995</v>
      </c>
      <c r="I760" s="1">
        <f>IF(Table1[[#This Row],[Claim_Amount]]&lt;0,0,Table1[[#This Row],[Claim_Amount]])</f>
        <v>642.42999999999995</v>
      </c>
      <c r="J760" s="1">
        <f>IF(Table1[[#This Row],[Column1]]=0,"",Table1[[#This Row],[Column1]])</f>
        <v>642.42999999999995</v>
      </c>
      <c r="K760" s="1">
        <v>642.42999999999995</v>
      </c>
      <c r="M760" s="1" t="s">
        <v>17</v>
      </c>
      <c r="N760" s="1" t="s">
        <v>18</v>
      </c>
      <c r="P760" s="1" t="s">
        <v>65</v>
      </c>
    </row>
    <row r="761" spans="1:16" ht="15.75" customHeight="1" x14ac:dyDescent="0.35">
      <c r="A761" s="1" t="s">
        <v>102</v>
      </c>
      <c r="C761" s="1" t="s">
        <v>625</v>
      </c>
      <c r="D761" s="1" t="s">
        <v>681</v>
      </c>
      <c r="E761" s="1" t="s">
        <v>30</v>
      </c>
      <c r="H761" s="1">
        <v>-114</v>
      </c>
      <c r="I761" s="1">
        <f>IF(Table1[[#This Row],[Claim_Amount]]&lt;0,0,Table1[[#This Row],[Claim_Amount]])</f>
        <v>0</v>
      </c>
      <c r="J761" s="1" t="str">
        <f>IF(Table1[[#This Row],[Column1]]=0,"",Table1[[#This Row],[Column1]])</f>
        <v/>
      </c>
      <c r="K761" s="1" t="s">
        <v>1098</v>
      </c>
      <c r="L761" s="1">
        <v>3497.25</v>
      </c>
      <c r="M761" s="1" t="s">
        <v>42</v>
      </c>
      <c r="N761" s="1" t="s">
        <v>18</v>
      </c>
      <c r="P761" s="1" t="s">
        <v>27</v>
      </c>
    </row>
    <row r="762" spans="1:16" ht="15.75" customHeight="1" x14ac:dyDescent="0.35">
      <c r="A762" s="1" t="s">
        <v>102</v>
      </c>
      <c r="D762" s="1" t="s">
        <v>916</v>
      </c>
      <c r="E762" s="1" t="s">
        <v>85</v>
      </c>
      <c r="F762" s="1" t="s">
        <v>93</v>
      </c>
      <c r="G762" s="1" t="s">
        <v>41</v>
      </c>
      <c r="H762" s="1">
        <v>4928.8999999999996</v>
      </c>
      <c r="I762" s="1">
        <f>IF(Table1[[#This Row],[Claim_Amount]]&lt;0,0,Table1[[#This Row],[Claim_Amount]])</f>
        <v>4928.8999999999996</v>
      </c>
      <c r="J762" s="1">
        <f>IF(Table1[[#This Row],[Column1]]=0,"",Table1[[#This Row],[Column1]])</f>
        <v>4928.8999999999996</v>
      </c>
      <c r="K762" s="1">
        <v>4928.8999999999996</v>
      </c>
      <c r="L762" s="1">
        <v>1731.61</v>
      </c>
      <c r="M762" s="1" t="s">
        <v>36</v>
      </c>
      <c r="N762" s="1" t="s">
        <v>32</v>
      </c>
      <c r="P762" s="1" t="s">
        <v>19</v>
      </c>
    </row>
    <row r="763" spans="1:16" ht="15.75" customHeight="1" x14ac:dyDescent="0.35">
      <c r="A763" s="1" t="s">
        <v>20</v>
      </c>
      <c r="C763" s="1" t="s">
        <v>373</v>
      </c>
      <c r="D763" s="1" t="s">
        <v>728</v>
      </c>
      <c r="E763" s="1" t="s">
        <v>16</v>
      </c>
      <c r="F763" s="1" t="s">
        <v>31</v>
      </c>
      <c r="G763" s="1" t="s">
        <v>48</v>
      </c>
      <c r="I763">
        <f>IF(Table1[[#This Row],[Claim_Amount]]&lt;0,0,Table1[[#This Row],[Claim_Amount]])</f>
        <v>0</v>
      </c>
      <c r="J763" t="str">
        <f>IF(Table1[[#This Row],[Column1]]=0,"",Table1[[#This Row],[Column1]])</f>
        <v/>
      </c>
      <c r="K763" t="s">
        <v>1098</v>
      </c>
      <c r="L763" s="1">
        <v>4303.83</v>
      </c>
      <c r="M763" s="1" t="s">
        <v>17</v>
      </c>
      <c r="N763" s="1" t="s">
        <v>57</v>
      </c>
      <c r="O763" s="1">
        <v>31</v>
      </c>
    </row>
    <row r="764" spans="1:16" ht="15.75" customHeight="1" x14ac:dyDescent="0.35">
      <c r="A764" s="1" t="s">
        <v>187</v>
      </c>
      <c r="B764" s="1" t="s">
        <v>917</v>
      </c>
      <c r="C764" s="1" t="s">
        <v>135</v>
      </c>
      <c r="D764" s="1" t="s">
        <v>918</v>
      </c>
      <c r="E764" s="1" t="s">
        <v>77</v>
      </c>
      <c r="G764" s="1" t="s">
        <v>24</v>
      </c>
      <c r="H764" s="1">
        <v>2561.2800000000002</v>
      </c>
      <c r="I764" s="1">
        <f>IF(Table1[[#This Row],[Claim_Amount]]&lt;0,0,Table1[[#This Row],[Claim_Amount]])</f>
        <v>2561.2800000000002</v>
      </c>
      <c r="J764" s="1">
        <f>IF(Table1[[#This Row],[Column1]]=0,"",Table1[[#This Row],[Column1]])</f>
        <v>2561.2800000000002</v>
      </c>
      <c r="K764" s="1">
        <v>2561.2800000000002</v>
      </c>
      <c r="M764" s="1" t="s">
        <v>25</v>
      </c>
      <c r="N764" s="1" t="s">
        <v>32</v>
      </c>
      <c r="P764" s="1" t="s">
        <v>19</v>
      </c>
    </row>
    <row r="765" spans="1:16" ht="15.75" customHeight="1" x14ac:dyDescent="0.35">
      <c r="A765" s="1" t="s">
        <v>28</v>
      </c>
      <c r="B765" s="1" t="s">
        <v>919</v>
      </c>
      <c r="C765" s="1" t="s">
        <v>463</v>
      </c>
      <c r="D765" s="1" t="s">
        <v>701</v>
      </c>
      <c r="E765" s="1" t="s">
        <v>85</v>
      </c>
      <c r="F765" s="1" t="s">
        <v>47</v>
      </c>
      <c r="G765" s="1" t="s">
        <v>41</v>
      </c>
      <c r="H765" s="1">
        <v>-178</v>
      </c>
      <c r="I765" s="1">
        <f>IF(Table1[[#This Row],[Claim_Amount]]&lt;0,0,Table1[[#This Row],[Claim_Amount]])</f>
        <v>0</v>
      </c>
      <c r="J765" s="1" t="str">
        <f>IF(Table1[[#This Row],[Column1]]=0,"",Table1[[#This Row],[Column1]])</f>
        <v/>
      </c>
      <c r="K765" s="1" t="s">
        <v>1098</v>
      </c>
      <c r="L765" s="1">
        <v>3931.11</v>
      </c>
      <c r="M765" s="1" t="s">
        <v>36</v>
      </c>
      <c r="N765" s="1" t="s">
        <v>26</v>
      </c>
      <c r="O765" s="1">
        <v>21</v>
      </c>
      <c r="P765" s="1" t="s">
        <v>27</v>
      </c>
    </row>
    <row r="766" spans="1:16" ht="15.75" customHeight="1" x14ac:dyDescent="0.35">
      <c r="A766" s="1" t="s">
        <v>50</v>
      </c>
      <c r="D766" s="1" t="s">
        <v>920</v>
      </c>
      <c r="E766" s="1" t="s">
        <v>22</v>
      </c>
      <c r="H766" s="1">
        <v>3785.33</v>
      </c>
      <c r="I766" s="1">
        <f>IF(Table1[[#This Row],[Claim_Amount]]&lt;0,0,Table1[[#This Row],[Claim_Amount]])</f>
        <v>3785.33</v>
      </c>
      <c r="J766" s="1">
        <f>IF(Table1[[#This Row],[Column1]]=0,"",Table1[[#This Row],[Column1]])</f>
        <v>3785.33</v>
      </c>
      <c r="K766" s="1">
        <v>3785.33</v>
      </c>
      <c r="L766" s="1">
        <v>4246.4799999999996</v>
      </c>
      <c r="M766" s="1" t="s">
        <v>42</v>
      </c>
      <c r="N766" s="1" t="s">
        <v>57</v>
      </c>
    </row>
    <row r="767" spans="1:16" ht="15.75" customHeight="1" x14ac:dyDescent="0.35">
      <c r="A767" s="1" t="s">
        <v>302</v>
      </c>
      <c r="C767" s="1" t="s">
        <v>336</v>
      </c>
      <c r="D767" s="1" t="s">
        <v>921</v>
      </c>
      <c r="E767" s="1" t="s">
        <v>22</v>
      </c>
      <c r="F767" s="1" t="s">
        <v>93</v>
      </c>
      <c r="G767" s="1" t="s">
        <v>41</v>
      </c>
      <c r="H767" s="1">
        <v>-119</v>
      </c>
      <c r="I767" s="1">
        <f>IF(Table1[[#This Row],[Claim_Amount]]&lt;0,0,Table1[[#This Row],[Claim_Amount]])</f>
        <v>0</v>
      </c>
      <c r="J767" s="1" t="str">
        <f>IF(Table1[[#This Row],[Column1]]=0,"",Table1[[#This Row],[Column1]])</f>
        <v/>
      </c>
      <c r="K767" s="1" t="s">
        <v>1098</v>
      </c>
      <c r="L767" s="1">
        <v>2203.94</v>
      </c>
      <c r="M767" s="1" t="s">
        <v>121</v>
      </c>
      <c r="N767" s="1" t="s">
        <v>26</v>
      </c>
      <c r="O767" s="1">
        <v>31</v>
      </c>
      <c r="P767" s="1" t="s">
        <v>27</v>
      </c>
    </row>
    <row r="768" spans="1:16" ht="15.75" customHeight="1" x14ac:dyDescent="0.35">
      <c r="A768" s="1" t="s">
        <v>20</v>
      </c>
      <c r="D768" s="1" t="s">
        <v>922</v>
      </c>
      <c r="E768" s="1" t="s">
        <v>16</v>
      </c>
      <c r="F768" s="1" t="s">
        <v>47</v>
      </c>
      <c r="G768" s="1" t="s">
        <v>61</v>
      </c>
      <c r="I768">
        <f>IF(Table1[[#This Row],[Claim_Amount]]&lt;0,0,Table1[[#This Row],[Claim_Amount]])</f>
        <v>0</v>
      </c>
      <c r="J768" t="str">
        <f>IF(Table1[[#This Row],[Column1]]=0,"",Table1[[#This Row],[Column1]])</f>
        <v/>
      </c>
      <c r="K768" t="s">
        <v>1098</v>
      </c>
      <c r="M768" s="1" t="s">
        <v>36</v>
      </c>
      <c r="N768" s="1" t="s">
        <v>57</v>
      </c>
      <c r="P768" s="1" t="s">
        <v>27</v>
      </c>
    </row>
    <row r="769" spans="1:16" ht="15.75" customHeight="1" x14ac:dyDescent="0.35">
      <c r="A769" s="1" t="s">
        <v>148</v>
      </c>
      <c r="C769" s="1" t="s">
        <v>193</v>
      </c>
      <c r="D769" s="1" t="s">
        <v>230</v>
      </c>
      <c r="E769" s="1" t="s">
        <v>30</v>
      </c>
      <c r="F769" s="1" t="s">
        <v>23</v>
      </c>
      <c r="I769">
        <f>IF(Table1[[#This Row],[Claim_Amount]]&lt;0,0,Table1[[#This Row],[Claim_Amount]])</f>
        <v>0</v>
      </c>
      <c r="J769" t="str">
        <f>IF(Table1[[#This Row],[Column1]]=0,"",Table1[[#This Row],[Column1]])</f>
        <v/>
      </c>
      <c r="K769" t="s">
        <v>1098</v>
      </c>
      <c r="M769" s="1" t="s">
        <v>25</v>
      </c>
      <c r="N769" s="1" t="s">
        <v>18</v>
      </c>
      <c r="P769" s="1" t="s">
        <v>65</v>
      </c>
    </row>
    <row r="770" spans="1:16" ht="15.75" customHeight="1" x14ac:dyDescent="0.35">
      <c r="A770" s="1" t="s">
        <v>198</v>
      </c>
      <c r="C770" s="1" t="s">
        <v>68</v>
      </c>
      <c r="D770" s="1" t="s">
        <v>923</v>
      </c>
      <c r="E770" s="1" t="s">
        <v>30</v>
      </c>
      <c r="F770" s="1" t="s">
        <v>23</v>
      </c>
      <c r="G770" s="1" t="s">
        <v>61</v>
      </c>
      <c r="H770" s="1">
        <v>4614.33</v>
      </c>
      <c r="I770" s="1">
        <f>IF(Table1[[#This Row],[Claim_Amount]]&lt;0,0,Table1[[#This Row],[Claim_Amount]])</f>
        <v>4614.33</v>
      </c>
      <c r="J770" s="1">
        <f>IF(Table1[[#This Row],[Column1]]=0,"",Table1[[#This Row],[Column1]])</f>
        <v>4614.33</v>
      </c>
      <c r="K770" s="1">
        <v>4614.33</v>
      </c>
      <c r="L770" s="1">
        <v>4625.3500000000004</v>
      </c>
      <c r="M770" s="1" t="s">
        <v>17</v>
      </c>
      <c r="N770" s="1" t="s">
        <v>32</v>
      </c>
      <c r="P770" s="1" t="s">
        <v>65</v>
      </c>
    </row>
    <row r="771" spans="1:16" ht="15.75" customHeight="1" x14ac:dyDescent="0.35">
      <c r="A771" s="1" t="s">
        <v>242</v>
      </c>
      <c r="B771" s="1" t="s">
        <v>902</v>
      </c>
      <c r="C771" s="1" t="s">
        <v>213</v>
      </c>
      <c r="D771" s="1" t="s">
        <v>526</v>
      </c>
      <c r="E771" s="1" t="s">
        <v>92</v>
      </c>
      <c r="F771" s="1" t="s">
        <v>53</v>
      </c>
      <c r="I771">
        <f>IF(Table1[[#This Row],[Claim_Amount]]&lt;0,0,Table1[[#This Row],[Claim_Amount]])</f>
        <v>0</v>
      </c>
      <c r="J771" t="str">
        <f>IF(Table1[[#This Row],[Column1]]=0,"",Table1[[#This Row],[Column1]])</f>
        <v/>
      </c>
      <c r="K771" t="s">
        <v>1098</v>
      </c>
      <c r="M771" s="1" t="s">
        <v>42</v>
      </c>
      <c r="N771" s="1" t="s">
        <v>49</v>
      </c>
      <c r="O771" s="1">
        <v>44</v>
      </c>
      <c r="P771" s="1" t="s">
        <v>37</v>
      </c>
    </row>
    <row r="772" spans="1:16" ht="15.75" customHeight="1" x14ac:dyDescent="0.35">
      <c r="A772" s="1" t="s">
        <v>70</v>
      </c>
      <c r="D772" s="1" t="s">
        <v>924</v>
      </c>
      <c r="E772" s="1" t="s">
        <v>35</v>
      </c>
      <c r="F772" s="1" t="s">
        <v>53</v>
      </c>
      <c r="G772" s="1" t="s">
        <v>61</v>
      </c>
      <c r="I772">
        <f>IF(Table1[[#This Row],[Claim_Amount]]&lt;0,0,Table1[[#This Row],[Claim_Amount]])</f>
        <v>0</v>
      </c>
      <c r="J772" t="str">
        <f>IF(Table1[[#This Row],[Column1]]=0,"",Table1[[#This Row],[Column1]])</f>
        <v/>
      </c>
      <c r="K772" t="s">
        <v>1098</v>
      </c>
      <c r="L772" s="1">
        <v>3331.67</v>
      </c>
      <c r="M772" s="1" t="s">
        <v>25</v>
      </c>
      <c r="N772" s="1" t="s">
        <v>26</v>
      </c>
      <c r="O772" s="1">
        <v>7</v>
      </c>
      <c r="P772" s="1" t="s">
        <v>37</v>
      </c>
    </row>
    <row r="773" spans="1:16" ht="15.75" customHeight="1" x14ac:dyDescent="0.35">
      <c r="A773" s="1" t="s">
        <v>430</v>
      </c>
      <c r="C773" s="1" t="s">
        <v>139</v>
      </c>
      <c r="D773" s="1" t="s">
        <v>925</v>
      </c>
      <c r="E773" s="1" t="s">
        <v>92</v>
      </c>
      <c r="F773" s="1" t="s">
        <v>47</v>
      </c>
      <c r="G773" s="1" t="s">
        <v>41</v>
      </c>
      <c r="I773">
        <f>IF(Table1[[#This Row],[Claim_Amount]]&lt;0,0,Table1[[#This Row],[Claim_Amount]])</f>
        <v>0</v>
      </c>
      <c r="J773" t="str">
        <f>IF(Table1[[#This Row],[Column1]]=0,"",Table1[[#This Row],[Column1]])</f>
        <v/>
      </c>
      <c r="K773" t="s">
        <v>1098</v>
      </c>
      <c r="L773" s="1">
        <v>587.04</v>
      </c>
      <c r="M773" s="1" t="s">
        <v>121</v>
      </c>
      <c r="N773" s="1" t="s">
        <v>18</v>
      </c>
      <c r="O773" s="1">
        <v>60</v>
      </c>
    </row>
    <row r="774" spans="1:16" ht="15.75" customHeight="1" x14ac:dyDescent="0.35">
      <c r="A774" s="1" t="s">
        <v>117</v>
      </c>
      <c r="B774" s="1" t="s">
        <v>389</v>
      </c>
      <c r="C774" s="1" t="s">
        <v>354</v>
      </c>
      <c r="D774" s="1" t="s">
        <v>556</v>
      </c>
      <c r="E774" s="1" t="s">
        <v>85</v>
      </c>
      <c r="F774" s="1" t="s">
        <v>23</v>
      </c>
      <c r="G774" s="1" t="s">
        <v>48</v>
      </c>
      <c r="H774" s="1">
        <v>963.17</v>
      </c>
      <c r="I774" s="1">
        <f>IF(Table1[[#This Row],[Claim_Amount]]&lt;0,0,Table1[[#This Row],[Claim_Amount]])</f>
        <v>963.17</v>
      </c>
      <c r="J774" s="1">
        <f>IF(Table1[[#This Row],[Column1]]=0,"",Table1[[#This Row],[Column1]])</f>
        <v>963.17</v>
      </c>
      <c r="K774" s="1">
        <v>963.17</v>
      </c>
      <c r="M774" s="1" t="s">
        <v>42</v>
      </c>
      <c r="N774" s="1" t="s">
        <v>49</v>
      </c>
      <c r="O774" s="1">
        <v>47</v>
      </c>
      <c r="P774" s="1" t="s">
        <v>37</v>
      </c>
    </row>
    <row r="775" spans="1:16" ht="15.75" customHeight="1" x14ac:dyDescent="0.35">
      <c r="A775" s="1" t="s">
        <v>154</v>
      </c>
      <c r="B775" s="1" t="s">
        <v>926</v>
      </c>
      <c r="C775" s="1" t="s">
        <v>378</v>
      </c>
      <c r="D775" s="1" t="s">
        <v>927</v>
      </c>
      <c r="E775" s="1" t="s">
        <v>16</v>
      </c>
      <c r="F775" s="1" t="s">
        <v>93</v>
      </c>
      <c r="G775" s="1" t="s">
        <v>41</v>
      </c>
      <c r="I775">
        <f>IF(Table1[[#This Row],[Claim_Amount]]&lt;0,0,Table1[[#This Row],[Claim_Amount]])</f>
        <v>0</v>
      </c>
      <c r="J775" t="str">
        <f>IF(Table1[[#This Row],[Column1]]=0,"",Table1[[#This Row],[Column1]])</f>
        <v/>
      </c>
      <c r="K775" t="s">
        <v>1098</v>
      </c>
      <c r="L775" s="1">
        <v>1783.08</v>
      </c>
      <c r="M775" s="1" t="s">
        <v>25</v>
      </c>
      <c r="N775" s="1" t="s">
        <v>49</v>
      </c>
      <c r="O775" s="1">
        <v>24</v>
      </c>
      <c r="P775" s="1" t="s">
        <v>27</v>
      </c>
    </row>
    <row r="776" spans="1:16" ht="15.75" customHeight="1" x14ac:dyDescent="0.35">
      <c r="A776" s="1" t="s">
        <v>163</v>
      </c>
      <c r="B776" s="1" t="s">
        <v>928</v>
      </c>
      <c r="C776" s="1" t="s">
        <v>200</v>
      </c>
      <c r="D776" s="1" t="s">
        <v>929</v>
      </c>
      <c r="E776" s="1" t="s">
        <v>22</v>
      </c>
      <c r="F776" s="1" t="s">
        <v>53</v>
      </c>
      <c r="G776" s="1" t="s">
        <v>61</v>
      </c>
      <c r="I776">
        <f>IF(Table1[[#This Row],[Claim_Amount]]&lt;0,0,Table1[[#This Row],[Claim_Amount]])</f>
        <v>0</v>
      </c>
      <c r="J776" t="str">
        <f>IF(Table1[[#This Row],[Column1]]=0,"",Table1[[#This Row],[Column1]])</f>
        <v/>
      </c>
      <c r="K776" t="s">
        <v>1098</v>
      </c>
      <c r="L776" s="1">
        <v>2806.42</v>
      </c>
      <c r="M776" s="1" t="s">
        <v>36</v>
      </c>
      <c r="N776" s="1" t="s">
        <v>32</v>
      </c>
      <c r="O776" s="1">
        <v>3</v>
      </c>
      <c r="P776" s="1" t="s">
        <v>19</v>
      </c>
    </row>
    <row r="777" spans="1:16" ht="15.75" customHeight="1" x14ac:dyDescent="0.35">
      <c r="A777" s="1" t="s">
        <v>70</v>
      </c>
      <c r="C777" s="1" t="s">
        <v>792</v>
      </c>
      <c r="D777" s="1" t="s">
        <v>444</v>
      </c>
      <c r="E777" s="1" t="s">
        <v>16</v>
      </c>
      <c r="G777" s="1" t="s">
        <v>24</v>
      </c>
      <c r="H777" s="1">
        <v>79.209999999999994</v>
      </c>
      <c r="I777" s="1">
        <f>IF(Table1[[#This Row],[Claim_Amount]]&lt;0,0,Table1[[#This Row],[Claim_Amount]])</f>
        <v>79.209999999999994</v>
      </c>
      <c r="J777" s="1">
        <f>IF(Table1[[#This Row],[Column1]]=0,"",Table1[[#This Row],[Column1]])</f>
        <v>79.209999999999994</v>
      </c>
      <c r="K777" s="1">
        <v>79.209999999999994</v>
      </c>
      <c r="M777" s="1" t="s">
        <v>25</v>
      </c>
      <c r="N777" s="1" t="s">
        <v>18</v>
      </c>
      <c r="P777" s="1" t="s">
        <v>19</v>
      </c>
    </row>
    <row r="778" spans="1:16" ht="15.75" customHeight="1" x14ac:dyDescent="0.35">
      <c r="A778" s="1" t="s">
        <v>209</v>
      </c>
      <c r="B778" s="1" t="s">
        <v>323</v>
      </c>
      <c r="D778" s="1" t="s">
        <v>547</v>
      </c>
      <c r="E778" s="1" t="s">
        <v>35</v>
      </c>
      <c r="F778" s="1" t="s">
        <v>47</v>
      </c>
      <c r="G778" s="1" t="s">
        <v>48</v>
      </c>
      <c r="H778" s="1">
        <v>-70</v>
      </c>
      <c r="I778" s="1">
        <f>IF(Table1[[#This Row],[Claim_Amount]]&lt;0,0,Table1[[#This Row],[Claim_Amount]])</f>
        <v>0</v>
      </c>
      <c r="J778" s="1" t="str">
        <f>IF(Table1[[#This Row],[Column1]]=0,"",Table1[[#This Row],[Column1]])</f>
        <v/>
      </c>
      <c r="K778" s="1" t="s">
        <v>1098</v>
      </c>
      <c r="M778" s="1" t="s">
        <v>121</v>
      </c>
      <c r="N778" s="1" t="s">
        <v>49</v>
      </c>
      <c r="O778" s="1">
        <v>58</v>
      </c>
      <c r="P778" s="1" t="s">
        <v>37</v>
      </c>
    </row>
    <row r="779" spans="1:16" ht="15.75" customHeight="1" x14ac:dyDescent="0.35">
      <c r="A779" s="1" t="s">
        <v>73</v>
      </c>
      <c r="B779" s="1" t="s">
        <v>930</v>
      </c>
      <c r="D779" s="1" t="s">
        <v>931</v>
      </c>
      <c r="E779" s="1" t="s">
        <v>85</v>
      </c>
      <c r="F779" s="1" t="s">
        <v>31</v>
      </c>
      <c r="I779">
        <f>IF(Table1[[#This Row],[Claim_Amount]]&lt;0,0,Table1[[#This Row],[Claim_Amount]])</f>
        <v>0</v>
      </c>
      <c r="J779" t="str">
        <f>IF(Table1[[#This Row],[Column1]]=0,"",Table1[[#This Row],[Column1]])</f>
        <v/>
      </c>
      <c r="K779" t="s">
        <v>1098</v>
      </c>
      <c r="M779" s="1" t="s">
        <v>36</v>
      </c>
      <c r="N779" s="1" t="s">
        <v>18</v>
      </c>
      <c r="O779" s="1">
        <v>25</v>
      </c>
      <c r="P779" s="1" t="s">
        <v>27</v>
      </c>
    </row>
    <row r="780" spans="1:16" ht="15.75" customHeight="1" x14ac:dyDescent="0.35">
      <c r="A780" s="1" t="s">
        <v>187</v>
      </c>
      <c r="D780" s="1" t="s">
        <v>874</v>
      </c>
      <c r="E780" s="1" t="s">
        <v>92</v>
      </c>
      <c r="F780" s="1" t="s">
        <v>31</v>
      </c>
      <c r="G780" s="1" t="s">
        <v>41</v>
      </c>
      <c r="I780">
        <f>IF(Table1[[#This Row],[Claim_Amount]]&lt;0,0,Table1[[#This Row],[Claim_Amount]])</f>
        <v>0</v>
      </c>
      <c r="J780" t="str">
        <f>IF(Table1[[#This Row],[Column1]]=0,"",Table1[[#This Row],[Column1]])</f>
        <v/>
      </c>
      <c r="K780" t="s">
        <v>1098</v>
      </c>
      <c r="M780" s="1" t="s">
        <v>17</v>
      </c>
      <c r="N780" s="1" t="s">
        <v>57</v>
      </c>
    </row>
    <row r="781" spans="1:16" ht="15.75" customHeight="1" x14ac:dyDescent="0.35">
      <c r="A781" s="1" t="s">
        <v>242</v>
      </c>
      <c r="D781" s="1" t="s">
        <v>794</v>
      </c>
      <c r="E781" s="1" t="s">
        <v>77</v>
      </c>
      <c r="F781" s="1" t="s">
        <v>93</v>
      </c>
      <c r="G781" s="1" t="s">
        <v>48</v>
      </c>
      <c r="H781" s="1">
        <v>-176</v>
      </c>
      <c r="I781" s="1">
        <f>IF(Table1[[#This Row],[Claim_Amount]]&lt;0,0,Table1[[#This Row],[Claim_Amount]])</f>
        <v>0</v>
      </c>
      <c r="J781" s="1" t="str">
        <f>IF(Table1[[#This Row],[Column1]]=0,"",Table1[[#This Row],[Column1]])</f>
        <v/>
      </c>
      <c r="K781" s="1" t="s">
        <v>1098</v>
      </c>
      <c r="M781" s="1" t="s">
        <v>121</v>
      </c>
      <c r="N781" s="1" t="s">
        <v>26</v>
      </c>
      <c r="O781" s="1">
        <v>12</v>
      </c>
      <c r="P781" s="1" t="s">
        <v>27</v>
      </c>
    </row>
    <row r="782" spans="1:16" ht="15.75" customHeight="1" x14ac:dyDescent="0.35">
      <c r="A782" s="1" t="s">
        <v>20</v>
      </c>
      <c r="D782" s="1" t="s">
        <v>777</v>
      </c>
      <c r="E782" s="1" t="s">
        <v>85</v>
      </c>
      <c r="F782" s="1" t="s">
        <v>53</v>
      </c>
      <c r="G782" s="1" t="s">
        <v>54</v>
      </c>
      <c r="I782">
        <f>IF(Table1[[#This Row],[Claim_Amount]]&lt;0,0,Table1[[#This Row],[Claim_Amount]])</f>
        <v>0</v>
      </c>
      <c r="J782" t="str">
        <f>IF(Table1[[#This Row],[Column1]]=0,"",Table1[[#This Row],[Column1]])</f>
        <v/>
      </c>
      <c r="K782" t="s">
        <v>1098</v>
      </c>
      <c r="M782" s="1" t="s">
        <v>17</v>
      </c>
      <c r="N782" s="1" t="s">
        <v>18</v>
      </c>
      <c r="P782" s="1" t="s">
        <v>37</v>
      </c>
    </row>
    <row r="783" spans="1:16" ht="15.75" customHeight="1" x14ac:dyDescent="0.35">
      <c r="A783" s="1" t="s">
        <v>170</v>
      </c>
      <c r="B783" s="1" t="s">
        <v>932</v>
      </c>
      <c r="D783" s="1" t="s">
        <v>854</v>
      </c>
      <c r="E783" s="1" t="s">
        <v>35</v>
      </c>
      <c r="G783" s="1" t="s">
        <v>61</v>
      </c>
      <c r="H783" s="1">
        <v>3397.14</v>
      </c>
      <c r="I783" s="1">
        <f>IF(Table1[[#This Row],[Claim_Amount]]&lt;0,0,Table1[[#This Row],[Claim_Amount]])</f>
        <v>3397.14</v>
      </c>
      <c r="J783" s="1">
        <f>IF(Table1[[#This Row],[Column1]]=0,"",Table1[[#This Row],[Column1]])</f>
        <v>3397.14</v>
      </c>
      <c r="K783" s="1">
        <v>3397.14</v>
      </c>
      <c r="L783" s="1">
        <v>156.26</v>
      </c>
      <c r="M783" s="1" t="s">
        <v>42</v>
      </c>
      <c r="N783" s="1" t="s">
        <v>26</v>
      </c>
      <c r="P783" s="1" t="s">
        <v>65</v>
      </c>
    </row>
    <row r="784" spans="1:16" ht="15.75" customHeight="1" x14ac:dyDescent="0.35">
      <c r="A784" s="1" t="s">
        <v>148</v>
      </c>
      <c r="B784" s="1" t="s">
        <v>933</v>
      </c>
      <c r="C784" s="1" t="s">
        <v>414</v>
      </c>
      <c r="D784" s="1" t="s">
        <v>934</v>
      </c>
      <c r="E784" s="1" t="s">
        <v>22</v>
      </c>
      <c r="F784" s="1" t="s">
        <v>53</v>
      </c>
      <c r="G784" s="1" t="s">
        <v>48</v>
      </c>
      <c r="I784">
        <f>IF(Table1[[#This Row],[Claim_Amount]]&lt;0,0,Table1[[#This Row],[Claim_Amount]])</f>
        <v>0</v>
      </c>
      <c r="J784" t="str">
        <f>IF(Table1[[#This Row],[Column1]]=0,"",Table1[[#This Row],[Column1]])</f>
        <v/>
      </c>
      <c r="K784" t="s">
        <v>1098</v>
      </c>
      <c r="M784" s="1" t="s">
        <v>17</v>
      </c>
      <c r="N784" s="1" t="s">
        <v>18</v>
      </c>
      <c r="P784" s="1" t="s">
        <v>19</v>
      </c>
    </row>
    <row r="785" spans="1:16" ht="15.75" customHeight="1" x14ac:dyDescent="0.35">
      <c r="A785" s="1" t="s">
        <v>73</v>
      </c>
      <c r="D785" s="1" t="s">
        <v>569</v>
      </c>
      <c r="E785" s="1" t="s">
        <v>16</v>
      </c>
      <c r="G785" s="1" t="s">
        <v>24</v>
      </c>
      <c r="H785" s="1">
        <v>4550.46</v>
      </c>
      <c r="I785" s="1">
        <f>IF(Table1[[#This Row],[Claim_Amount]]&lt;0,0,Table1[[#This Row],[Claim_Amount]])</f>
        <v>4550.46</v>
      </c>
      <c r="J785" s="1">
        <f>IF(Table1[[#This Row],[Column1]]=0,"",Table1[[#This Row],[Column1]])</f>
        <v>4550.46</v>
      </c>
      <c r="K785" s="1">
        <v>4550.46</v>
      </c>
      <c r="M785" s="1" t="s">
        <v>121</v>
      </c>
      <c r="N785" s="1" t="s">
        <v>49</v>
      </c>
      <c r="O785" s="1">
        <v>30</v>
      </c>
      <c r="P785" s="1" t="s">
        <v>19</v>
      </c>
    </row>
    <row r="786" spans="1:16" ht="15.75" customHeight="1" x14ac:dyDescent="0.35">
      <c r="A786" s="1" t="s">
        <v>66</v>
      </c>
      <c r="C786" s="1" t="s">
        <v>218</v>
      </c>
      <c r="D786" s="1" t="s">
        <v>935</v>
      </c>
      <c r="E786" s="1" t="s">
        <v>30</v>
      </c>
      <c r="F786" s="1" t="s">
        <v>31</v>
      </c>
      <c r="G786" s="1" t="s">
        <v>41</v>
      </c>
      <c r="H786" s="1">
        <v>4939.6899999999996</v>
      </c>
      <c r="I786" s="1">
        <f>IF(Table1[[#This Row],[Claim_Amount]]&lt;0,0,Table1[[#This Row],[Claim_Amount]])</f>
        <v>4939.6899999999996</v>
      </c>
      <c r="J786" s="1">
        <f>IF(Table1[[#This Row],[Column1]]=0,"",Table1[[#This Row],[Column1]])</f>
        <v>4939.6899999999996</v>
      </c>
      <c r="K786" s="1">
        <v>4939.6899999999996</v>
      </c>
      <c r="M786" s="1" t="s">
        <v>42</v>
      </c>
      <c r="N786" s="1" t="s">
        <v>49</v>
      </c>
      <c r="O786" s="1">
        <v>58</v>
      </c>
      <c r="P786" s="1" t="s">
        <v>19</v>
      </c>
    </row>
    <row r="787" spans="1:16" ht="15.75" customHeight="1" x14ac:dyDescent="0.35">
      <c r="A787" s="1" t="s">
        <v>179</v>
      </c>
      <c r="B787" s="1" t="s">
        <v>462</v>
      </c>
      <c r="D787" s="1" t="s">
        <v>142</v>
      </c>
      <c r="E787" s="1" t="s">
        <v>30</v>
      </c>
      <c r="F787" s="1" t="s">
        <v>53</v>
      </c>
      <c r="G787" s="1" t="s">
        <v>61</v>
      </c>
      <c r="H787" s="1">
        <v>-161</v>
      </c>
      <c r="I787" s="1">
        <f>IF(Table1[[#This Row],[Claim_Amount]]&lt;0,0,Table1[[#This Row],[Claim_Amount]])</f>
        <v>0</v>
      </c>
      <c r="J787" s="1" t="str">
        <f>IF(Table1[[#This Row],[Column1]]=0,"",Table1[[#This Row],[Column1]])</f>
        <v/>
      </c>
      <c r="K787" s="1" t="s">
        <v>1098</v>
      </c>
      <c r="M787" s="1" t="s">
        <v>42</v>
      </c>
      <c r="N787" s="1" t="s">
        <v>18</v>
      </c>
    </row>
    <row r="788" spans="1:16" ht="15.75" customHeight="1" x14ac:dyDescent="0.35">
      <c r="A788" s="1" t="s">
        <v>105</v>
      </c>
      <c r="C788" s="1" t="s">
        <v>632</v>
      </c>
      <c r="D788" s="1" t="s">
        <v>298</v>
      </c>
      <c r="E788" s="1" t="s">
        <v>92</v>
      </c>
      <c r="F788" s="1" t="s">
        <v>53</v>
      </c>
      <c r="G788" s="1" t="s">
        <v>48</v>
      </c>
      <c r="H788" s="1">
        <v>-79</v>
      </c>
      <c r="I788" s="1">
        <f>IF(Table1[[#This Row],[Claim_Amount]]&lt;0,0,Table1[[#This Row],[Claim_Amount]])</f>
        <v>0</v>
      </c>
      <c r="J788" s="1" t="str">
        <f>IF(Table1[[#This Row],[Column1]]=0,"",Table1[[#This Row],[Column1]])</f>
        <v/>
      </c>
      <c r="K788" s="1" t="s">
        <v>1098</v>
      </c>
      <c r="M788" s="1" t="s">
        <v>36</v>
      </c>
      <c r="N788" s="1" t="s">
        <v>26</v>
      </c>
      <c r="P788" s="1" t="s">
        <v>19</v>
      </c>
    </row>
    <row r="789" spans="1:16" ht="15.75" customHeight="1" x14ac:dyDescent="0.35">
      <c r="A789" s="1" t="s">
        <v>148</v>
      </c>
      <c r="B789" s="1" t="s">
        <v>936</v>
      </c>
      <c r="D789" s="1" t="s">
        <v>169</v>
      </c>
      <c r="E789" s="1" t="s">
        <v>16</v>
      </c>
      <c r="I789">
        <f>IF(Table1[[#This Row],[Claim_Amount]]&lt;0,0,Table1[[#This Row],[Claim_Amount]])</f>
        <v>0</v>
      </c>
      <c r="J789" t="str">
        <f>IF(Table1[[#This Row],[Column1]]=0,"",Table1[[#This Row],[Column1]])</f>
        <v/>
      </c>
      <c r="K789" t="s">
        <v>1098</v>
      </c>
      <c r="M789" s="1" t="s">
        <v>121</v>
      </c>
      <c r="N789" s="1" t="s">
        <v>49</v>
      </c>
      <c r="P789" s="1" t="s">
        <v>65</v>
      </c>
    </row>
    <row r="790" spans="1:16" ht="15.75" customHeight="1" x14ac:dyDescent="0.35">
      <c r="A790" s="1" t="s">
        <v>28</v>
      </c>
      <c r="C790" s="1" t="s">
        <v>228</v>
      </c>
      <c r="D790" s="1" t="s">
        <v>937</v>
      </c>
      <c r="E790" s="1" t="s">
        <v>77</v>
      </c>
      <c r="G790" s="1" t="s">
        <v>61</v>
      </c>
      <c r="H790" s="1">
        <v>4037.1</v>
      </c>
      <c r="I790" s="1">
        <f>IF(Table1[[#This Row],[Claim_Amount]]&lt;0,0,Table1[[#This Row],[Claim_Amount]])</f>
        <v>4037.1</v>
      </c>
      <c r="J790" s="1">
        <f>IF(Table1[[#This Row],[Column1]]=0,"",Table1[[#This Row],[Column1]])</f>
        <v>4037.1</v>
      </c>
      <c r="K790" s="1">
        <v>4037.1</v>
      </c>
      <c r="L790" s="1">
        <v>163.89</v>
      </c>
      <c r="M790" s="1" t="s">
        <v>25</v>
      </c>
      <c r="N790" s="1" t="s">
        <v>18</v>
      </c>
      <c r="O790" s="1">
        <v>4</v>
      </c>
      <c r="P790" s="1" t="s">
        <v>27</v>
      </c>
    </row>
    <row r="791" spans="1:16" ht="15.75" customHeight="1" x14ac:dyDescent="0.35">
      <c r="A791" s="1" t="s">
        <v>430</v>
      </c>
      <c r="C791" s="1" t="s">
        <v>453</v>
      </c>
      <c r="D791" s="1" t="s">
        <v>938</v>
      </c>
      <c r="E791" s="1" t="s">
        <v>22</v>
      </c>
      <c r="F791" s="1" t="s">
        <v>31</v>
      </c>
      <c r="G791" s="1" t="s">
        <v>54</v>
      </c>
      <c r="H791" s="1">
        <v>-159</v>
      </c>
      <c r="I791" s="1">
        <f>IF(Table1[[#This Row],[Claim_Amount]]&lt;0,0,Table1[[#This Row],[Claim_Amount]])</f>
        <v>0</v>
      </c>
      <c r="J791" s="1" t="str">
        <f>IF(Table1[[#This Row],[Column1]]=0,"",Table1[[#This Row],[Column1]])</f>
        <v/>
      </c>
      <c r="K791" s="1" t="s">
        <v>1098</v>
      </c>
      <c r="M791" s="1" t="s">
        <v>25</v>
      </c>
      <c r="N791" s="1" t="s">
        <v>57</v>
      </c>
      <c r="O791" s="1">
        <v>7</v>
      </c>
      <c r="P791" s="1" t="s">
        <v>65</v>
      </c>
    </row>
    <row r="792" spans="1:16" ht="15.75" customHeight="1" x14ac:dyDescent="0.35">
      <c r="A792" s="1" t="s">
        <v>212</v>
      </c>
      <c r="B792" s="1" t="s">
        <v>939</v>
      </c>
      <c r="C792" s="1" t="s">
        <v>200</v>
      </c>
      <c r="D792" s="1" t="s">
        <v>634</v>
      </c>
      <c r="E792" s="1" t="s">
        <v>85</v>
      </c>
      <c r="F792" s="1" t="s">
        <v>93</v>
      </c>
      <c r="G792" s="1" t="s">
        <v>61</v>
      </c>
      <c r="I792">
        <f>IF(Table1[[#This Row],[Claim_Amount]]&lt;0,0,Table1[[#This Row],[Claim_Amount]])</f>
        <v>0</v>
      </c>
      <c r="J792" t="str">
        <f>IF(Table1[[#This Row],[Column1]]=0,"",Table1[[#This Row],[Column1]])</f>
        <v/>
      </c>
      <c r="K792" t="s">
        <v>1098</v>
      </c>
      <c r="L792" s="1">
        <v>3145.99</v>
      </c>
      <c r="M792" s="1" t="s">
        <v>121</v>
      </c>
      <c r="N792" s="1" t="s">
        <v>18</v>
      </c>
    </row>
    <row r="793" spans="1:16" ht="15.75" customHeight="1" x14ac:dyDescent="0.35">
      <c r="A793" s="1" t="s">
        <v>137</v>
      </c>
      <c r="C793" s="1" t="s">
        <v>112</v>
      </c>
      <c r="D793" s="1" t="s">
        <v>940</v>
      </c>
      <c r="E793" s="1" t="s">
        <v>16</v>
      </c>
      <c r="F793" s="1" t="s">
        <v>93</v>
      </c>
      <c r="G793" s="1" t="s">
        <v>24</v>
      </c>
      <c r="I793">
        <f>IF(Table1[[#This Row],[Claim_Amount]]&lt;0,0,Table1[[#This Row],[Claim_Amount]])</f>
        <v>0</v>
      </c>
      <c r="J793" t="str">
        <f>IF(Table1[[#This Row],[Column1]]=0,"",Table1[[#This Row],[Column1]])</f>
        <v/>
      </c>
      <c r="K793" t="s">
        <v>1098</v>
      </c>
      <c r="M793" s="1" t="s">
        <v>25</v>
      </c>
      <c r="N793" s="1" t="s">
        <v>18</v>
      </c>
      <c r="P793" s="1" t="s">
        <v>65</v>
      </c>
    </row>
    <row r="794" spans="1:16" ht="15.75" customHeight="1" x14ac:dyDescent="0.35">
      <c r="A794" s="1" t="s">
        <v>132</v>
      </c>
      <c r="D794" s="1" t="s">
        <v>813</v>
      </c>
      <c r="E794" s="1" t="s">
        <v>92</v>
      </c>
      <c r="F794" s="1" t="s">
        <v>93</v>
      </c>
      <c r="G794" s="1" t="s">
        <v>48</v>
      </c>
      <c r="I794">
        <f>IF(Table1[[#This Row],[Claim_Amount]]&lt;0,0,Table1[[#This Row],[Claim_Amount]])</f>
        <v>0</v>
      </c>
      <c r="J794" t="str">
        <f>IF(Table1[[#This Row],[Column1]]=0,"",Table1[[#This Row],[Column1]])</f>
        <v/>
      </c>
      <c r="K794" t="s">
        <v>1098</v>
      </c>
      <c r="M794" s="1" t="s">
        <v>42</v>
      </c>
      <c r="N794" s="1" t="s">
        <v>32</v>
      </c>
      <c r="O794" s="1">
        <v>48</v>
      </c>
      <c r="P794" s="1" t="s">
        <v>19</v>
      </c>
    </row>
    <row r="795" spans="1:16" ht="15.75" customHeight="1" x14ac:dyDescent="0.35">
      <c r="A795" s="1" t="s">
        <v>82</v>
      </c>
      <c r="C795" s="1" t="s">
        <v>471</v>
      </c>
      <c r="D795" s="1" t="s">
        <v>172</v>
      </c>
      <c r="E795" s="1" t="s">
        <v>22</v>
      </c>
      <c r="G795" s="1" t="s">
        <v>48</v>
      </c>
      <c r="H795" s="1">
        <v>109.39</v>
      </c>
      <c r="I795" s="1">
        <f>IF(Table1[[#This Row],[Claim_Amount]]&lt;0,0,Table1[[#This Row],[Claim_Amount]])</f>
        <v>109.39</v>
      </c>
      <c r="J795" s="1">
        <f>IF(Table1[[#This Row],[Column1]]=0,"",Table1[[#This Row],[Column1]])</f>
        <v>109.39</v>
      </c>
      <c r="K795" s="1">
        <v>109.39</v>
      </c>
      <c r="M795" s="1" t="s">
        <v>36</v>
      </c>
      <c r="N795" s="1" t="s">
        <v>26</v>
      </c>
      <c r="P795" s="1" t="s">
        <v>27</v>
      </c>
    </row>
    <row r="796" spans="1:16" ht="15.75" customHeight="1" x14ac:dyDescent="0.35">
      <c r="A796" s="1" t="s">
        <v>215</v>
      </c>
      <c r="D796" s="1" t="s">
        <v>941</v>
      </c>
      <c r="E796" s="1" t="s">
        <v>30</v>
      </c>
      <c r="G796" s="1" t="s">
        <v>24</v>
      </c>
      <c r="H796" s="1">
        <v>1179.1500000000001</v>
      </c>
      <c r="I796" s="1">
        <f>IF(Table1[[#This Row],[Claim_Amount]]&lt;0,0,Table1[[#This Row],[Claim_Amount]])</f>
        <v>1179.1500000000001</v>
      </c>
      <c r="J796" s="1">
        <f>IF(Table1[[#This Row],[Column1]]=0,"",Table1[[#This Row],[Column1]])</f>
        <v>1179.1500000000001</v>
      </c>
      <c r="K796" s="1">
        <v>1179.1500000000001</v>
      </c>
      <c r="M796" s="1" t="s">
        <v>121</v>
      </c>
      <c r="N796" s="1" t="s">
        <v>49</v>
      </c>
      <c r="P796" s="1" t="s">
        <v>37</v>
      </c>
    </row>
    <row r="797" spans="1:16" ht="15.75" customHeight="1" x14ac:dyDescent="0.35">
      <c r="A797" s="1" t="s">
        <v>173</v>
      </c>
      <c r="B797" s="1" t="s">
        <v>942</v>
      </c>
      <c r="D797" s="1" t="s">
        <v>603</v>
      </c>
      <c r="E797" s="1" t="s">
        <v>77</v>
      </c>
      <c r="G797" s="1" t="s">
        <v>24</v>
      </c>
      <c r="H797" s="1">
        <v>-13</v>
      </c>
      <c r="I797" s="1">
        <f>IF(Table1[[#This Row],[Claim_Amount]]&lt;0,0,Table1[[#This Row],[Claim_Amount]])</f>
        <v>0</v>
      </c>
      <c r="J797" s="1" t="str">
        <f>IF(Table1[[#This Row],[Column1]]=0,"",Table1[[#This Row],[Column1]])</f>
        <v/>
      </c>
      <c r="K797" s="1" t="s">
        <v>1098</v>
      </c>
      <c r="M797" s="1" t="s">
        <v>17</v>
      </c>
      <c r="N797" s="1" t="s">
        <v>18</v>
      </c>
      <c r="O797" s="1">
        <v>37</v>
      </c>
      <c r="P797" s="1" t="s">
        <v>65</v>
      </c>
    </row>
    <row r="798" spans="1:16" ht="15.75" customHeight="1" x14ac:dyDescent="0.35">
      <c r="A798" s="1" t="s">
        <v>108</v>
      </c>
      <c r="C798" s="1" t="s">
        <v>458</v>
      </c>
      <c r="D798" s="1" t="s">
        <v>845</v>
      </c>
      <c r="E798" s="1" t="s">
        <v>77</v>
      </c>
      <c r="F798" s="1" t="s">
        <v>53</v>
      </c>
      <c r="G798" s="1" t="s">
        <v>24</v>
      </c>
      <c r="I798">
        <f>IF(Table1[[#This Row],[Claim_Amount]]&lt;0,0,Table1[[#This Row],[Claim_Amount]])</f>
        <v>0</v>
      </c>
      <c r="J798" t="str">
        <f>IF(Table1[[#This Row],[Column1]]=0,"",Table1[[#This Row],[Column1]])</f>
        <v/>
      </c>
      <c r="K798" t="s">
        <v>1098</v>
      </c>
      <c r="M798" s="1" t="s">
        <v>36</v>
      </c>
      <c r="N798" s="1" t="s">
        <v>49</v>
      </c>
      <c r="P798" s="1" t="s">
        <v>65</v>
      </c>
    </row>
    <row r="799" spans="1:16" ht="15.75" customHeight="1" x14ac:dyDescent="0.35">
      <c r="A799" s="1" t="s">
        <v>117</v>
      </c>
      <c r="B799" s="1" t="s">
        <v>943</v>
      </c>
      <c r="C799" s="1" t="s">
        <v>518</v>
      </c>
      <c r="D799" s="1" t="s">
        <v>835</v>
      </c>
      <c r="E799" s="1" t="s">
        <v>30</v>
      </c>
      <c r="F799" s="1" t="s">
        <v>31</v>
      </c>
      <c r="G799" s="1" t="s">
        <v>24</v>
      </c>
      <c r="I799">
        <f>IF(Table1[[#This Row],[Claim_Amount]]&lt;0,0,Table1[[#This Row],[Claim_Amount]])</f>
        <v>0</v>
      </c>
      <c r="J799" t="str">
        <f>IF(Table1[[#This Row],[Column1]]=0,"",Table1[[#This Row],[Column1]])</f>
        <v/>
      </c>
      <c r="K799" t="s">
        <v>1098</v>
      </c>
      <c r="L799" s="1">
        <v>2110.91</v>
      </c>
      <c r="M799" s="1" t="s">
        <v>42</v>
      </c>
      <c r="N799" s="1" t="s">
        <v>18</v>
      </c>
      <c r="P799" s="1" t="s">
        <v>27</v>
      </c>
    </row>
    <row r="800" spans="1:16" ht="15.75" customHeight="1" x14ac:dyDescent="0.35">
      <c r="A800" s="1" t="s">
        <v>275</v>
      </c>
      <c r="C800" s="1" t="s">
        <v>263</v>
      </c>
      <c r="D800" s="1" t="s">
        <v>944</v>
      </c>
      <c r="E800" s="1" t="s">
        <v>92</v>
      </c>
      <c r="G800" s="1" t="s">
        <v>41</v>
      </c>
      <c r="I800">
        <f>IF(Table1[[#This Row],[Claim_Amount]]&lt;0,0,Table1[[#This Row],[Claim_Amount]])</f>
        <v>0</v>
      </c>
      <c r="J800" t="str">
        <f>IF(Table1[[#This Row],[Column1]]=0,"",Table1[[#This Row],[Column1]])</f>
        <v/>
      </c>
      <c r="K800" t="s">
        <v>1098</v>
      </c>
      <c r="M800" s="1" t="s">
        <v>25</v>
      </c>
      <c r="N800" s="1" t="s">
        <v>26</v>
      </c>
      <c r="P800" s="1" t="s">
        <v>37</v>
      </c>
    </row>
    <row r="801" spans="1:16" ht="15.75" customHeight="1" x14ac:dyDescent="0.35">
      <c r="A801" s="1" t="s">
        <v>170</v>
      </c>
      <c r="C801" s="1" t="s">
        <v>614</v>
      </c>
      <c r="D801" s="1" t="s">
        <v>875</v>
      </c>
      <c r="E801" s="1" t="s">
        <v>30</v>
      </c>
      <c r="F801" s="1" t="s">
        <v>31</v>
      </c>
      <c r="G801" s="1" t="s">
        <v>54</v>
      </c>
      <c r="I801">
        <f>IF(Table1[[#This Row],[Claim_Amount]]&lt;0,0,Table1[[#This Row],[Claim_Amount]])</f>
        <v>0</v>
      </c>
      <c r="J801" t="str">
        <f>IF(Table1[[#This Row],[Column1]]=0,"",Table1[[#This Row],[Column1]])</f>
        <v/>
      </c>
      <c r="K801" t="s">
        <v>1098</v>
      </c>
      <c r="M801" s="1" t="s">
        <v>36</v>
      </c>
      <c r="N801" s="1" t="s">
        <v>18</v>
      </c>
    </row>
    <row r="802" spans="1:16" ht="15.75" customHeight="1" x14ac:dyDescent="0.35">
      <c r="A802" s="1" t="s">
        <v>170</v>
      </c>
      <c r="D802" s="1" t="s">
        <v>223</v>
      </c>
      <c r="E802" s="1" t="s">
        <v>77</v>
      </c>
      <c r="F802" s="1" t="s">
        <v>93</v>
      </c>
      <c r="G802" s="1" t="s">
        <v>54</v>
      </c>
      <c r="H802" s="1">
        <v>-145</v>
      </c>
      <c r="I802" s="1">
        <f>IF(Table1[[#This Row],[Claim_Amount]]&lt;0,0,Table1[[#This Row],[Claim_Amount]])</f>
        <v>0</v>
      </c>
      <c r="J802" s="1" t="str">
        <f>IF(Table1[[#This Row],[Column1]]=0,"",Table1[[#This Row],[Column1]])</f>
        <v/>
      </c>
      <c r="K802" s="1" t="s">
        <v>1098</v>
      </c>
      <c r="M802" s="1" t="s">
        <v>42</v>
      </c>
      <c r="N802" s="1" t="s">
        <v>26</v>
      </c>
      <c r="P802" s="1" t="s">
        <v>65</v>
      </c>
    </row>
    <row r="803" spans="1:16" ht="15.75" customHeight="1" x14ac:dyDescent="0.35">
      <c r="A803" s="1" t="s">
        <v>179</v>
      </c>
      <c r="C803" s="1" t="s">
        <v>314</v>
      </c>
      <c r="D803" s="1" t="s">
        <v>945</v>
      </c>
      <c r="E803" s="1" t="s">
        <v>85</v>
      </c>
      <c r="G803" s="1" t="s">
        <v>61</v>
      </c>
      <c r="H803" s="1">
        <v>-168</v>
      </c>
      <c r="I803" s="1">
        <f>IF(Table1[[#This Row],[Claim_Amount]]&lt;0,0,Table1[[#This Row],[Claim_Amount]])</f>
        <v>0</v>
      </c>
      <c r="J803" s="1" t="str">
        <f>IF(Table1[[#This Row],[Column1]]=0,"",Table1[[#This Row],[Column1]])</f>
        <v/>
      </c>
      <c r="K803" s="1" t="s">
        <v>1098</v>
      </c>
      <c r="M803" s="1" t="s">
        <v>42</v>
      </c>
      <c r="N803" s="1" t="s">
        <v>49</v>
      </c>
    </row>
    <row r="804" spans="1:16" ht="15.75" customHeight="1" x14ac:dyDescent="0.35">
      <c r="A804" s="1" t="s">
        <v>212</v>
      </c>
      <c r="B804" s="1" t="s">
        <v>946</v>
      </c>
      <c r="C804" s="1" t="s">
        <v>440</v>
      </c>
      <c r="D804" s="1" t="s">
        <v>947</v>
      </c>
      <c r="E804" s="1" t="s">
        <v>22</v>
      </c>
      <c r="F804" s="1" t="s">
        <v>47</v>
      </c>
      <c r="G804" s="1" t="s">
        <v>41</v>
      </c>
      <c r="H804" s="1">
        <v>-106</v>
      </c>
      <c r="I804" s="1">
        <f>IF(Table1[[#This Row],[Claim_Amount]]&lt;0,0,Table1[[#This Row],[Claim_Amount]])</f>
        <v>0</v>
      </c>
      <c r="J804" s="1" t="str">
        <f>IF(Table1[[#This Row],[Column1]]=0,"",Table1[[#This Row],[Column1]])</f>
        <v/>
      </c>
      <c r="K804" s="1" t="s">
        <v>1098</v>
      </c>
      <c r="L804" s="1">
        <v>3518.2</v>
      </c>
      <c r="M804" s="1" t="s">
        <v>42</v>
      </c>
      <c r="N804" s="1" t="s">
        <v>32</v>
      </c>
      <c r="O804" s="1">
        <v>13</v>
      </c>
      <c r="P804" s="1" t="s">
        <v>27</v>
      </c>
    </row>
    <row r="805" spans="1:16" ht="15.75" customHeight="1" x14ac:dyDescent="0.35">
      <c r="A805" s="1" t="s">
        <v>105</v>
      </c>
      <c r="D805" s="1" t="s">
        <v>233</v>
      </c>
      <c r="E805" s="1" t="s">
        <v>77</v>
      </c>
      <c r="G805" s="1" t="s">
        <v>48</v>
      </c>
      <c r="H805" s="1">
        <v>-162</v>
      </c>
      <c r="I805" s="1">
        <f>IF(Table1[[#This Row],[Claim_Amount]]&lt;0,0,Table1[[#This Row],[Claim_Amount]])</f>
        <v>0</v>
      </c>
      <c r="J805" s="1" t="str">
        <f>IF(Table1[[#This Row],[Column1]]=0,"",Table1[[#This Row],[Column1]])</f>
        <v/>
      </c>
      <c r="K805" s="1" t="s">
        <v>1098</v>
      </c>
      <c r="L805" s="1">
        <v>3804.38</v>
      </c>
      <c r="M805" s="1" t="s">
        <v>42</v>
      </c>
      <c r="N805" s="1" t="s">
        <v>49</v>
      </c>
      <c r="O805" s="1">
        <v>17</v>
      </c>
    </row>
    <row r="806" spans="1:16" ht="15.75" customHeight="1" x14ac:dyDescent="0.35">
      <c r="A806" s="1" t="s">
        <v>173</v>
      </c>
      <c r="B806" s="1" t="s">
        <v>948</v>
      </c>
      <c r="C806" s="1" t="s">
        <v>463</v>
      </c>
      <c r="D806" s="1" t="s">
        <v>783</v>
      </c>
      <c r="E806" s="1" t="s">
        <v>22</v>
      </c>
      <c r="F806" s="1" t="s">
        <v>31</v>
      </c>
      <c r="G806" s="1" t="s">
        <v>54</v>
      </c>
      <c r="I806">
        <f>IF(Table1[[#This Row],[Claim_Amount]]&lt;0,0,Table1[[#This Row],[Claim_Amount]])</f>
        <v>0</v>
      </c>
      <c r="J806" t="str">
        <f>IF(Table1[[#This Row],[Column1]]=0,"",Table1[[#This Row],[Column1]])</f>
        <v/>
      </c>
      <c r="K806" t="s">
        <v>1098</v>
      </c>
      <c r="M806" s="1" t="s">
        <v>36</v>
      </c>
      <c r="N806" s="1" t="s">
        <v>26</v>
      </c>
      <c r="P806" s="1" t="s">
        <v>27</v>
      </c>
    </row>
    <row r="807" spans="1:16" ht="15.75" customHeight="1" x14ac:dyDescent="0.35">
      <c r="A807" s="1" t="s">
        <v>78</v>
      </c>
      <c r="C807" s="1" t="s">
        <v>263</v>
      </c>
      <c r="D807" s="1" t="s">
        <v>736</v>
      </c>
      <c r="E807" s="1" t="s">
        <v>22</v>
      </c>
      <c r="F807" s="1" t="s">
        <v>47</v>
      </c>
      <c r="G807" s="1" t="s">
        <v>61</v>
      </c>
      <c r="I807">
        <f>IF(Table1[[#This Row],[Claim_Amount]]&lt;0,0,Table1[[#This Row],[Claim_Amount]])</f>
        <v>0</v>
      </c>
      <c r="J807" t="str">
        <f>IF(Table1[[#This Row],[Column1]]=0,"",Table1[[#This Row],[Column1]])</f>
        <v/>
      </c>
      <c r="K807" t="s">
        <v>1098</v>
      </c>
      <c r="L807" s="1">
        <v>2508.5500000000002</v>
      </c>
      <c r="M807" s="1" t="s">
        <v>17</v>
      </c>
      <c r="N807" s="1" t="s">
        <v>18</v>
      </c>
      <c r="P807" s="1" t="s">
        <v>65</v>
      </c>
    </row>
    <row r="808" spans="1:16" ht="15.75" customHeight="1" x14ac:dyDescent="0.35">
      <c r="A808" s="1" t="s">
        <v>137</v>
      </c>
      <c r="B808" s="1" t="s">
        <v>949</v>
      </c>
      <c r="D808" s="1" t="s">
        <v>554</v>
      </c>
      <c r="E808" s="1" t="s">
        <v>92</v>
      </c>
      <c r="F808" s="1" t="s">
        <v>23</v>
      </c>
      <c r="G808" s="1" t="s">
        <v>48</v>
      </c>
      <c r="H808" s="1">
        <v>-25</v>
      </c>
      <c r="I808" s="1">
        <f>IF(Table1[[#This Row],[Claim_Amount]]&lt;0,0,Table1[[#This Row],[Claim_Amount]])</f>
        <v>0</v>
      </c>
      <c r="J808" s="1" t="str">
        <f>IF(Table1[[#This Row],[Column1]]=0,"",Table1[[#This Row],[Column1]])</f>
        <v/>
      </c>
      <c r="K808" s="1" t="s">
        <v>1098</v>
      </c>
      <c r="M808" s="1" t="s">
        <v>17</v>
      </c>
      <c r="N808" s="1" t="s">
        <v>57</v>
      </c>
      <c r="O808" s="1">
        <v>52</v>
      </c>
      <c r="P808" s="1" t="s">
        <v>65</v>
      </c>
    </row>
    <row r="809" spans="1:16" ht="15.75" customHeight="1" x14ac:dyDescent="0.35">
      <c r="A809" s="1" t="s">
        <v>215</v>
      </c>
      <c r="B809" s="1" t="s">
        <v>950</v>
      </c>
      <c r="D809" s="1" t="s">
        <v>400</v>
      </c>
      <c r="E809" s="1" t="s">
        <v>35</v>
      </c>
      <c r="F809" s="1" t="s">
        <v>47</v>
      </c>
      <c r="G809" s="1" t="s">
        <v>61</v>
      </c>
      <c r="I809">
        <f>IF(Table1[[#This Row],[Claim_Amount]]&lt;0,0,Table1[[#This Row],[Claim_Amount]])</f>
        <v>0</v>
      </c>
      <c r="J809" t="str">
        <f>IF(Table1[[#This Row],[Column1]]=0,"",Table1[[#This Row],[Column1]])</f>
        <v/>
      </c>
      <c r="K809" t="s">
        <v>1098</v>
      </c>
      <c r="L809" s="1">
        <v>2419.5300000000002</v>
      </c>
      <c r="M809" s="1" t="s">
        <v>17</v>
      </c>
      <c r="N809" s="1" t="s">
        <v>18</v>
      </c>
      <c r="O809" s="1">
        <v>60</v>
      </c>
      <c r="P809" s="1" t="s">
        <v>65</v>
      </c>
    </row>
    <row r="810" spans="1:16" ht="15.75" customHeight="1" x14ac:dyDescent="0.35">
      <c r="A810" s="1" t="s">
        <v>163</v>
      </c>
      <c r="D810" s="1" t="s">
        <v>951</v>
      </c>
      <c r="E810" s="1" t="s">
        <v>16</v>
      </c>
      <c r="H810" s="1">
        <v>3500.77</v>
      </c>
      <c r="I810" s="1">
        <f>IF(Table1[[#This Row],[Claim_Amount]]&lt;0,0,Table1[[#This Row],[Claim_Amount]])</f>
        <v>3500.77</v>
      </c>
      <c r="J810" s="1">
        <f>IF(Table1[[#This Row],[Column1]]=0,"",Table1[[#This Row],[Column1]])</f>
        <v>3500.77</v>
      </c>
      <c r="K810" s="1">
        <v>3500.77</v>
      </c>
      <c r="M810" s="1" t="s">
        <v>25</v>
      </c>
      <c r="N810" s="1" t="s">
        <v>18</v>
      </c>
      <c r="P810" s="1" t="s">
        <v>37</v>
      </c>
    </row>
    <row r="811" spans="1:16" ht="15.75" customHeight="1" x14ac:dyDescent="0.35">
      <c r="A811" s="1" t="s">
        <v>89</v>
      </c>
      <c r="D811" s="1" t="s">
        <v>952</v>
      </c>
      <c r="E811" s="1" t="s">
        <v>85</v>
      </c>
      <c r="F811" s="1" t="s">
        <v>47</v>
      </c>
      <c r="G811" s="1" t="s">
        <v>61</v>
      </c>
      <c r="I811">
        <f>IF(Table1[[#This Row],[Claim_Amount]]&lt;0,0,Table1[[#This Row],[Claim_Amount]])</f>
        <v>0</v>
      </c>
      <c r="J811" t="str">
        <f>IF(Table1[[#This Row],[Column1]]=0,"",Table1[[#This Row],[Column1]])</f>
        <v/>
      </c>
      <c r="K811" t="s">
        <v>1098</v>
      </c>
      <c r="M811" s="1" t="s">
        <v>36</v>
      </c>
      <c r="N811" s="1" t="s">
        <v>49</v>
      </c>
      <c r="O811" s="1">
        <v>10</v>
      </c>
    </row>
    <row r="812" spans="1:16" ht="15.75" customHeight="1" x14ac:dyDescent="0.35">
      <c r="A812" s="1" t="s">
        <v>247</v>
      </c>
      <c r="B812" s="1" t="s">
        <v>953</v>
      </c>
      <c r="D812" s="1" t="s">
        <v>954</v>
      </c>
      <c r="E812" s="1" t="s">
        <v>77</v>
      </c>
      <c r="F812" s="1" t="s">
        <v>23</v>
      </c>
      <c r="G812" s="1" t="s">
        <v>48</v>
      </c>
      <c r="H812" s="1">
        <v>-176</v>
      </c>
      <c r="I812" s="1">
        <f>IF(Table1[[#This Row],[Claim_Amount]]&lt;0,0,Table1[[#This Row],[Claim_Amount]])</f>
        <v>0</v>
      </c>
      <c r="J812" s="1" t="str">
        <f>IF(Table1[[#This Row],[Column1]]=0,"",Table1[[#This Row],[Column1]])</f>
        <v/>
      </c>
      <c r="K812" s="1" t="s">
        <v>1098</v>
      </c>
      <c r="L812" s="1">
        <v>1062.72</v>
      </c>
      <c r="M812" s="1" t="s">
        <v>25</v>
      </c>
      <c r="N812" s="1" t="s">
        <v>49</v>
      </c>
      <c r="O812" s="1">
        <v>51</v>
      </c>
      <c r="P812" s="1" t="s">
        <v>65</v>
      </c>
    </row>
    <row r="813" spans="1:16" ht="15.75" customHeight="1" x14ac:dyDescent="0.35">
      <c r="A813" s="1" t="s">
        <v>212</v>
      </c>
      <c r="D813" s="1" t="s">
        <v>91</v>
      </c>
      <c r="E813" s="1" t="s">
        <v>22</v>
      </c>
      <c r="F813" s="1" t="s">
        <v>31</v>
      </c>
      <c r="G813" s="1" t="s">
        <v>41</v>
      </c>
      <c r="I813">
        <f>IF(Table1[[#This Row],[Claim_Amount]]&lt;0,0,Table1[[#This Row],[Claim_Amount]])</f>
        <v>0</v>
      </c>
      <c r="J813" t="str">
        <f>IF(Table1[[#This Row],[Column1]]=0,"",Table1[[#This Row],[Column1]])</f>
        <v/>
      </c>
      <c r="K813" t="s">
        <v>1098</v>
      </c>
      <c r="M813" s="1" t="s">
        <v>17</v>
      </c>
      <c r="N813" s="1" t="s">
        <v>57</v>
      </c>
      <c r="P813" s="1" t="s">
        <v>19</v>
      </c>
    </row>
    <row r="814" spans="1:16" ht="15.75" customHeight="1" x14ac:dyDescent="0.35">
      <c r="A814" s="1" t="s">
        <v>187</v>
      </c>
      <c r="D814" s="1" t="s">
        <v>955</v>
      </c>
      <c r="E814" s="1" t="s">
        <v>30</v>
      </c>
      <c r="F814" s="1" t="s">
        <v>93</v>
      </c>
      <c r="G814" s="1" t="s">
        <v>48</v>
      </c>
      <c r="I814">
        <f>IF(Table1[[#This Row],[Claim_Amount]]&lt;0,0,Table1[[#This Row],[Claim_Amount]])</f>
        <v>0</v>
      </c>
      <c r="J814" t="str">
        <f>IF(Table1[[#This Row],[Column1]]=0,"",Table1[[#This Row],[Column1]])</f>
        <v/>
      </c>
      <c r="K814" t="s">
        <v>1098</v>
      </c>
      <c r="M814" s="1" t="s">
        <v>17</v>
      </c>
      <c r="N814" s="1" t="s">
        <v>26</v>
      </c>
      <c r="O814" s="1">
        <v>39</v>
      </c>
      <c r="P814" s="1" t="s">
        <v>19</v>
      </c>
    </row>
    <row r="815" spans="1:16" ht="15.75" customHeight="1" x14ac:dyDescent="0.35">
      <c r="A815" s="1" t="s">
        <v>105</v>
      </c>
      <c r="B815" s="1" t="s">
        <v>956</v>
      </c>
      <c r="D815" s="1" t="s">
        <v>320</v>
      </c>
      <c r="E815" s="1" t="s">
        <v>35</v>
      </c>
      <c r="F815" s="1" t="s">
        <v>47</v>
      </c>
      <c r="G815" s="1" t="s">
        <v>24</v>
      </c>
      <c r="I815">
        <f>IF(Table1[[#This Row],[Claim_Amount]]&lt;0,0,Table1[[#This Row],[Claim_Amount]])</f>
        <v>0</v>
      </c>
      <c r="J815" t="str">
        <f>IF(Table1[[#This Row],[Column1]]=0,"",Table1[[#This Row],[Column1]])</f>
        <v/>
      </c>
      <c r="K815" t="s">
        <v>1098</v>
      </c>
      <c r="M815" s="1" t="s">
        <v>42</v>
      </c>
      <c r="N815" s="1" t="s">
        <v>26</v>
      </c>
      <c r="P815" s="1" t="s">
        <v>19</v>
      </c>
    </row>
    <row r="816" spans="1:16" ht="15.75" customHeight="1" x14ac:dyDescent="0.35">
      <c r="A816" s="1" t="s">
        <v>192</v>
      </c>
      <c r="B816" s="1" t="s">
        <v>847</v>
      </c>
      <c r="D816" s="1" t="s">
        <v>957</v>
      </c>
      <c r="E816" s="1" t="s">
        <v>16</v>
      </c>
      <c r="H816" s="1">
        <v>-17</v>
      </c>
      <c r="I816" s="1">
        <f>IF(Table1[[#This Row],[Claim_Amount]]&lt;0,0,Table1[[#This Row],[Claim_Amount]])</f>
        <v>0</v>
      </c>
      <c r="J816" s="1" t="str">
        <f>IF(Table1[[#This Row],[Column1]]=0,"",Table1[[#This Row],[Column1]])</f>
        <v/>
      </c>
      <c r="K816" s="1" t="s">
        <v>1098</v>
      </c>
      <c r="L816" s="1">
        <v>914.18</v>
      </c>
      <c r="M816" s="1" t="s">
        <v>25</v>
      </c>
      <c r="N816" s="1" t="s">
        <v>18</v>
      </c>
    </row>
    <row r="817" spans="1:16" ht="15.75" customHeight="1" x14ac:dyDescent="0.35">
      <c r="A817" s="1" t="s">
        <v>38</v>
      </c>
      <c r="B817" s="1" t="s">
        <v>310</v>
      </c>
      <c r="D817" s="1" t="s">
        <v>690</v>
      </c>
      <c r="E817" s="1" t="s">
        <v>16</v>
      </c>
      <c r="F817" s="1" t="s">
        <v>53</v>
      </c>
      <c r="H817" s="1">
        <v>-19</v>
      </c>
      <c r="I817" s="1">
        <f>IF(Table1[[#This Row],[Claim_Amount]]&lt;0,0,Table1[[#This Row],[Claim_Amount]])</f>
        <v>0</v>
      </c>
      <c r="J817" s="1" t="str">
        <f>IF(Table1[[#This Row],[Column1]]=0,"",Table1[[#This Row],[Column1]])</f>
        <v/>
      </c>
      <c r="K817" s="1" t="s">
        <v>1098</v>
      </c>
      <c r="M817" s="1" t="s">
        <v>121</v>
      </c>
      <c r="N817" s="1" t="s">
        <v>18</v>
      </c>
      <c r="P817" s="1" t="s">
        <v>19</v>
      </c>
    </row>
    <row r="818" spans="1:16" ht="15.75" customHeight="1" x14ac:dyDescent="0.35">
      <c r="A818" s="1" t="s">
        <v>249</v>
      </c>
      <c r="D818" s="1" t="s">
        <v>145</v>
      </c>
      <c r="E818" s="1" t="s">
        <v>35</v>
      </c>
      <c r="F818" s="1" t="s">
        <v>31</v>
      </c>
      <c r="G818" s="1" t="s">
        <v>24</v>
      </c>
      <c r="H818" s="1">
        <v>1212.3499999999999</v>
      </c>
      <c r="I818" s="1">
        <f>IF(Table1[[#This Row],[Claim_Amount]]&lt;0,0,Table1[[#This Row],[Claim_Amount]])</f>
        <v>1212.3499999999999</v>
      </c>
      <c r="J818" s="1">
        <f>IF(Table1[[#This Row],[Column1]]=0,"",Table1[[#This Row],[Column1]])</f>
        <v>1212.3499999999999</v>
      </c>
      <c r="K818" s="1">
        <v>1212.3499999999999</v>
      </c>
      <c r="L818" s="1">
        <v>4979.3999999999996</v>
      </c>
      <c r="M818" s="1" t="s">
        <v>36</v>
      </c>
      <c r="N818" s="1" t="s">
        <v>49</v>
      </c>
      <c r="P818" s="1" t="s">
        <v>37</v>
      </c>
    </row>
    <row r="819" spans="1:16" ht="15.75" customHeight="1" x14ac:dyDescent="0.35">
      <c r="A819" s="1" t="s">
        <v>179</v>
      </c>
      <c r="C819" s="1" t="s">
        <v>133</v>
      </c>
      <c r="D819" s="1" t="s">
        <v>559</v>
      </c>
      <c r="E819" s="1" t="s">
        <v>92</v>
      </c>
      <c r="F819" s="1" t="s">
        <v>53</v>
      </c>
      <c r="G819" s="1" t="s">
        <v>48</v>
      </c>
      <c r="I819">
        <f>IF(Table1[[#This Row],[Claim_Amount]]&lt;0,0,Table1[[#This Row],[Claim_Amount]])</f>
        <v>0</v>
      </c>
      <c r="J819" t="str">
        <f>IF(Table1[[#This Row],[Column1]]=0,"",Table1[[#This Row],[Column1]])</f>
        <v/>
      </c>
      <c r="K819" t="s">
        <v>1098</v>
      </c>
      <c r="M819" s="1" t="s">
        <v>17</v>
      </c>
      <c r="N819" s="1" t="s">
        <v>32</v>
      </c>
      <c r="P819" s="1" t="s">
        <v>27</v>
      </c>
    </row>
    <row r="820" spans="1:16" ht="15.75" customHeight="1" x14ac:dyDescent="0.35">
      <c r="A820" s="1" t="s">
        <v>70</v>
      </c>
      <c r="D820" s="1" t="s">
        <v>958</v>
      </c>
      <c r="E820" s="1" t="s">
        <v>22</v>
      </c>
      <c r="G820" s="1" t="s">
        <v>48</v>
      </c>
      <c r="I820">
        <f>IF(Table1[[#This Row],[Claim_Amount]]&lt;0,0,Table1[[#This Row],[Claim_Amount]])</f>
        <v>0</v>
      </c>
      <c r="J820" t="str">
        <f>IF(Table1[[#This Row],[Column1]]=0,"",Table1[[#This Row],[Column1]])</f>
        <v/>
      </c>
      <c r="K820" t="s">
        <v>1098</v>
      </c>
      <c r="L820" s="1">
        <v>4808.8599999999997</v>
      </c>
      <c r="M820" s="1" t="s">
        <v>36</v>
      </c>
      <c r="N820" s="1" t="s">
        <v>32</v>
      </c>
      <c r="O820" s="1">
        <v>56</v>
      </c>
      <c r="P820" s="1" t="s">
        <v>27</v>
      </c>
    </row>
    <row r="821" spans="1:16" ht="15.75" customHeight="1" x14ac:dyDescent="0.35">
      <c r="A821" s="1" t="s">
        <v>28</v>
      </c>
      <c r="C821" s="1" t="s">
        <v>232</v>
      </c>
      <c r="D821" s="1" t="s">
        <v>813</v>
      </c>
      <c r="E821" s="1" t="s">
        <v>85</v>
      </c>
      <c r="F821" s="1" t="s">
        <v>47</v>
      </c>
      <c r="G821" s="1" t="s">
        <v>41</v>
      </c>
      <c r="I821">
        <f>IF(Table1[[#This Row],[Claim_Amount]]&lt;0,0,Table1[[#This Row],[Claim_Amount]])</f>
        <v>0</v>
      </c>
      <c r="J821" t="str">
        <f>IF(Table1[[#This Row],[Column1]]=0,"",Table1[[#This Row],[Column1]])</f>
        <v/>
      </c>
      <c r="K821" t="s">
        <v>1098</v>
      </c>
      <c r="M821" s="1" t="s">
        <v>17</v>
      </c>
      <c r="N821" s="1" t="s">
        <v>18</v>
      </c>
      <c r="P821" s="1" t="s">
        <v>37</v>
      </c>
    </row>
    <row r="822" spans="1:16" ht="15.75" customHeight="1" x14ac:dyDescent="0.35">
      <c r="A822" s="1" t="s">
        <v>96</v>
      </c>
      <c r="B822" s="1" t="s">
        <v>959</v>
      </c>
      <c r="C822" s="1" t="s">
        <v>613</v>
      </c>
      <c r="D822" s="1" t="s">
        <v>670</v>
      </c>
      <c r="E822" s="1" t="s">
        <v>92</v>
      </c>
      <c r="F822" s="1" t="s">
        <v>47</v>
      </c>
      <c r="I822">
        <f>IF(Table1[[#This Row],[Claim_Amount]]&lt;0,0,Table1[[#This Row],[Claim_Amount]])</f>
        <v>0</v>
      </c>
      <c r="J822" t="str">
        <f>IF(Table1[[#This Row],[Column1]]=0,"",Table1[[#This Row],[Column1]])</f>
        <v/>
      </c>
      <c r="K822" t="s">
        <v>1098</v>
      </c>
      <c r="M822" s="1" t="s">
        <v>121</v>
      </c>
      <c r="N822" s="1" t="s">
        <v>26</v>
      </c>
      <c r="P822" s="1" t="s">
        <v>27</v>
      </c>
    </row>
    <row r="823" spans="1:16" ht="15.75" customHeight="1" x14ac:dyDescent="0.35">
      <c r="A823" s="1" t="s">
        <v>20</v>
      </c>
      <c r="D823" s="1" t="s">
        <v>960</v>
      </c>
      <c r="E823" s="1" t="s">
        <v>77</v>
      </c>
      <c r="G823" s="1" t="s">
        <v>61</v>
      </c>
      <c r="H823" s="1">
        <v>-174</v>
      </c>
      <c r="I823" s="1">
        <f>IF(Table1[[#This Row],[Claim_Amount]]&lt;0,0,Table1[[#This Row],[Claim_Amount]])</f>
        <v>0</v>
      </c>
      <c r="J823" s="1" t="str">
        <f>IF(Table1[[#This Row],[Column1]]=0,"",Table1[[#This Row],[Column1]])</f>
        <v/>
      </c>
      <c r="K823" s="1" t="s">
        <v>1098</v>
      </c>
      <c r="M823" s="1" t="s">
        <v>17</v>
      </c>
      <c r="N823" s="1" t="s">
        <v>26</v>
      </c>
      <c r="P823" s="1" t="s">
        <v>19</v>
      </c>
    </row>
    <row r="824" spans="1:16" ht="15.75" customHeight="1" x14ac:dyDescent="0.35">
      <c r="A824" s="1" t="s">
        <v>117</v>
      </c>
      <c r="B824" s="1" t="s">
        <v>961</v>
      </c>
      <c r="D824" s="1" t="s">
        <v>292</v>
      </c>
      <c r="E824" s="1" t="s">
        <v>30</v>
      </c>
      <c r="G824" s="1" t="s">
        <v>61</v>
      </c>
      <c r="H824" s="1">
        <v>4760.18</v>
      </c>
      <c r="I824" s="1">
        <f>IF(Table1[[#This Row],[Claim_Amount]]&lt;0,0,Table1[[#This Row],[Claim_Amount]])</f>
        <v>4760.18</v>
      </c>
      <c r="J824" s="1">
        <f>IF(Table1[[#This Row],[Column1]]=0,"",Table1[[#This Row],[Column1]])</f>
        <v>4760.18</v>
      </c>
      <c r="K824" s="1">
        <v>4760.18</v>
      </c>
      <c r="M824" s="1" t="s">
        <v>25</v>
      </c>
      <c r="N824" s="1" t="s">
        <v>18</v>
      </c>
      <c r="P824" s="1" t="s">
        <v>19</v>
      </c>
    </row>
    <row r="825" spans="1:16" ht="15.75" customHeight="1" x14ac:dyDescent="0.35">
      <c r="A825" s="1" t="s">
        <v>430</v>
      </c>
      <c r="D825" s="1" t="s">
        <v>962</v>
      </c>
      <c r="E825" s="1" t="s">
        <v>35</v>
      </c>
      <c r="F825" s="1" t="s">
        <v>47</v>
      </c>
      <c r="G825" s="1" t="s">
        <v>41</v>
      </c>
      <c r="I825">
        <f>IF(Table1[[#This Row],[Claim_Amount]]&lt;0,0,Table1[[#This Row],[Claim_Amount]])</f>
        <v>0</v>
      </c>
      <c r="J825" t="str">
        <f>IF(Table1[[#This Row],[Column1]]=0,"",Table1[[#This Row],[Column1]])</f>
        <v/>
      </c>
      <c r="K825" t="s">
        <v>1098</v>
      </c>
      <c r="M825" s="1" t="s">
        <v>36</v>
      </c>
      <c r="N825" s="1" t="s">
        <v>49</v>
      </c>
    </row>
    <row r="826" spans="1:16" ht="15.75" customHeight="1" x14ac:dyDescent="0.35">
      <c r="A826" s="1" t="s">
        <v>166</v>
      </c>
      <c r="D826" s="1" t="s">
        <v>963</v>
      </c>
      <c r="E826" s="1" t="s">
        <v>35</v>
      </c>
      <c r="F826" s="1" t="s">
        <v>53</v>
      </c>
      <c r="G826" s="1" t="s">
        <v>48</v>
      </c>
      <c r="H826" s="1">
        <v>-35</v>
      </c>
      <c r="I826" s="1">
        <f>IF(Table1[[#This Row],[Claim_Amount]]&lt;0,0,Table1[[#This Row],[Claim_Amount]])</f>
        <v>0</v>
      </c>
      <c r="J826" s="1" t="str">
        <f>IF(Table1[[#This Row],[Column1]]=0,"",Table1[[#This Row],[Column1]])</f>
        <v/>
      </c>
      <c r="K826" s="1" t="s">
        <v>1098</v>
      </c>
      <c r="M826" s="1" t="s">
        <v>42</v>
      </c>
      <c r="N826" s="1" t="s">
        <v>49</v>
      </c>
      <c r="P826" s="1" t="s">
        <v>19</v>
      </c>
    </row>
    <row r="827" spans="1:16" ht="15.75" customHeight="1" x14ac:dyDescent="0.35">
      <c r="A827" s="1" t="s">
        <v>117</v>
      </c>
      <c r="B827" s="1" t="s">
        <v>141</v>
      </c>
      <c r="D827" s="1" t="s">
        <v>311</v>
      </c>
      <c r="E827" s="1" t="s">
        <v>35</v>
      </c>
      <c r="H827" s="1">
        <v>-126</v>
      </c>
      <c r="I827" s="1">
        <f>IF(Table1[[#This Row],[Claim_Amount]]&lt;0,0,Table1[[#This Row],[Claim_Amount]])</f>
        <v>0</v>
      </c>
      <c r="J827" s="1" t="str">
        <f>IF(Table1[[#This Row],[Column1]]=0,"",Table1[[#This Row],[Column1]])</f>
        <v/>
      </c>
      <c r="K827" s="1" t="s">
        <v>1098</v>
      </c>
      <c r="L827" s="1">
        <v>3757.81</v>
      </c>
      <c r="M827" s="1" t="s">
        <v>36</v>
      </c>
      <c r="N827" s="1" t="s">
        <v>49</v>
      </c>
      <c r="P827" s="1" t="s">
        <v>27</v>
      </c>
    </row>
    <row r="828" spans="1:16" ht="15.75" customHeight="1" x14ac:dyDescent="0.35">
      <c r="A828" s="1" t="s">
        <v>20</v>
      </c>
      <c r="C828" s="1" t="s">
        <v>232</v>
      </c>
      <c r="D828" s="1" t="s">
        <v>477</v>
      </c>
      <c r="E828" s="1" t="s">
        <v>35</v>
      </c>
      <c r="F828" s="1" t="s">
        <v>93</v>
      </c>
      <c r="G828" s="1" t="s">
        <v>54</v>
      </c>
      <c r="H828" s="1">
        <v>-17</v>
      </c>
      <c r="I828" s="1">
        <f>IF(Table1[[#This Row],[Claim_Amount]]&lt;0,0,Table1[[#This Row],[Claim_Amount]])</f>
        <v>0</v>
      </c>
      <c r="J828" s="1" t="str">
        <f>IF(Table1[[#This Row],[Column1]]=0,"",Table1[[#This Row],[Column1]])</f>
        <v/>
      </c>
      <c r="K828" s="1" t="s">
        <v>1098</v>
      </c>
      <c r="L828" s="1">
        <v>392.04</v>
      </c>
      <c r="M828" s="1" t="s">
        <v>121</v>
      </c>
      <c r="N828" s="1" t="s">
        <v>32</v>
      </c>
      <c r="P828" s="1" t="s">
        <v>37</v>
      </c>
    </row>
    <row r="829" spans="1:16" ht="15.75" customHeight="1" x14ac:dyDescent="0.35">
      <c r="A829" s="1" t="s">
        <v>73</v>
      </c>
      <c r="D829" s="1" t="s">
        <v>908</v>
      </c>
      <c r="E829" s="1" t="s">
        <v>77</v>
      </c>
      <c r="F829" s="1" t="s">
        <v>93</v>
      </c>
      <c r="G829" s="1" t="s">
        <v>48</v>
      </c>
      <c r="H829" s="1">
        <v>1502.28</v>
      </c>
      <c r="I829" s="1">
        <f>IF(Table1[[#This Row],[Claim_Amount]]&lt;0,0,Table1[[#This Row],[Claim_Amount]])</f>
        <v>1502.28</v>
      </c>
      <c r="J829" s="1">
        <f>IF(Table1[[#This Row],[Column1]]=0,"",Table1[[#This Row],[Column1]])</f>
        <v>1502.28</v>
      </c>
      <c r="K829" s="1">
        <v>1502.28</v>
      </c>
      <c r="M829" s="1" t="s">
        <v>121</v>
      </c>
      <c r="N829" s="1" t="s">
        <v>26</v>
      </c>
      <c r="O829" s="1">
        <v>43</v>
      </c>
      <c r="P829" s="1" t="s">
        <v>19</v>
      </c>
    </row>
    <row r="830" spans="1:16" ht="15.75" customHeight="1" x14ac:dyDescent="0.35">
      <c r="A830" s="1" t="s">
        <v>212</v>
      </c>
      <c r="C830" s="1" t="s">
        <v>455</v>
      </c>
      <c r="D830" s="1" t="s">
        <v>609</v>
      </c>
      <c r="E830" s="1" t="s">
        <v>16</v>
      </c>
      <c r="F830" s="1" t="s">
        <v>31</v>
      </c>
      <c r="G830" s="1" t="s">
        <v>24</v>
      </c>
      <c r="H830" s="1">
        <v>-184</v>
      </c>
      <c r="I830" s="1">
        <f>IF(Table1[[#This Row],[Claim_Amount]]&lt;0,0,Table1[[#This Row],[Claim_Amount]])</f>
        <v>0</v>
      </c>
      <c r="J830" s="1" t="str">
        <f>IF(Table1[[#This Row],[Column1]]=0,"",Table1[[#This Row],[Column1]])</f>
        <v/>
      </c>
      <c r="K830" s="1" t="s">
        <v>1098</v>
      </c>
      <c r="M830" s="1" t="s">
        <v>25</v>
      </c>
      <c r="N830" s="1" t="s">
        <v>26</v>
      </c>
      <c r="O830" s="1">
        <v>10</v>
      </c>
      <c r="P830" s="1" t="s">
        <v>65</v>
      </c>
    </row>
    <row r="831" spans="1:16" ht="15.75" customHeight="1" x14ac:dyDescent="0.35">
      <c r="A831" s="1" t="s">
        <v>148</v>
      </c>
      <c r="D831" s="1" t="s">
        <v>964</v>
      </c>
      <c r="E831" s="1" t="s">
        <v>16</v>
      </c>
      <c r="G831" s="1" t="s">
        <v>54</v>
      </c>
      <c r="H831" s="1">
        <v>4493.5600000000004</v>
      </c>
      <c r="I831" s="1">
        <f>IF(Table1[[#This Row],[Claim_Amount]]&lt;0,0,Table1[[#This Row],[Claim_Amount]])</f>
        <v>4493.5600000000004</v>
      </c>
      <c r="J831" s="1">
        <f>IF(Table1[[#This Row],[Column1]]=0,"",Table1[[#This Row],[Column1]])</f>
        <v>4493.5600000000004</v>
      </c>
      <c r="K831" s="1">
        <v>4493.5600000000004</v>
      </c>
      <c r="L831" s="1">
        <v>2122.19</v>
      </c>
      <c r="M831" s="1" t="s">
        <v>42</v>
      </c>
      <c r="N831" s="1" t="s">
        <v>49</v>
      </c>
      <c r="P831" s="1" t="s">
        <v>37</v>
      </c>
    </row>
    <row r="832" spans="1:16" ht="15.75" customHeight="1" x14ac:dyDescent="0.35">
      <c r="A832" s="1" t="s">
        <v>430</v>
      </c>
      <c r="B832" s="1" t="s">
        <v>965</v>
      </c>
      <c r="D832" s="1" t="s">
        <v>676</v>
      </c>
      <c r="E832" s="1" t="s">
        <v>85</v>
      </c>
      <c r="F832" s="1" t="s">
        <v>23</v>
      </c>
      <c r="G832" s="1" t="s">
        <v>61</v>
      </c>
      <c r="I832">
        <f>IF(Table1[[#This Row],[Claim_Amount]]&lt;0,0,Table1[[#This Row],[Claim_Amount]])</f>
        <v>0</v>
      </c>
      <c r="J832" t="str">
        <f>IF(Table1[[#This Row],[Column1]]=0,"",Table1[[#This Row],[Column1]])</f>
        <v/>
      </c>
      <c r="K832" t="s">
        <v>1098</v>
      </c>
      <c r="M832" s="1" t="s">
        <v>36</v>
      </c>
      <c r="N832" s="1" t="s">
        <v>32</v>
      </c>
      <c r="P832" s="1" t="s">
        <v>37</v>
      </c>
    </row>
    <row r="833" spans="1:16" ht="15.75" customHeight="1" x14ac:dyDescent="0.35">
      <c r="A833" s="1" t="s">
        <v>430</v>
      </c>
      <c r="B833" s="1" t="s">
        <v>966</v>
      </c>
      <c r="D833" s="1" t="s">
        <v>731</v>
      </c>
      <c r="E833" s="1" t="s">
        <v>85</v>
      </c>
      <c r="F833" s="1" t="s">
        <v>93</v>
      </c>
      <c r="G833" s="1" t="s">
        <v>41</v>
      </c>
      <c r="H833" s="1">
        <v>-189</v>
      </c>
      <c r="I833" s="1">
        <f>IF(Table1[[#This Row],[Claim_Amount]]&lt;0,0,Table1[[#This Row],[Claim_Amount]])</f>
        <v>0</v>
      </c>
      <c r="J833" s="1" t="str">
        <f>IF(Table1[[#This Row],[Column1]]=0,"",Table1[[#This Row],[Column1]])</f>
        <v/>
      </c>
      <c r="K833" s="1" t="s">
        <v>1098</v>
      </c>
      <c r="L833" s="1">
        <v>105.41</v>
      </c>
      <c r="M833" s="1" t="s">
        <v>36</v>
      </c>
      <c r="N833" s="1" t="s">
        <v>26</v>
      </c>
      <c r="P833" s="1" t="s">
        <v>27</v>
      </c>
    </row>
    <row r="834" spans="1:16" ht="15.75" customHeight="1" x14ac:dyDescent="0.35">
      <c r="A834" s="1" t="s">
        <v>66</v>
      </c>
      <c r="B834" s="1" t="s">
        <v>967</v>
      </c>
      <c r="C834" s="1" t="s">
        <v>94</v>
      </c>
      <c r="D834" s="1" t="s">
        <v>968</v>
      </c>
      <c r="E834" s="1" t="s">
        <v>85</v>
      </c>
      <c r="G834" s="1" t="s">
        <v>48</v>
      </c>
      <c r="H834" s="1">
        <v>2417.46</v>
      </c>
      <c r="I834" s="1">
        <f>IF(Table1[[#This Row],[Claim_Amount]]&lt;0,0,Table1[[#This Row],[Claim_Amount]])</f>
        <v>2417.46</v>
      </c>
      <c r="J834" s="1">
        <f>IF(Table1[[#This Row],[Column1]]=0,"",Table1[[#This Row],[Column1]])</f>
        <v>2417.46</v>
      </c>
      <c r="K834" s="1">
        <v>2417.46</v>
      </c>
      <c r="M834" s="1" t="s">
        <v>36</v>
      </c>
      <c r="N834" s="1" t="s">
        <v>26</v>
      </c>
      <c r="P834" s="1" t="s">
        <v>65</v>
      </c>
    </row>
    <row r="835" spans="1:16" ht="15.75" customHeight="1" x14ac:dyDescent="0.35">
      <c r="A835" s="1" t="s">
        <v>163</v>
      </c>
      <c r="B835" s="1" t="s">
        <v>694</v>
      </c>
      <c r="C835" s="1" t="s">
        <v>642</v>
      </c>
      <c r="D835" s="1" t="s">
        <v>969</v>
      </c>
      <c r="E835" s="1" t="s">
        <v>22</v>
      </c>
      <c r="F835" s="1" t="s">
        <v>53</v>
      </c>
      <c r="I835">
        <f>IF(Table1[[#This Row],[Claim_Amount]]&lt;0,0,Table1[[#This Row],[Claim_Amount]])</f>
        <v>0</v>
      </c>
      <c r="J835" t="str">
        <f>IF(Table1[[#This Row],[Column1]]=0,"",Table1[[#This Row],[Column1]])</f>
        <v/>
      </c>
      <c r="K835" t="s">
        <v>1098</v>
      </c>
      <c r="M835" s="1" t="s">
        <v>25</v>
      </c>
      <c r="N835" s="1" t="s">
        <v>32</v>
      </c>
      <c r="P835" s="1" t="s">
        <v>19</v>
      </c>
    </row>
    <row r="836" spans="1:16" ht="15.75" customHeight="1" x14ac:dyDescent="0.35">
      <c r="A836" s="1" t="s">
        <v>212</v>
      </c>
      <c r="D836" s="1" t="s">
        <v>622</v>
      </c>
      <c r="E836" s="1" t="s">
        <v>85</v>
      </c>
      <c r="F836" s="1" t="s">
        <v>53</v>
      </c>
      <c r="G836" s="1" t="s">
        <v>54</v>
      </c>
      <c r="H836" s="1">
        <v>-140</v>
      </c>
      <c r="I836" s="1">
        <f>IF(Table1[[#This Row],[Claim_Amount]]&lt;0,0,Table1[[#This Row],[Claim_Amount]])</f>
        <v>0</v>
      </c>
      <c r="J836" s="1" t="str">
        <f>IF(Table1[[#This Row],[Column1]]=0,"",Table1[[#This Row],[Column1]])</f>
        <v/>
      </c>
      <c r="K836" s="1" t="s">
        <v>1098</v>
      </c>
      <c r="M836" s="1" t="s">
        <v>17</v>
      </c>
      <c r="N836" s="1" t="s">
        <v>18</v>
      </c>
      <c r="P836" s="1" t="s">
        <v>27</v>
      </c>
    </row>
    <row r="837" spans="1:16" ht="15.75" customHeight="1" x14ac:dyDescent="0.35">
      <c r="A837" s="1" t="s">
        <v>117</v>
      </c>
      <c r="B837" s="1" t="s">
        <v>970</v>
      </c>
      <c r="C837" s="1" t="s">
        <v>100</v>
      </c>
      <c r="D837" s="1" t="s">
        <v>296</v>
      </c>
      <c r="E837" s="1" t="s">
        <v>35</v>
      </c>
      <c r="F837" s="1" t="s">
        <v>93</v>
      </c>
      <c r="H837" s="1">
        <v>-81</v>
      </c>
      <c r="I837" s="1">
        <f>IF(Table1[[#This Row],[Claim_Amount]]&lt;0,0,Table1[[#This Row],[Claim_Amount]])</f>
        <v>0</v>
      </c>
      <c r="J837" s="1" t="str">
        <f>IF(Table1[[#This Row],[Column1]]=0,"",Table1[[#This Row],[Column1]])</f>
        <v/>
      </c>
      <c r="K837" s="1" t="s">
        <v>1098</v>
      </c>
      <c r="M837" s="1" t="s">
        <v>42</v>
      </c>
      <c r="N837" s="1" t="s">
        <v>32</v>
      </c>
    </row>
    <row r="838" spans="1:16" ht="15.75" customHeight="1" x14ac:dyDescent="0.35">
      <c r="A838" s="1" t="s">
        <v>58</v>
      </c>
      <c r="D838" s="1" t="s">
        <v>341</v>
      </c>
      <c r="E838" s="1" t="s">
        <v>30</v>
      </c>
      <c r="G838" s="1" t="s">
        <v>54</v>
      </c>
      <c r="I838">
        <f>IF(Table1[[#This Row],[Claim_Amount]]&lt;0,0,Table1[[#This Row],[Claim_Amount]])</f>
        <v>0</v>
      </c>
      <c r="J838" t="str">
        <f>IF(Table1[[#This Row],[Column1]]=0,"",Table1[[#This Row],[Column1]])</f>
        <v/>
      </c>
      <c r="K838" t="s">
        <v>1098</v>
      </c>
      <c r="L838" s="1">
        <v>2373.17</v>
      </c>
      <c r="M838" s="1" t="s">
        <v>121</v>
      </c>
      <c r="N838" s="1" t="s">
        <v>32</v>
      </c>
    </row>
    <row r="839" spans="1:16" ht="15.75" customHeight="1" x14ac:dyDescent="0.35">
      <c r="A839" s="1" t="s">
        <v>13</v>
      </c>
      <c r="D839" s="1" t="s">
        <v>971</v>
      </c>
      <c r="E839" s="1" t="s">
        <v>85</v>
      </c>
      <c r="F839" s="1" t="s">
        <v>31</v>
      </c>
      <c r="G839" s="1" t="s">
        <v>41</v>
      </c>
      <c r="I839">
        <f>IF(Table1[[#This Row],[Claim_Amount]]&lt;0,0,Table1[[#This Row],[Claim_Amount]])</f>
        <v>0</v>
      </c>
      <c r="J839" t="str">
        <f>IF(Table1[[#This Row],[Column1]]=0,"",Table1[[#This Row],[Column1]])</f>
        <v/>
      </c>
      <c r="K839" t="s">
        <v>1098</v>
      </c>
      <c r="M839" s="1" t="s">
        <v>17</v>
      </c>
      <c r="N839" s="1" t="s">
        <v>32</v>
      </c>
      <c r="P839" s="1" t="s">
        <v>37</v>
      </c>
    </row>
    <row r="840" spans="1:16" ht="15.75" customHeight="1" x14ac:dyDescent="0.35">
      <c r="A840" s="1" t="s">
        <v>38</v>
      </c>
      <c r="C840" s="1" t="s">
        <v>75</v>
      </c>
      <c r="D840" s="1" t="s">
        <v>972</v>
      </c>
      <c r="E840" s="1" t="s">
        <v>85</v>
      </c>
      <c r="I840">
        <f>IF(Table1[[#This Row],[Claim_Amount]]&lt;0,0,Table1[[#This Row],[Claim_Amount]])</f>
        <v>0</v>
      </c>
      <c r="J840" t="str">
        <f>IF(Table1[[#This Row],[Column1]]=0,"",Table1[[#This Row],[Column1]])</f>
        <v/>
      </c>
      <c r="K840" t="s">
        <v>1098</v>
      </c>
      <c r="M840" s="1" t="s">
        <v>36</v>
      </c>
      <c r="N840" s="1" t="s">
        <v>57</v>
      </c>
      <c r="O840" s="1">
        <v>11</v>
      </c>
      <c r="P840" s="1" t="s">
        <v>27</v>
      </c>
    </row>
    <row r="841" spans="1:16" ht="15.75" customHeight="1" x14ac:dyDescent="0.35">
      <c r="A841" s="1" t="s">
        <v>13</v>
      </c>
      <c r="B841" s="1" t="s">
        <v>973</v>
      </c>
      <c r="D841" s="1" t="s">
        <v>579</v>
      </c>
      <c r="E841" s="1" t="s">
        <v>85</v>
      </c>
      <c r="F841" s="1" t="s">
        <v>53</v>
      </c>
      <c r="G841" s="1" t="s">
        <v>48</v>
      </c>
      <c r="H841" s="1">
        <v>-155</v>
      </c>
      <c r="I841" s="1">
        <f>IF(Table1[[#This Row],[Claim_Amount]]&lt;0,0,Table1[[#This Row],[Claim_Amount]])</f>
        <v>0</v>
      </c>
      <c r="J841" s="1" t="str">
        <f>IF(Table1[[#This Row],[Column1]]=0,"",Table1[[#This Row],[Column1]])</f>
        <v/>
      </c>
      <c r="K841" s="1" t="s">
        <v>1098</v>
      </c>
      <c r="L841" s="1">
        <v>2710.17</v>
      </c>
      <c r="M841" s="1" t="s">
        <v>42</v>
      </c>
      <c r="N841" s="1" t="s">
        <v>57</v>
      </c>
      <c r="P841" s="1" t="s">
        <v>19</v>
      </c>
    </row>
    <row r="842" spans="1:16" ht="15.75" customHeight="1" x14ac:dyDescent="0.35">
      <c r="A842" s="1" t="s">
        <v>33</v>
      </c>
      <c r="C842" s="1" t="s">
        <v>290</v>
      </c>
      <c r="D842" s="1" t="s">
        <v>974</v>
      </c>
      <c r="E842" s="1" t="s">
        <v>30</v>
      </c>
      <c r="F842" s="1" t="s">
        <v>47</v>
      </c>
      <c r="G842" s="1" t="s">
        <v>41</v>
      </c>
      <c r="I842">
        <f>IF(Table1[[#This Row],[Claim_Amount]]&lt;0,0,Table1[[#This Row],[Claim_Amount]])</f>
        <v>0</v>
      </c>
      <c r="J842" t="str">
        <f>IF(Table1[[#This Row],[Column1]]=0,"",Table1[[#This Row],[Column1]])</f>
        <v/>
      </c>
      <c r="K842" t="s">
        <v>1098</v>
      </c>
      <c r="M842" s="1" t="s">
        <v>121</v>
      </c>
      <c r="N842" s="1" t="s">
        <v>57</v>
      </c>
      <c r="P842" s="1" t="s">
        <v>37</v>
      </c>
    </row>
    <row r="843" spans="1:16" ht="15.75" customHeight="1" x14ac:dyDescent="0.35">
      <c r="A843" s="1" t="s">
        <v>33</v>
      </c>
      <c r="B843" s="1" t="s">
        <v>975</v>
      </c>
      <c r="C843" s="1" t="s">
        <v>422</v>
      </c>
      <c r="D843" s="1" t="s">
        <v>789</v>
      </c>
      <c r="E843" s="1" t="s">
        <v>22</v>
      </c>
      <c r="F843" s="1" t="s">
        <v>23</v>
      </c>
      <c r="G843" s="1" t="s">
        <v>41</v>
      </c>
      <c r="I843">
        <f>IF(Table1[[#This Row],[Claim_Amount]]&lt;0,0,Table1[[#This Row],[Claim_Amount]])</f>
        <v>0</v>
      </c>
      <c r="J843" t="str">
        <f>IF(Table1[[#This Row],[Column1]]=0,"",Table1[[#This Row],[Column1]])</f>
        <v/>
      </c>
      <c r="K843" t="s">
        <v>1098</v>
      </c>
      <c r="L843" s="1">
        <v>680.74</v>
      </c>
      <c r="M843" s="1" t="s">
        <v>121</v>
      </c>
      <c r="N843" s="1" t="s">
        <v>18</v>
      </c>
    </row>
    <row r="844" spans="1:16" ht="15.75" customHeight="1" x14ac:dyDescent="0.35">
      <c r="A844" s="1" t="s">
        <v>82</v>
      </c>
      <c r="B844" s="1" t="s">
        <v>976</v>
      </c>
      <c r="D844" s="1" t="s">
        <v>454</v>
      </c>
      <c r="E844" s="1" t="s">
        <v>85</v>
      </c>
      <c r="F844" s="1" t="s">
        <v>47</v>
      </c>
      <c r="G844" s="1" t="s">
        <v>54</v>
      </c>
      <c r="I844">
        <f>IF(Table1[[#This Row],[Claim_Amount]]&lt;0,0,Table1[[#This Row],[Claim_Amount]])</f>
        <v>0</v>
      </c>
      <c r="J844" t="str">
        <f>IF(Table1[[#This Row],[Column1]]=0,"",Table1[[#This Row],[Column1]])</f>
        <v/>
      </c>
      <c r="K844" t="s">
        <v>1098</v>
      </c>
      <c r="L844" s="1">
        <v>4211.8</v>
      </c>
      <c r="M844" s="1" t="s">
        <v>25</v>
      </c>
      <c r="N844" s="1" t="s">
        <v>57</v>
      </c>
      <c r="P844" s="1" t="s">
        <v>65</v>
      </c>
    </row>
    <row r="845" spans="1:16" ht="15.75" customHeight="1" x14ac:dyDescent="0.35">
      <c r="A845" s="1" t="s">
        <v>132</v>
      </c>
      <c r="B845" s="1" t="s">
        <v>977</v>
      </c>
      <c r="C845" s="1" t="s">
        <v>174</v>
      </c>
      <c r="D845" s="1" t="s">
        <v>923</v>
      </c>
      <c r="E845" s="1" t="s">
        <v>30</v>
      </c>
      <c r="F845" s="1" t="s">
        <v>31</v>
      </c>
      <c r="G845" s="1" t="s">
        <v>48</v>
      </c>
      <c r="H845" s="1">
        <v>-73</v>
      </c>
      <c r="I845" s="1">
        <f>IF(Table1[[#This Row],[Claim_Amount]]&lt;0,0,Table1[[#This Row],[Claim_Amount]])</f>
        <v>0</v>
      </c>
      <c r="J845" s="1" t="str">
        <f>IF(Table1[[#This Row],[Column1]]=0,"",Table1[[#This Row],[Column1]])</f>
        <v/>
      </c>
      <c r="K845" s="1" t="s">
        <v>1098</v>
      </c>
      <c r="M845" s="1" t="s">
        <v>36</v>
      </c>
      <c r="N845" s="1" t="s">
        <v>18</v>
      </c>
      <c r="O845" s="1">
        <v>57</v>
      </c>
      <c r="P845" s="1" t="s">
        <v>65</v>
      </c>
    </row>
    <row r="846" spans="1:16" ht="15.75" customHeight="1" x14ac:dyDescent="0.35">
      <c r="A846" s="1" t="s">
        <v>38</v>
      </c>
      <c r="B846" s="1" t="s">
        <v>978</v>
      </c>
      <c r="D846" s="1" t="s">
        <v>826</v>
      </c>
      <c r="E846" s="1" t="s">
        <v>77</v>
      </c>
      <c r="F846" s="1" t="s">
        <v>93</v>
      </c>
      <c r="G846" s="1" t="s">
        <v>24</v>
      </c>
      <c r="H846" s="1">
        <v>-30</v>
      </c>
      <c r="I846" s="1">
        <f>IF(Table1[[#This Row],[Claim_Amount]]&lt;0,0,Table1[[#This Row],[Claim_Amount]])</f>
        <v>0</v>
      </c>
      <c r="J846" s="1" t="str">
        <f>IF(Table1[[#This Row],[Column1]]=0,"",Table1[[#This Row],[Column1]])</f>
        <v/>
      </c>
      <c r="K846" s="1" t="s">
        <v>1098</v>
      </c>
      <c r="M846" s="1" t="s">
        <v>17</v>
      </c>
      <c r="N846" s="1" t="s">
        <v>49</v>
      </c>
      <c r="P846" s="1" t="s">
        <v>37</v>
      </c>
    </row>
    <row r="847" spans="1:16" ht="15.75" customHeight="1" x14ac:dyDescent="0.35">
      <c r="A847" s="1" t="s">
        <v>105</v>
      </c>
      <c r="D847" s="1" t="s">
        <v>521</v>
      </c>
      <c r="E847" s="1" t="s">
        <v>16</v>
      </c>
      <c r="F847" s="1" t="s">
        <v>53</v>
      </c>
      <c r="G847" s="1" t="s">
        <v>54</v>
      </c>
      <c r="I847">
        <f>IF(Table1[[#This Row],[Claim_Amount]]&lt;0,0,Table1[[#This Row],[Claim_Amount]])</f>
        <v>0</v>
      </c>
      <c r="J847" t="str">
        <f>IF(Table1[[#This Row],[Column1]]=0,"",Table1[[#This Row],[Column1]])</f>
        <v/>
      </c>
      <c r="K847" t="s">
        <v>1098</v>
      </c>
      <c r="M847" s="1" t="s">
        <v>25</v>
      </c>
      <c r="N847" s="1" t="s">
        <v>57</v>
      </c>
      <c r="P847" s="1" t="s">
        <v>37</v>
      </c>
    </row>
    <row r="848" spans="1:16" ht="15.75" customHeight="1" x14ac:dyDescent="0.35">
      <c r="A848" s="1" t="s">
        <v>132</v>
      </c>
      <c r="B848" s="1" t="s">
        <v>979</v>
      </c>
      <c r="D848" s="1" t="s">
        <v>806</v>
      </c>
      <c r="E848" s="1" t="s">
        <v>35</v>
      </c>
      <c r="F848" s="1" t="s">
        <v>31</v>
      </c>
      <c r="G848" s="1" t="s">
        <v>24</v>
      </c>
      <c r="H848" s="1">
        <v>1928.25</v>
      </c>
      <c r="I848" s="1">
        <f>IF(Table1[[#This Row],[Claim_Amount]]&lt;0,0,Table1[[#This Row],[Claim_Amount]])</f>
        <v>1928.25</v>
      </c>
      <c r="J848" s="1">
        <f>IF(Table1[[#This Row],[Column1]]=0,"",Table1[[#This Row],[Column1]])</f>
        <v>1928.25</v>
      </c>
      <c r="K848" s="1">
        <v>1928.25</v>
      </c>
      <c r="M848" s="1" t="s">
        <v>17</v>
      </c>
      <c r="N848" s="1" t="s">
        <v>26</v>
      </c>
      <c r="P848" s="1" t="s">
        <v>19</v>
      </c>
    </row>
    <row r="849" spans="1:16" ht="15.75" customHeight="1" x14ac:dyDescent="0.35">
      <c r="A849" s="1" t="s">
        <v>33</v>
      </c>
      <c r="D849" s="1" t="s">
        <v>980</v>
      </c>
      <c r="E849" s="1" t="s">
        <v>77</v>
      </c>
      <c r="F849" s="1" t="s">
        <v>53</v>
      </c>
      <c r="G849" s="1" t="s">
        <v>61</v>
      </c>
      <c r="I849">
        <f>IF(Table1[[#This Row],[Claim_Amount]]&lt;0,0,Table1[[#This Row],[Claim_Amount]])</f>
        <v>0</v>
      </c>
      <c r="J849" t="str">
        <f>IF(Table1[[#This Row],[Column1]]=0,"",Table1[[#This Row],[Column1]])</f>
        <v/>
      </c>
      <c r="K849" t="s">
        <v>1098</v>
      </c>
      <c r="M849" s="1" t="s">
        <v>121</v>
      </c>
      <c r="N849" s="1" t="s">
        <v>18</v>
      </c>
      <c r="O849" s="1">
        <v>10</v>
      </c>
    </row>
    <row r="850" spans="1:16" ht="15.75" customHeight="1" x14ac:dyDescent="0.35">
      <c r="A850" s="1" t="s">
        <v>43</v>
      </c>
      <c r="C850" s="1" t="s">
        <v>530</v>
      </c>
      <c r="D850" s="1" t="s">
        <v>981</v>
      </c>
      <c r="E850" s="1" t="s">
        <v>22</v>
      </c>
      <c r="F850" s="1" t="s">
        <v>93</v>
      </c>
      <c r="G850" s="1" t="s">
        <v>61</v>
      </c>
      <c r="H850" s="1">
        <v>3550.17</v>
      </c>
      <c r="I850" s="1">
        <f>IF(Table1[[#This Row],[Claim_Amount]]&lt;0,0,Table1[[#This Row],[Claim_Amount]])</f>
        <v>3550.17</v>
      </c>
      <c r="J850" s="1">
        <f>IF(Table1[[#This Row],[Column1]]=0,"",Table1[[#This Row],[Column1]])</f>
        <v>3550.17</v>
      </c>
      <c r="K850" s="1">
        <v>3550.17</v>
      </c>
      <c r="M850" s="1" t="s">
        <v>25</v>
      </c>
      <c r="N850" s="1" t="s">
        <v>32</v>
      </c>
      <c r="P850" s="1" t="s">
        <v>27</v>
      </c>
    </row>
    <row r="851" spans="1:16" ht="15.75" customHeight="1" x14ac:dyDescent="0.35">
      <c r="A851" s="1" t="s">
        <v>215</v>
      </c>
      <c r="D851" s="1" t="s">
        <v>608</v>
      </c>
      <c r="E851" s="1" t="s">
        <v>92</v>
      </c>
      <c r="F851" s="1" t="s">
        <v>93</v>
      </c>
      <c r="G851" s="1" t="s">
        <v>54</v>
      </c>
      <c r="H851" s="1">
        <v>380.56</v>
      </c>
      <c r="I851" s="1">
        <f>IF(Table1[[#This Row],[Claim_Amount]]&lt;0,0,Table1[[#This Row],[Claim_Amount]])</f>
        <v>380.56</v>
      </c>
      <c r="J851" s="1">
        <f>IF(Table1[[#This Row],[Column1]]=0,"",Table1[[#This Row],[Column1]])</f>
        <v>380.56</v>
      </c>
      <c r="K851" s="1">
        <v>380.56</v>
      </c>
      <c r="M851" s="1" t="s">
        <v>17</v>
      </c>
      <c r="N851" s="1" t="s">
        <v>32</v>
      </c>
      <c r="P851" s="1" t="s">
        <v>37</v>
      </c>
    </row>
    <row r="852" spans="1:16" ht="15.75" customHeight="1" x14ac:dyDescent="0.35">
      <c r="A852" s="1" t="s">
        <v>132</v>
      </c>
      <c r="B852" s="1" t="s">
        <v>949</v>
      </c>
      <c r="C852" s="1" t="s">
        <v>982</v>
      </c>
      <c r="D852" s="1" t="s">
        <v>543</v>
      </c>
      <c r="E852" s="1" t="s">
        <v>30</v>
      </c>
      <c r="F852" s="1" t="s">
        <v>23</v>
      </c>
      <c r="G852" s="1" t="s">
        <v>48</v>
      </c>
      <c r="I852">
        <f>IF(Table1[[#This Row],[Claim_Amount]]&lt;0,0,Table1[[#This Row],[Claim_Amount]])</f>
        <v>0</v>
      </c>
      <c r="J852" t="str">
        <f>IF(Table1[[#This Row],[Column1]]=0,"",Table1[[#This Row],[Column1]])</f>
        <v/>
      </c>
      <c r="K852" t="s">
        <v>1098</v>
      </c>
      <c r="L852" s="1">
        <v>805.96</v>
      </c>
      <c r="M852" s="1" t="s">
        <v>17</v>
      </c>
      <c r="N852" s="1" t="s">
        <v>26</v>
      </c>
      <c r="O852" s="1">
        <v>20</v>
      </c>
      <c r="P852" s="1" t="s">
        <v>27</v>
      </c>
    </row>
    <row r="853" spans="1:16" ht="15.75" customHeight="1" x14ac:dyDescent="0.35">
      <c r="A853" s="1" t="s">
        <v>163</v>
      </c>
      <c r="C853" s="1" t="s">
        <v>613</v>
      </c>
      <c r="D853" s="1" t="s">
        <v>983</v>
      </c>
      <c r="E853" s="1" t="s">
        <v>77</v>
      </c>
      <c r="F853" s="1" t="s">
        <v>93</v>
      </c>
      <c r="G853" s="1" t="s">
        <v>24</v>
      </c>
      <c r="I853">
        <f>IF(Table1[[#This Row],[Claim_Amount]]&lt;0,0,Table1[[#This Row],[Claim_Amount]])</f>
        <v>0</v>
      </c>
      <c r="J853" t="str">
        <f>IF(Table1[[#This Row],[Column1]]=0,"",Table1[[#This Row],[Column1]])</f>
        <v/>
      </c>
      <c r="K853" t="s">
        <v>1098</v>
      </c>
      <c r="M853" s="1" t="s">
        <v>121</v>
      </c>
      <c r="N853" s="1" t="s">
        <v>18</v>
      </c>
      <c r="O853" s="1">
        <v>29</v>
      </c>
      <c r="P853" s="1" t="s">
        <v>19</v>
      </c>
    </row>
    <row r="854" spans="1:16" ht="15.75" customHeight="1" x14ac:dyDescent="0.35">
      <c r="A854" s="1" t="s">
        <v>137</v>
      </c>
      <c r="B854" s="1" t="s">
        <v>146</v>
      </c>
      <c r="C854" s="1" t="s">
        <v>308</v>
      </c>
      <c r="D854" s="1" t="s">
        <v>543</v>
      </c>
      <c r="E854" s="1" t="s">
        <v>92</v>
      </c>
      <c r="F854" s="1" t="s">
        <v>53</v>
      </c>
      <c r="G854" s="1" t="s">
        <v>54</v>
      </c>
      <c r="H854" s="1">
        <v>-183</v>
      </c>
      <c r="I854" s="1">
        <f>IF(Table1[[#This Row],[Claim_Amount]]&lt;0,0,Table1[[#This Row],[Claim_Amount]])</f>
        <v>0</v>
      </c>
      <c r="J854" s="1" t="str">
        <f>IF(Table1[[#This Row],[Column1]]=0,"",Table1[[#This Row],[Column1]])</f>
        <v/>
      </c>
      <c r="K854" s="1" t="s">
        <v>1098</v>
      </c>
      <c r="M854" s="1" t="s">
        <v>121</v>
      </c>
      <c r="N854" s="1" t="s">
        <v>57</v>
      </c>
    </row>
    <row r="855" spans="1:16" ht="15.75" customHeight="1" x14ac:dyDescent="0.35">
      <c r="A855" s="1" t="s">
        <v>28</v>
      </c>
      <c r="D855" s="1" t="s">
        <v>984</v>
      </c>
      <c r="E855" s="1" t="s">
        <v>30</v>
      </c>
      <c r="F855" s="1" t="s">
        <v>53</v>
      </c>
      <c r="G855" s="1" t="s">
        <v>24</v>
      </c>
      <c r="H855" s="1">
        <v>4033.95</v>
      </c>
      <c r="I855" s="1">
        <f>IF(Table1[[#This Row],[Claim_Amount]]&lt;0,0,Table1[[#This Row],[Claim_Amount]])</f>
        <v>4033.95</v>
      </c>
      <c r="J855" s="1">
        <f>IF(Table1[[#This Row],[Column1]]=0,"",Table1[[#This Row],[Column1]])</f>
        <v>4033.95</v>
      </c>
      <c r="K855" s="1">
        <v>4033.95</v>
      </c>
      <c r="M855" s="1" t="s">
        <v>42</v>
      </c>
      <c r="N855" s="1" t="s">
        <v>26</v>
      </c>
      <c r="P855" s="1" t="s">
        <v>37</v>
      </c>
    </row>
    <row r="856" spans="1:16" ht="15.75" customHeight="1" x14ac:dyDescent="0.35">
      <c r="A856" s="1" t="s">
        <v>33</v>
      </c>
      <c r="D856" s="1" t="s">
        <v>837</v>
      </c>
      <c r="E856" s="1" t="s">
        <v>77</v>
      </c>
      <c r="G856" s="1" t="s">
        <v>24</v>
      </c>
      <c r="I856">
        <f>IF(Table1[[#This Row],[Claim_Amount]]&lt;0,0,Table1[[#This Row],[Claim_Amount]])</f>
        <v>0</v>
      </c>
      <c r="J856" t="str">
        <f>IF(Table1[[#This Row],[Column1]]=0,"",Table1[[#This Row],[Column1]])</f>
        <v/>
      </c>
      <c r="K856" t="s">
        <v>1098</v>
      </c>
      <c r="M856" s="1" t="s">
        <v>121</v>
      </c>
      <c r="N856" s="1" t="s">
        <v>18</v>
      </c>
      <c r="O856" s="1">
        <v>9</v>
      </c>
      <c r="P856" s="1" t="s">
        <v>65</v>
      </c>
    </row>
    <row r="857" spans="1:16" ht="15.75" customHeight="1" x14ac:dyDescent="0.35">
      <c r="A857" s="1" t="s">
        <v>215</v>
      </c>
      <c r="D857" s="1" t="s">
        <v>671</v>
      </c>
      <c r="E857" s="1" t="s">
        <v>77</v>
      </c>
      <c r="F857" s="1" t="s">
        <v>93</v>
      </c>
      <c r="G857" s="1" t="s">
        <v>48</v>
      </c>
      <c r="I857">
        <f>IF(Table1[[#This Row],[Claim_Amount]]&lt;0,0,Table1[[#This Row],[Claim_Amount]])</f>
        <v>0</v>
      </c>
      <c r="J857" t="str">
        <f>IF(Table1[[#This Row],[Column1]]=0,"",Table1[[#This Row],[Column1]])</f>
        <v/>
      </c>
      <c r="K857" t="s">
        <v>1098</v>
      </c>
      <c r="L857" s="1">
        <v>4490.34</v>
      </c>
      <c r="M857" s="1" t="s">
        <v>42</v>
      </c>
      <c r="N857" s="1" t="s">
        <v>32</v>
      </c>
      <c r="P857" s="1" t="s">
        <v>37</v>
      </c>
    </row>
    <row r="858" spans="1:16" ht="15.75" customHeight="1" x14ac:dyDescent="0.35">
      <c r="A858" s="1" t="s">
        <v>33</v>
      </c>
      <c r="D858" s="1" t="s">
        <v>985</v>
      </c>
      <c r="E858" s="1" t="s">
        <v>16</v>
      </c>
      <c r="F858" s="1" t="s">
        <v>53</v>
      </c>
      <c r="G858" s="1" t="s">
        <v>61</v>
      </c>
      <c r="I858">
        <f>IF(Table1[[#This Row],[Claim_Amount]]&lt;0,0,Table1[[#This Row],[Claim_Amount]])</f>
        <v>0</v>
      </c>
      <c r="J858" t="str">
        <f>IF(Table1[[#This Row],[Column1]]=0,"",Table1[[#This Row],[Column1]])</f>
        <v/>
      </c>
      <c r="K858" t="s">
        <v>1098</v>
      </c>
      <c r="L858" s="1">
        <v>4613.83</v>
      </c>
      <c r="M858" s="1" t="s">
        <v>25</v>
      </c>
      <c r="N858" s="1" t="s">
        <v>26</v>
      </c>
    </row>
    <row r="859" spans="1:16" ht="15.75" customHeight="1" x14ac:dyDescent="0.35">
      <c r="A859" s="1" t="s">
        <v>38</v>
      </c>
      <c r="B859" s="1" t="s">
        <v>79</v>
      </c>
      <c r="C859" s="1" t="s">
        <v>986</v>
      </c>
      <c r="D859" s="1" t="s">
        <v>565</v>
      </c>
      <c r="E859" s="1" t="s">
        <v>77</v>
      </c>
      <c r="F859" s="1" t="s">
        <v>53</v>
      </c>
      <c r="G859" s="1" t="s">
        <v>41</v>
      </c>
      <c r="I859">
        <f>IF(Table1[[#This Row],[Claim_Amount]]&lt;0,0,Table1[[#This Row],[Claim_Amount]])</f>
        <v>0</v>
      </c>
      <c r="J859" t="str">
        <f>IF(Table1[[#This Row],[Column1]]=0,"",Table1[[#This Row],[Column1]])</f>
        <v/>
      </c>
      <c r="K859" t="s">
        <v>1098</v>
      </c>
      <c r="M859" s="1" t="s">
        <v>42</v>
      </c>
      <c r="N859" s="1" t="s">
        <v>26</v>
      </c>
    </row>
    <row r="860" spans="1:16" ht="15.75" customHeight="1" x14ac:dyDescent="0.35">
      <c r="A860" s="1" t="s">
        <v>55</v>
      </c>
      <c r="C860" s="1" t="s">
        <v>100</v>
      </c>
      <c r="D860" s="1" t="s">
        <v>461</v>
      </c>
      <c r="E860" s="1" t="s">
        <v>16</v>
      </c>
      <c r="F860" s="1" t="s">
        <v>93</v>
      </c>
      <c r="G860" s="1" t="s">
        <v>48</v>
      </c>
      <c r="H860" s="1">
        <v>-192</v>
      </c>
      <c r="I860" s="1">
        <f>IF(Table1[[#This Row],[Claim_Amount]]&lt;0,0,Table1[[#This Row],[Claim_Amount]])</f>
        <v>0</v>
      </c>
      <c r="J860" s="1" t="str">
        <f>IF(Table1[[#This Row],[Column1]]=0,"",Table1[[#This Row],[Column1]])</f>
        <v/>
      </c>
      <c r="K860" s="1" t="s">
        <v>1098</v>
      </c>
      <c r="M860" s="1" t="s">
        <v>42</v>
      </c>
      <c r="N860" s="1" t="s">
        <v>18</v>
      </c>
      <c r="O860" s="1">
        <v>9</v>
      </c>
      <c r="P860" s="1" t="s">
        <v>19</v>
      </c>
    </row>
    <row r="861" spans="1:16" ht="15.75" customHeight="1" x14ac:dyDescent="0.35">
      <c r="A861" s="1" t="s">
        <v>110</v>
      </c>
      <c r="C861" s="1" t="s">
        <v>331</v>
      </c>
      <c r="D861" s="1" t="s">
        <v>101</v>
      </c>
      <c r="E861" s="1" t="s">
        <v>85</v>
      </c>
      <c r="F861" s="1" t="s">
        <v>93</v>
      </c>
      <c r="G861" s="1" t="s">
        <v>48</v>
      </c>
      <c r="I861">
        <f>IF(Table1[[#This Row],[Claim_Amount]]&lt;0,0,Table1[[#This Row],[Claim_Amount]])</f>
        <v>0</v>
      </c>
      <c r="J861" t="str">
        <f>IF(Table1[[#This Row],[Column1]]=0,"",Table1[[#This Row],[Column1]])</f>
        <v/>
      </c>
      <c r="K861" t="s">
        <v>1098</v>
      </c>
      <c r="M861" s="1" t="s">
        <v>42</v>
      </c>
      <c r="N861" s="1" t="s">
        <v>18</v>
      </c>
      <c r="O861" s="1">
        <v>0</v>
      </c>
      <c r="P861" s="1" t="s">
        <v>65</v>
      </c>
    </row>
    <row r="862" spans="1:16" ht="15.75" customHeight="1" x14ac:dyDescent="0.35">
      <c r="A862" s="1" t="s">
        <v>166</v>
      </c>
      <c r="C862" s="1" t="s">
        <v>642</v>
      </c>
      <c r="D862" s="1" t="s">
        <v>987</v>
      </c>
      <c r="E862" s="1" t="s">
        <v>77</v>
      </c>
      <c r="F862" s="1" t="s">
        <v>23</v>
      </c>
      <c r="G862" s="1" t="s">
        <v>61</v>
      </c>
      <c r="I862">
        <f>IF(Table1[[#This Row],[Claim_Amount]]&lt;0,0,Table1[[#This Row],[Claim_Amount]])</f>
        <v>0</v>
      </c>
      <c r="J862" t="str">
        <f>IF(Table1[[#This Row],[Column1]]=0,"",Table1[[#This Row],[Column1]])</f>
        <v/>
      </c>
      <c r="K862" t="s">
        <v>1098</v>
      </c>
      <c r="M862" s="1" t="s">
        <v>36</v>
      </c>
      <c r="N862" s="1" t="s">
        <v>57</v>
      </c>
      <c r="P862" s="1" t="s">
        <v>27</v>
      </c>
    </row>
    <row r="863" spans="1:16" ht="15.75" customHeight="1" x14ac:dyDescent="0.35">
      <c r="A863" s="1" t="s">
        <v>13</v>
      </c>
      <c r="C863" s="1" t="s">
        <v>530</v>
      </c>
      <c r="D863" s="1" t="s">
        <v>341</v>
      </c>
      <c r="E863" s="1" t="s">
        <v>35</v>
      </c>
      <c r="F863" s="1" t="s">
        <v>31</v>
      </c>
      <c r="G863" s="1" t="s">
        <v>54</v>
      </c>
      <c r="I863">
        <f>IF(Table1[[#This Row],[Claim_Amount]]&lt;0,0,Table1[[#This Row],[Claim_Amount]])</f>
        <v>0</v>
      </c>
      <c r="J863" t="str">
        <f>IF(Table1[[#This Row],[Column1]]=0,"",Table1[[#This Row],[Column1]])</f>
        <v/>
      </c>
      <c r="K863" t="s">
        <v>1098</v>
      </c>
      <c r="M863" s="1" t="s">
        <v>121</v>
      </c>
      <c r="N863" s="1" t="s">
        <v>32</v>
      </c>
      <c r="P863" s="1" t="s">
        <v>27</v>
      </c>
    </row>
    <row r="864" spans="1:16" ht="15.75" customHeight="1" x14ac:dyDescent="0.35">
      <c r="A864" s="1" t="s">
        <v>117</v>
      </c>
      <c r="D864" s="1" t="s">
        <v>381</v>
      </c>
      <c r="E864" s="1" t="s">
        <v>85</v>
      </c>
      <c r="F864" s="1" t="s">
        <v>93</v>
      </c>
      <c r="G864" s="1" t="s">
        <v>24</v>
      </c>
      <c r="H864" s="1">
        <v>2348.52</v>
      </c>
      <c r="I864" s="1">
        <f>IF(Table1[[#This Row],[Claim_Amount]]&lt;0,0,Table1[[#This Row],[Claim_Amount]])</f>
        <v>2348.52</v>
      </c>
      <c r="J864" s="1">
        <f>IF(Table1[[#This Row],[Column1]]=0,"",Table1[[#This Row],[Column1]])</f>
        <v>2348.52</v>
      </c>
      <c r="K864" s="1">
        <v>2348.52</v>
      </c>
      <c r="M864" s="1" t="s">
        <v>42</v>
      </c>
      <c r="N864" s="1" t="s">
        <v>49</v>
      </c>
      <c r="P864" s="1" t="s">
        <v>37</v>
      </c>
    </row>
    <row r="865" spans="1:16" ht="15.75" customHeight="1" x14ac:dyDescent="0.35">
      <c r="A865" s="1" t="s">
        <v>209</v>
      </c>
      <c r="C865" s="1" t="s">
        <v>203</v>
      </c>
      <c r="D865" s="1" t="s">
        <v>988</v>
      </c>
      <c r="E865" s="1" t="s">
        <v>16</v>
      </c>
      <c r="F865" s="1" t="s">
        <v>31</v>
      </c>
      <c r="G865" s="1" t="s">
        <v>61</v>
      </c>
      <c r="I865">
        <f>IF(Table1[[#This Row],[Claim_Amount]]&lt;0,0,Table1[[#This Row],[Claim_Amount]])</f>
        <v>0</v>
      </c>
      <c r="J865" t="str">
        <f>IF(Table1[[#This Row],[Column1]]=0,"",Table1[[#This Row],[Column1]])</f>
        <v/>
      </c>
      <c r="K865" t="s">
        <v>1098</v>
      </c>
      <c r="L865" s="1">
        <v>2100.4</v>
      </c>
      <c r="M865" s="1" t="s">
        <v>42</v>
      </c>
      <c r="N865" s="1" t="s">
        <v>32</v>
      </c>
      <c r="P865" s="1" t="s">
        <v>65</v>
      </c>
    </row>
    <row r="866" spans="1:16" ht="15.75" customHeight="1" x14ac:dyDescent="0.35">
      <c r="A866" s="1" t="s">
        <v>117</v>
      </c>
      <c r="C866" s="1" t="s">
        <v>463</v>
      </c>
      <c r="D866" s="1" t="s">
        <v>989</v>
      </c>
      <c r="E866" s="1" t="s">
        <v>85</v>
      </c>
      <c r="F866" s="1" t="s">
        <v>47</v>
      </c>
      <c r="G866" s="1" t="s">
        <v>24</v>
      </c>
      <c r="I866">
        <f>IF(Table1[[#This Row],[Claim_Amount]]&lt;0,0,Table1[[#This Row],[Claim_Amount]])</f>
        <v>0</v>
      </c>
      <c r="J866" t="str">
        <f>IF(Table1[[#This Row],[Column1]]=0,"",Table1[[#This Row],[Column1]])</f>
        <v/>
      </c>
      <c r="K866" t="s">
        <v>1098</v>
      </c>
      <c r="L866" s="1">
        <v>2987.56</v>
      </c>
      <c r="M866" s="1" t="s">
        <v>25</v>
      </c>
      <c r="N866" s="1" t="s">
        <v>26</v>
      </c>
      <c r="P866" s="1" t="s">
        <v>19</v>
      </c>
    </row>
    <row r="867" spans="1:16" ht="15.75" customHeight="1" x14ac:dyDescent="0.35">
      <c r="A867" s="1" t="s">
        <v>50</v>
      </c>
      <c r="C867" s="1" t="s">
        <v>625</v>
      </c>
      <c r="D867" s="1" t="s">
        <v>990</v>
      </c>
      <c r="E867" s="1" t="s">
        <v>16</v>
      </c>
      <c r="F867" s="1" t="s">
        <v>53</v>
      </c>
      <c r="G867" s="1" t="s">
        <v>24</v>
      </c>
      <c r="I867">
        <f>IF(Table1[[#This Row],[Claim_Amount]]&lt;0,0,Table1[[#This Row],[Claim_Amount]])</f>
        <v>0</v>
      </c>
      <c r="J867" t="str">
        <f>IF(Table1[[#This Row],[Column1]]=0,"",Table1[[#This Row],[Column1]])</f>
        <v/>
      </c>
      <c r="K867" t="s">
        <v>1098</v>
      </c>
      <c r="M867" s="1" t="s">
        <v>42</v>
      </c>
      <c r="N867" s="1" t="s">
        <v>57</v>
      </c>
      <c r="O867" s="1">
        <v>5</v>
      </c>
      <c r="P867" s="1" t="s">
        <v>65</v>
      </c>
    </row>
    <row r="868" spans="1:16" ht="15.75" customHeight="1" x14ac:dyDescent="0.35">
      <c r="A868" s="1" t="s">
        <v>192</v>
      </c>
      <c r="B868" s="1" t="s">
        <v>541</v>
      </c>
      <c r="C868" s="1" t="s">
        <v>469</v>
      </c>
      <c r="D868" s="1" t="s">
        <v>857</v>
      </c>
      <c r="E868" s="1" t="s">
        <v>22</v>
      </c>
      <c r="F868" s="1" t="s">
        <v>93</v>
      </c>
      <c r="G868" s="1" t="s">
        <v>48</v>
      </c>
      <c r="H868" s="1">
        <v>4129.75</v>
      </c>
      <c r="I868" s="1">
        <f>IF(Table1[[#This Row],[Claim_Amount]]&lt;0,0,Table1[[#This Row],[Claim_Amount]])</f>
        <v>4129.75</v>
      </c>
      <c r="J868" s="1">
        <f>IF(Table1[[#This Row],[Column1]]=0,"",Table1[[#This Row],[Column1]])</f>
        <v>4129.75</v>
      </c>
      <c r="K868" s="1">
        <v>4129.75</v>
      </c>
      <c r="M868" s="1" t="s">
        <v>36</v>
      </c>
      <c r="N868" s="1" t="s">
        <v>57</v>
      </c>
      <c r="P868" s="1" t="s">
        <v>27</v>
      </c>
    </row>
    <row r="869" spans="1:16" ht="15.75" customHeight="1" x14ac:dyDescent="0.35">
      <c r="A869" s="1" t="s">
        <v>277</v>
      </c>
      <c r="D869" s="1" t="s">
        <v>370</v>
      </c>
      <c r="E869" s="1" t="s">
        <v>16</v>
      </c>
      <c r="F869" s="1" t="s">
        <v>53</v>
      </c>
      <c r="G869" s="1" t="s">
        <v>54</v>
      </c>
      <c r="H869" s="1">
        <v>1157.77</v>
      </c>
      <c r="I869" s="1">
        <f>IF(Table1[[#This Row],[Claim_Amount]]&lt;0,0,Table1[[#This Row],[Claim_Amount]])</f>
        <v>1157.77</v>
      </c>
      <c r="J869" s="1">
        <f>IF(Table1[[#This Row],[Column1]]=0,"",Table1[[#This Row],[Column1]])</f>
        <v>1157.77</v>
      </c>
      <c r="K869" s="1">
        <v>1157.77</v>
      </c>
      <c r="M869" s="1" t="s">
        <v>17</v>
      </c>
      <c r="N869" s="1" t="s">
        <v>49</v>
      </c>
      <c r="P869" s="1" t="s">
        <v>27</v>
      </c>
    </row>
    <row r="870" spans="1:16" ht="15.75" customHeight="1" x14ac:dyDescent="0.35">
      <c r="A870" s="1" t="s">
        <v>163</v>
      </c>
      <c r="D870" s="1" t="s">
        <v>239</v>
      </c>
      <c r="E870" s="1" t="s">
        <v>92</v>
      </c>
      <c r="F870" s="1" t="s">
        <v>93</v>
      </c>
      <c r="G870" s="1" t="s">
        <v>24</v>
      </c>
      <c r="I870">
        <f>IF(Table1[[#This Row],[Claim_Amount]]&lt;0,0,Table1[[#This Row],[Claim_Amount]])</f>
        <v>0</v>
      </c>
      <c r="J870" t="str">
        <f>IF(Table1[[#This Row],[Column1]]=0,"",Table1[[#This Row],[Column1]])</f>
        <v/>
      </c>
      <c r="K870" t="s">
        <v>1098</v>
      </c>
      <c r="L870" s="1">
        <v>232.15</v>
      </c>
      <c r="M870" s="1" t="s">
        <v>36</v>
      </c>
      <c r="N870" s="1" t="s">
        <v>26</v>
      </c>
      <c r="O870" s="1">
        <v>9</v>
      </c>
      <c r="P870" s="1" t="s">
        <v>37</v>
      </c>
    </row>
    <row r="871" spans="1:16" ht="15.75" customHeight="1" x14ac:dyDescent="0.35">
      <c r="A871" s="1" t="s">
        <v>277</v>
      </c>
      <c r="D871" s="1" t="s">
        <v>294</v>
      </c>
      <c r="E871" s="1" t="s">
        <v>85</v>
      </c>
      <c r="G871" s="1" t="s">
        <v>48</v>
      </c>
      <c r="I871">
        <f>IF(Table1[[#This Row],[Claim_Amount]]&lt;0,0,Table1[[#This Row],[Claim_Amount]])</f>
        <v>0</v>
      </c>
      <c r="J871" t="str">
        <f>IF(Table1[[#This Row],[Column1]]=0,"",Table1[[#This Row],[Column1]])</f>
        <v/>
      </c>
      <c r="K871" t="s">
        <v>1098</v>
      </c>
      <c r="L871" s="1">
        <v>4690.3100000000004</v>
      </c>
      <c r="M871" s="1" t="s">
        <v>121</v>
      </c>
      <c r="N871" s="1" t="s">
        <v>26</v>
      </c>
      <c r="O871" s="1">
        <v>23</v>
      </c>
      <c r="P871" s="1" t="s">
        <v>37</v>
      </c>
    </row>
    <row r="872" spans="1:16" ht="15.75" customHeight="1" x14ac:dyDescent="0.35">
      <c r="A872" s="1" t="s">
        <v>212</v>
      </c>
      <c r="B872" s="1" t="s">
        <v>917</v>
      </c>
      <c r="C872" s="1" t="s">
        <v>416</v>
      </c>
      <c r="D872" s="1" t="s">
        <v>991</v>
      </c>
      <c r="E872" s="1" t="s">
        <v>77</v>
      </c>
      <c r="G872" s="1" t="s">
        <v>48</v>
      </c>
      <c r="H872" s="1">
        <v>-92</v>
      </c>
      <c r="I872" s="1">
        <f>IF(Table1[[#This Row],[Claim_Amount]]&lt;0,0,Table1[[#This Row],[Claim_Amount]])</f>
        <v>0</v>
      </c>
      <c r="J872" s="1" t="str">
        <f>IF(Table1[[#This Row],[Column1]]=0,"",Table1[[#This Row],[Column1]])</f>
        <v/>
      </c>
      <c r="K872" s="1" t="s">
        <v>1098</v>
      </c>
      <c r="M872" s="1" t="s">
        <v>121</v>
      </c>
      <c r="N872" s="1" t="s">
        <v>32</v>
      </c>
      <c r="P872" s="1" t="s">
        <v>65</v>
      </c>
    </row>
    <row r="873" spans="1:16" ht="15.75" customHeight="1" x14ac:dyDescent="0.35">
      <c r="A873" s="1" t="s">
        <v>89</v>
      </c>
      <c r="C873" s="1" t="s">
        <v>363</v>
      </c>
      <c r="D873" s="1" t="s">
        <v>837</v>
      </c>
      <c r="E873" s="1" t="s">
        <v>85</v>
      </c>
      <c r="F873" s="1" t="s">
        <v>93</v>
      </c>
      <c r="G873" s="1" t="s">
        <v>54</v>
      </c>
      <c r="I873">
        <f>IF(Table1[[#This Row],[Claim_Amount]]&lt;0,0,Table1[[#This Row],[Claim_Amount]])</f>
        <v>0</v>
      </c>
      <c r="J873" t="str">
        <f>IF(Table1[[#This Row],[Column1]]=0,"",Table1[[#This Row],[Column1]])</f>
        <v/>
      </c>
      <c r="K873" t="s">
        <v>1098</v>
      </c>
      <c r="M873" s="1" t="s">
        <v>25</v>
      </c>
      <c r="N873" s="1" t="s">
        <v>26</v>
      </c>
      <c r="P873" s="1" t="s">
        <v>27</v>
      </c>
    </row>
    <row r="874" spans="1:16" ht="15.75" customHeight="1" x14ac:dyDescent="0.35">
      <c r="A874" s="1" t="s">
        <v>110</v>
      </c>
      <c r="C874" s="1" t="s">
        <v>290</v>
      </c>
      <c r="D874" s="1" t="s">
        <v>992</v>
      </c>
      <c r="E874" s="1" t="s">
        <v>85</v>
      </c>
      <c r="F874" s="1" t="s">
        <v>31</v>
      </c>
      <c r="I874">
        <f>IF(Table1[[#This Row],[Claim_Amount]]&lt;0,0,Table1[[#This Row],[Claim_Amount]])</f>
        <v>0</v>
      </c>
      <c r="J874" t="str">
        <f>IF(Table1[[#This Row],[Column1]]=0,"",Table1[[#This Row],[Column1]])</f>
        <v/>
      </c>
      <c r="K874" t="s">
        <v>1098</v>
      </c>
      <c r="M874" s="1" t="s">
        <v>36</v>
      </c>
      <c r="N874" s="1" t="s">
        <v>57</v>
      </c>
      <c r="P874" s="1" t="s">
        <v>65</v>
      </c>
    </row>
    <row r="875" spans="1:16" ht="15.75" customHeight="1" x14ac:dyDescent="0.35">
      <c r="A875" s="1" t="s">
        <v>62</v>
      </c>
      <c r="D875" s="1" t="s">
        <v>993</v>
      </c>
      <c r="E875" s="1" t="s">
        <v>22</v>
      </c>
      <c r="F875" s="1" t="s">
        <v>53</v>
      </c>
      <c r="G875" s="1" t="s">
        <v>61</v>
      </c>
      <c r="H875" s="1">
        <v>-14</v>
      </c>
      <c r="I875" s="1">
        <f>IF(Table1[[#This Row],[Claim_Amount]]&lt;0,0,Table1[[#This Row],[Claim_Amount]])</f>
        <v>0</v>
      </c>
      <c r="J875" s="1" t="str">
        <f>IF(Table1[[#This Row],[Column1]]=0,"",Table1[[#This Row],[Column1]])</f>
        <v/>
      </c>
      <c r="K875" s="1" t="s">
        <v>1098</v>
      </c>
      <c r="L875" s="1">
        <v>2967.14</v>
      </c>
      <c r="M875" s="1" t="s">
        <v>121</v>
      </c>
      <c r="N875" s="1" t="s">
        <v>49</v>
      </c>
    </row>
    <row r="876" spans="1:16" ht="15.75" customHeight="1" x14ac:dyDescent="0.35">
      <c r="A876" s="1" t="s">
        <v>209</v>
      </c>
      <c r="C876" s="1" t="s">
        <v>463</v>
      </c>
      <c r="D876" s="1" t="s">
        <v>734</v>
      </c>
      <c r="E876" s="1" t="s">
        <v>22</v>
      </c>
      <c r="F876" s="1" t="s">
        <v>23</v>
      </c>
      <c r="G876" s="1" t="s">
        <v>24</v>
      </c>
      <c r="I876">
        <f>IF(Table1[[#This Row],[Claim_Amount]]&lt;0,0,Table1[[#This Row],[Claim_Amount]])</f>
        <v>0</v>
      </c>
      <c r="J876" t="str">
        <f>IF(Table1[[#This Row],[Column1]]=0,"",Table1[[#This Row],[Column1]])</f>
        <v/>
      </c>
      <c r="K876" t="s">
        <v>1098</v>
      </c>
      <c r="L876" s="1">
        <v>2004.32</v>
      </c>
      <c r="M876" s="1" t="s">
        <v>36</v>
      </c>
      <c r="N876" s="1" t="s">
        <v>18</v>
      </c>
      <c r="O876" s="1">
        <v>2</v>
      </c>
      <c r="P876" s="1" t="s">
        <v>37</v>
      </c>
    </row>
    <row r="877" spans="1:16" ht="15.75" customHeight="1" x14ac:dyDescent="0.35">
      <c r="A877" s="1" t="s">
        <v>170</v>
      </c>
      <c r="B877" s="1" t="s">
        <v>994</v>
      </c>
      <c r="C877" s="1" t="s">
        <v>100</v>
      </c>
      <c r="D877" s="1" t="s">
        <v>995</v>
      </c>
      <c r="E877" s="1" t="s">
        <v>77</v>
      </c>
      <c r="F877" s="1" t="s">
        <v>23</v>
      </c>
      <c r="G877" s="1" t="s">
        <v>54</v>
      </c>
      <c r="I877">
        <f>IF(Table1[[#This Row],[Claim_Amount]]&lt;0,0,Table1[[#This Row],[Claim_Amount]])</f>
        <v>0</v>
      </c>
      <c r="J877" t="str">
        <f>IF(Table1[[#This Row],[Column1]]=0,"",Table1[[#This Row],[Column1]])</f>
        <v/>
      </c>
      <c r="K877" t="s">
        <v>1098</v>
      </c>
      <c r="M877" s="1" t="s">
        <v>25</v>
      </c>
      <c r="N877" s="1" t="s">
        <v>49</v>
      </c>
      <c r="O877" s="1">
        <v>37</v>
      </c>
    </row>
    <row r="878" spans="1:16" ht="15.75" customHeight="1" x14ac:dyDescent="0.35">
      <c r="A878" s="1" t="s">
        <v>249</v>
      </c>
      <c r="C878" s="1" t="s">
        <v>509</v>
      </c>
      <c r="D878" s="1" t="s">
        <v>996</v>
      </c>
      <c r="E878" s="1" t="s">
        <v>92</v>
      </c>
      <c r="F878" s="1" t="s">
        <v>93</v>
      </c>
      <c r="G878" s="1" t="s">
        <v>54</v>
      </c>
      <c r="H878" s="1">
        <v>-13</v>
      </c>
      <c r="I878" s="1">
        <f>IF(Table1[[#This Row],[Claim_Amount]]&lt;0,0,Table1[[#This Row],[Claim_Amount]])</f>
        <v>0</v>
      </c>
      <c r="J878" s="1" t="str">
        <f>IF(Table1[[#This Row],[Column1]]=0,"",Table1[[#This Row],[Column1]])</f>
        <v/>
      </c>
      <c r="K878" s="1" t="s">
        <v>1098</v>
      </c>
      <c r="M878" s="1" t="s">
        <v>17</v>
      </c>
      <c r="N878" s="1" t="s">
        <v>49</v>
      </c>
      <c r="O878" s="1">
        <v>1</v>
      </c>
      <c r="P878" s="1" t="s">
        <v>65</v>
      </c>
    </row>
    <row r="879" spans="1:16" ht="15.75" customHeight="1" x14ac:dyDescent="0.35">
      <c r="A879" s="1" t="s">
        <v>148</v>
      </c>
      <c r="D879" s="1" t="s">
        <v>997</v>
      </c>
      <c r="E879" s="1" t="s">
        <v>77</v>
      </c>
      <c r="F879" s="1" t="s">
        <v>93</v>
      </c>
      <c r="I879">
        <f>IF(Table1[[#This Row],[Claim_Amount]]&lt;0,0,Table1[[#This Row],[Claim_Amount]])</f>
        <v>0</v>
      </c>
      <c r="J879" t="str">
        <f>IF(Table1[[#This Row],[Column1]]=0,"",Table1[[#This Row],[Column1]])</f>
        <v/>
      </c>
      <c r="K879" t="s">
        <v>1098</v>
      </c>
      <c r="M879" s="1" t="s">
        <v>36</v>
      </c>
      <c r="N879" s="1" t="s">
        <v>26</v>
      </c>
      <c r="O879" s="1">
        <v>4</v>
      </c>
      <c r="P879" s="1" t="s">
        <v>19</v>
      </c>
    </row>
    <row r="880" spans="1:16" ht="15.75" customHeight="1" x14ac:dyDescent="0.35">
      <c r="A880" s="1" t="s">
        <v>89</v>
      </c>
      <c r="B880" s="1" t="s">
        <v>998</v>
      </c>
      <c r="D880" s="1" t="s">
        <v>849</v>
      </c>
      <c r="E880" s="1" t="s">
        <v>16</v>
      </c>
      <c r="F880" s="1" t="s">
        <v>47</v>
      </c>
      <c r="G880" s="1" t="s">
        <v>54</v>
      </c>
      <c r="H880" s="1">
        <v>-41</v>
      </c>
      <c r="I880" s="1">
        <f>IF(Table1[[#This Row],[Claim_Amount]]&lt;0,0,Table1[[#This Row],[Claim_Amount]])</f>
        <v>0</v>
      </c>
      <c r="J880" s="1" t="str">
        <f>IF(Table1[[#This Row],[Column1]]=0,"",Table1[[#This Row],[Column1]])</f>
        <v/>
      </c>
      <c r="K880" s="1" t="s">
        <v>1098</v>
      </c>
      <c r="M880" s="1" t="s">
        <v>25</v>
      </c>
      <c r="N880" s="1" t="s">
        <v>32</v>
      </c>
      <c r="O880" s="1">
        <v>50</v>
      </c>
      <c r="P880" s="1" t="s">
        <v>27</v>
      </c>
    </row>
    <row r="881" spans="1:16" ht="15.75" customHeight="1" x14ac:dyDescent="0.35">
      <c r="A881" s="1" t="s">
        <v>102</v>
      </c>
      <c r="B881" s="1" t="s">
        <v>677</v>
      </c>
      <c r="D881" s="1" t="s">
        <v>223</v>
      </c>
      <c r="E881" s="1" t="s">
        <v>85</v>
      </c>
      <c r="F881" s="1" t="s">
        <v>93</v>
      </c>
      <c r="G881" s="1" t="s">
        <v>41</v>
      </c>
      <c r="I881">
        <f>IF(Table1[[#This Row],[Claim_Amount]]&lt;0,0,Table1[[#This Row],[Claim_Amount]])</f>
        <v>0</v>
      </c>
      <c r="J881" t="str">
        <f>IF(Table1[[#This Row],[Column1]]=0,"",Table1[[#This Row],[Column1]])</f>
        <v/>
      </c>
      <c r="K881" t="s">
        <v>1098</v>
      </c>
      <c r="M881" s="1" t="s">
        <v>42</v>
      </c>
      <c r="N881" s="1" t="s">
        <v>26</v>
      </c>
      <c r="P881" s="1" t="s">
        <v>37</v>
      </c>
    </row>
    <row r="882" spans="1:16" ht="15.75" customHeight="1" x14ac:dyDescent="0.35">
      <c r="A882" s="1" t="s">
        <v>108</v>
      </c>
      <c r="C882" s="1" t="s">
        <v>620</v>
      </c>
      <c r="D882" s="1" t="s">
        <v>999</v>
      </c>
      <c r="E882" s="1" t="s">
        <v>22</v>
      </c>
      <c r="F882" s="1" t="s">
        <v>47</v>
      </c>
      <c r="I882">
        <f>IF(Table1[[#This Row],[Claim_Amount]]&lt;0,0,Table1[[#This Row],[Claim_Amount]])</f>
        <v>0</v>
      </c>
      <c r="J882" t="str">
        <f>IF(Table1[[#This Row],[Column1]]=0,"",Table1[[#This Row],[Column1]])</f>
        <v/>
      </c>
      <c r="K882" t="s">
        <v>1098</v>
      </c>
      <c r="M882" s="1" t="s">
        <v>36</v>
      </c>
      <c r="N882" s="1" t="s">
        <v>49</v>
      </c>
      <c r="P882" s="1" t="s">
        <v>27</v>
      </c>
    </row>
    <row r="883" spans="1:16" ht="15.75" customHeight="1" x14ac:dyDescent="0.35">
      <c r="A883" s="1" t="s">
        <v>212</v>
      </c>
      <c r="B883" s="1" t="s">
        <v>1000</v>
      </c>
      <c r="C883" s="1" t="s">
        <v>232</v>
      </c>
      <c r="D883" s="1" t="s">
        <v>56</v>
      </c>
      <c r="E883" s="1" t="s">
        <v>35</v>
      </c>
      <c r="F883" s="1" t="s">
        <v>31</v>
      </c>
      <c r="I883">
        <f>IF(Table1[[#This Row],[Claim_Amount]]&lt;0,0,Table1[[#This Row],[Claim_Amount]])</f>
        <v>0</v>
      </c>
      <c r="J883" t="str">
        <f>IF(Table1[[#This Row],[Column1]]=0,"",Table1[[#This Row],[Column1]])</f>
        <v/>
      </c>
      <c r="K883" t="s">
        <v>1098</v>
      </c>
      <c r="L883" s="1">
        <v>4316.93</v>
      </c>
      <c r="M883" s="1" t="s">
        <v>17</v>
      </c>
      <c r="N883" s="1" t="s">
        <v>26</v>
      </c>
    </row>
    <row r="884" spans="1:16" ht="15.75" customHeight="1" x14ac:dyDescent="0.35">
      <c r="A884" s="1" t="s">
        <v>202</v>
      </c>
      <c r="D884" s="1" t="s">
        <v>1001</v>
      </c>
      <c r="E884" s="1" t="s">
        <v>22</v>
      </c>
      <c r="F884" s="1" t="s">
        <v>31</v>
      </c>
      <c r="G884" s="1" t="s">
        <v>61</v>
      </c>
      <c r="I884">
        <f>IF(Table1[[#This Row],[Claim_Amount]]&lt;0,0,Table1[[#This Row],[Claim_Amount]])</f>
        <v>0</v>
      </c>
      <c r="J884" t="str">
        <f>IF(Table1[[#This Row],[Column1]]=0,"",Table1[[#This Row],[Column1]])</f>
        <v/>
      </c>
      <c r="K884" t="s">
        <v>1098</v>
      </c>
      <c r="M884" s="1" t="s">
        <v>121</v>
      </c>
      <c r="N884" s="1" t="s">
        <v>32</v>
      </c>
      <c r="O884" s="1">
        <v>2</v>
      </c>
      <c r="P884" s="1" t="s">
        <v>19</v>
      </c>
    </row>
    <row r="885" spans="1:16" ht="15.75" customHeight="1" x14ac:dyDescent="0.35">
      <c r="A885" s="1" t="s">
        <v>192</v>
      </c>
      <c r="B885" s="1" t="s">
        <v>943</v>
      </c>
      <c r="D885" s="1" t="s">
        <v>1002</v>
      </c>
      <c r="E885" s="1" t="s">
        <v>22</v>
      </c>
      <c r="F885" s="1" t="s">
        <v>53</v>
      </c>
      <c r="G885" s="1" t="s">
        <v>61</v>
      </c>
      <c r="H885" s="1">
        <v>4876.8900000000003</v>
      </c>
      <c r="I885" s="1">
        <f>IF(Table1[[#This Row],[Claim_Amount]]&lt;0,0,Table1[[#This Row],[Claim_Amount]])</f>
        <v>4876.8900000000003</v>
      </c>
      <c r="J885" s="1">
        <f>IF(Table1[[#This Row],[Column1]]=0,"",Table1[[#This Row],[Column1]])</f>
        <v>4876.8900000000003</v>
      </c>
      <c r="K885" s="1">
        <v>4876.8900000000003</v>
      </c>
      <c r="M885" s="1" t="s">
        <v>42</v>
      </c>
      <c r="N885" s="1" t="s">
        <v>49</v>
      </c>
      <c r="O885" s="1">
        <v>1</v>
      </c>
      <c r="P885" s="1" t="s">
        <v>27</v>
      </c>
    </row>
    <row r="886" spans="1:16" ht="15.75" customHeight="1" x14ac:dyDescent="0.35">
      <c r="A886" s="1" t="s">
        <v>58</v>
      </c>
      <c r="C886" s="1" t="s">
        <v>816</v>
      </c>
      <c r="D886" s="1" t="s">
        <v>1003</v>
      </c>
      <c r="E886" s="1" t="s">
        <v>92</v>
      </c>
      <c r="F886" s="1" t="s">
        <v>23</v>
      </c>
      <c r="G886" s="1" t="s">
        <v>61</v>
      </c>
      <c r="I886">
        <f>IF(Table1[[#This Row],[Claim_Amount]]&lt;0,0,Table1[[#This Row],[Claim_Amount]])</f>
        <v>0</v>
      </c>
      <c r="J886" t="str">
        <f>IF(Table1[[#This Row],[Column1]]=0,"",Table1[[#This Row],[Column1]])</f>
        <v/>
      </c>
      <c r="K886" t="s">
        <v>1098</v>
      </c>
      <c r="L886" s="1">
        <v>4447.62</v>
      </c>
      <c r="M886" s="1" t="s">
        <v>36</v>
      </c>
      <c r="N886" s="1" t="s">
        <v>18</v>
      </c>
      <c r="O886" s="1">
        <v>37</v>
      </c>
      <c r="P886" s="1" t="s">
        <v>65</v>
      </c>
    </row>
    <row r="887" spans="1:16" ht="15.75" customHeight="1" x14ac:dyDescent="0.35">
      <c r="A887" s="1" t="s">
        <v>82</v>
      </c>
      <c r="C887" s="1" t="s">
        <v>245</v>
      </c>
      <c r="D887" s="1" t="s">
        <v>1004</v>
      </c>
      <c r="E887" s="1" t="s">
        <v>30</v>
      </c>
      <c r="F887" s="1" t="s">
        <v>31</v>
      </c>
      <c r="G887" s="1" t="s">
        <v>54</v>
      </c>
      <c r="H887" s="1">
        <v>-35</v>
      </c>
      <c r="I887" s="1">
        <f>IF(Table1[[#This Row],[Claim_Amount]]&lt;0,0,Table1[[#This Row],[Claim_Amount]])</f>
        <v>0</v>
      </c>
      <c r="J887" s="1" t="str">
        <f>IF(Table1[[#This Row],[Column1]]=0,"",Table1[[#This Row],[Column1]])</f>
        <v/>
      </c>
      <c r="K887" s="1" t="s">
        <v>1098</v>
      </c>
      <c r="L887" s="1">
        <v>3773.89</v>
      </c>
      <c r="M887" s="1" t="s">
        <v>42</v>
      </c>
      <c r="N887" s="1" t="s">
        <v>49</v>
      </c>
      <c r="P887" s="1" t="s">
        <v>27</v>
      </c>
    </row>
    <row r="888" spans="1:16" ht="15.75" customHeight="1" x14ac:dyDescent="0.35">
      <c r="A888" s="1" t="s">
        <v>38</v>
      </c>
      <c r="B888" s="1" t="s">
        <v>1005</v>
      </c>
      <c r="C888" s="1" t="s">
        <v>422</v>
      </c>
      <c r="D888" s="1" t="s">
        <v>1006</v>
      </c>
      <c r="E888" s="1" t="s">
        <v>77</v>
      </c>
      <c r="F888" s="1" t="s">
        <v>23</v>
      </c>
      <c r="G888" s="1" t="s">
        <v>48</v>
      </c>
      <c r="H888" s="1">
        <v>4057.03</v>
      </c>
      <c r="I888" s="1">
        <f>IF(Table1[[#This Row],[Claim_Amount]]&lt;0,0,Table1[[#This Row],[Claim_Amount]])</f>
        <v>4057.03</v>
      </c>
      <c r="J888" s="1">
        <f>IF(Table1[[#This Row],[Column1]]=0,"",Table1[[#This Row],[Column1]])</f>
        <v>4057.03</v>
      </c>
      <c r="K888" s="1">
        <v>4057.03</v>
      </c>
      <c r="M888" s="1" t="s">
        <v>36</v>
      </c>
      <c r="N888" s="1" t="s">
        <v>18</v>
      </c>
      <c r="P888" s="1" t="s">
        <v>65</v>
      </c>
    </row>
    <row r="889" spans="1:16" ht="15.75" customHeight="1" x14ac:dyDescent="0.35">
      <c r="A889" s="1" t="s">
        <v>102</v>
      </c>
      <c r="C889" s="1" t="s">
        <v>592</v>
      </c>
      <c r="D889" s="1" t="s">
        <v>565</v>
      </c>
      <c r="E889" s="1" t="s">
        <v>35</v>
      </c>
      <c r="G889" s="1" t="s">
        <v>24</v>
      </c>
      <c r="I889">
        <f>IF(Table1[[#This Row],[Claim_Amount]]&lt;0,0,Table1[[#This Row],[Claim_Amount]])</f>
        <v>0</v>
      </c>
      <c r="J889" t="str">
        <f>IF(Table1[[#This Row],[Column1]]=0,"",Table1[[#This Row],[Column1]])</f>
        <v/>
      </c>
      <c r="K889" t="s">
        <v>1098</v>
      </c>
      <c r="L889" s="1">
        <v>4948.75</v>
      </c>
      <c r="M889" s="1" t="s">
        <v>36</v>
      </c>
      <c r="N889" s="1" t="s">
        <v>32</v>
      </c>
      <c r="P889" s="1" t="s">
        <v>65</v>
      </c>
    </row>
    <row r="890" spans="1:16" ht="15.75" customHeight="1" x14ac:dyDescent="0.35">
      <c r="A890" s="1" t="s">
        <v>117</v>
      </c>
      <c r="B890" s="1" t="s">
        <v>1007</v>
      </c>
      <c r="D890" s="1" t="s">
        <v>1008</v>
      </c>
      <c r="E890" s="1" t="s">
        <v>85</v>
      </c>
      <c r="F890" s="1" t="s">
        <v>47</v>
      </c>
      <c r="G890" s="1" t="s">
        <v>41</v>
      </c>
      <c r="H890" s="1">
        <v>-113</v>
      </c>
      <c r="I890" s="1">
        <f>IF(Table1[[#This Row],[Claim_Amount]]&lt;0,0,Table1[[#This Row],[Claim_Amount]])</f>
        <v>0</v>
      </c>
      <c r="J890" s="1" t="str">
        <f>IF(Table1[[#This Row],[Column1]]=0,"",Table1[[#This Row],[Column1]])</f>
        <v/>
      </c>
      <c r="K890" s="1" t="s">
        <v>1098</v>
      </c>
      <c r="M890" s="1" t="s">
        <v>42</v>
      </c>
      <c r="N890" s="1" t="s">
        <v>18</v>
      </c>
      <c r="O890" s="1">
        <v>39</v>
      </c>
      <c r="P890" s="1" t="s">
        <v>37</v>
      </c>
    </row>
    <row r="891" spans="1:16" ht="15.75" customHeight="1" x14ac:dyDescent="0.35">
      <c r="A891" s="1" t="s">
        <v>247</v>
      </c>
      <c r="C891" s="1" t="s">
        <v>625</v>
      </c>
      <c r="D891" s="1" t="s">
        <v>199</v>
      </c>
      <c r="E891" s="1" t="s">
        <v>35</v>
      </c>
      <c r="F891" s="1" t="s">
        <v>31</v>
      </c>
      <c r="H891" s="1">
        <v>684.55</v>
      </c>
      <c r="I891" s="1">
        <f>IF(Table1[[#This Row],[Claim_Amount]]&lt;0,0,Table1[[#This Row],[Claim_Amount]])</f>
        <v>684.55</v>
      </c>
      <c r="J891" s="1">
        <f>IF(Table1[[#This Row],[Column1]]=0,"",Table1[[#This Row],[Column1]])</f>
        <v>684.55</v>
      </c>
      <c r="K891" s="1">
        <v>684.55</v>
      </c>
      <c r="L891" s="1">
        <v>4837.51</v>
      </c>
      <c r="M891" s="1" t="s">
        <v>17</v>
      </c>
      <c r="N891" s="1" t="s">
        <v>26</v>
      </c>
      <c r="O891" s="1">
        <v>14</v>
      </c>
      <c r="P891" s="1" t="s">
        <v>19</v>
      </c>
    </row>
    <row r="892" spans="1:16" ht="15.75" customHeight="1" x14ac:dyDescent="0.35">
      <c r="A892" s="1" t="s">
        <v>168</v>
      </c>
      <c r="C892" s="1" t="s">
        <v>331</v>
      </c>
      <c r="D892" s="1" t="s">
        <v>1009</v>
      </c>
      <c r="E892" s="1" t="s">
        <v>16</v>
      </c>
      <c r="G892" s="1" t="s">
        <v>24</v>
      </c>
      <c r="H892" s="1">
        <v>3600.32</v>
      </c>
      <c r="I892" s="1">
        <f>IF(Table1[[#This Row],[Claim_Amount]]&lt;0,0,Table1[[#This Row],[Claim_Amount]])</f>
        <v>3600.32</v>
      </c>
      <c r="J892" s="1">
        <f>IF(Table1[[#This Row],[Column1]]=0,"",Table1[[#This Row],[Column1]])</f>
        <v>3600.32</v>
      </c>
      <c r="K892" s="1">
        <v>3600.32</v>
      </c>
      <c r="M892" s="1" t="s">
        <v>17</v>
      </c>
      <c r="N892" s="1" t="s">
        <v>49</v>
      </c>
      <c r="O892" s="1">
        <v>9</v>
      </c>
      <c r="P892" s="1" t="s">
        <v>19</v>
      </c>
    </row>
    <row r="893" spans="1:16" ht="15.75" customHeight="1" x14ac:dyDescent="0.35">
      <c r="A893" s="1" t="s">
        <v>242</v>
      </c>
      <c r="D893" s="1" t="s">
        <v>438</v>
      </c>
      <c r="E893" s="1" t="s">
        <v>85</v>
      </c>
      <c r="F893" s="1" t="s">
        <v>93</v>
      </c>
      <c r="G893" s="1" t="s">
        <v>48</v>
      </c>
      <c r="I893">
        <f>IF(Table1[[#This Row],[Claim_Amount]]&lt;0,0,Table1[[#This Row],[Claim_Amount]])</f>
        <v>0</v>
      </c>
      <c r="J893" t="str">
        <f>IF(Table1[[#This Row],[Column1]]=0,"",Table1[[#This Row],[Column1]])</f>
        <v/>
      </c>
      <c r="K893" t="s">
        <v>1098</v>
      </c>
      <c r="M893" s="1" t="s">
        <v>121</v>
      </c>
      <c r="N893" s="1" t="s">
        <v>26</v>
      </c>
      <c r="O893" s="1">
        <v>16</v>
      </c>
      <c r="P893" s="1" t="s">
        <v>37</v>
      </c>
    </row>
    <row r="894" spans="1:16" ht="15.75" customHeight="1" x14ac:dyDescent="0.35">
      <c r="A894" s="1" t="s">
        <v>173</v>
      </c>
      <c r="B894" s="1" t="s">
        <v>950</v>
      </c>
      <c r="D894" s="1" t="s">
        <v>276</v>
      </c>
      <c r="E894" s="1" t="s">
        <v>16</v>
      </c>
      <c r="F894" s="1" t="s">
        <v>31</v>
      </c>
      <c r="G894" s="1" t="s">
        <v>24</v>
      </c>
      <c r="H894" s="1">
        <v>-55</v>
      </c>
      <c r="I894" s="1">
        <f>IF(Table1[[#This Row],[Claim_Amount]]&lt;0,0,Table1[[#This Row],[Claim_Amount]])</f>
        <v>0</v>
      </c>
      <c r="J894" s="1" t="str">
        <f>IF(Table1[[#This Row],[Column1]]=0,"",Table1[[#This Row],[Column1]])</f>
        <v/>
      </c>
      <c r="K894" s="1" t="s">
        <v>1098</v>
      </c>
      <c r="M894" s="1" t="s">
        <v>36</v>
      </c>
      <c r="N894" s="1" t="s">
        <v>26</v>
      </c>
      <c r="P894" s="1" t="s">
        <v>27</v>
      </c>
    </row>
    <row r="895" spans="1:16" ht="15.75" customHeight="1" x14ac:dyDescent="0.35">
      <c r="A895" s="1" t="s">
        <v>192</v>
      </c>
      <c r="B895" s="1" t="s">
        <v>578</v>
      </c>
      <c r="C895" s="1" t="s">
        <v>232</v>
      </c>
      <c r="D895" s="1" t="s">
        <v>1010</v>
      </c>
      <c r="E895" s="1" t="s">
        <v>92</v>
      </c>
      <c r="F895" s="1" t="s">
        <v>93</v>
      </c>
      <c r="G895" s="1" t="s">
        <v>48</v>
      </c>
      <c r="H895" s="1">
        <v>1141.8</v>
      </c>
      <c r="I895" s="1">
        <f>IF(Table1[[#This Row],[Claim_Amount]]&lt;0,0,Table1[[#This Row],[Claim_Amount]])</f>
        <v>1141.8</v>
      </c>
      <c r="J895" s="1">
        <f>IF(Table1[[#This Row],[Column1]]=0,"",Table1[[#This Row],[Column1]])</f>
        <v>1141.8</v>
      </c>
      <c r="K895" s="1">
        <v>1141.8</v>
      </c>
      <c r="M895" s="1" t="s">
        <v>121</v>
      </c>
      <c r="N895" s="1" t="s">
        <v>49</v>
      </c>
    </row>
    <row r="896" spans="1:16" ht="15.75" customHeight="1" x14ac:dyDescent="0.35">
      <c r="A896" s="1" t="s">
        <v>43</v>
      </c>
      <c r="B896" s="1" t="s">
        <v>694</v>
      </c>
      <c r="D896" s="1" t="s">
        <v>1011</v>
      </c>
      <c r="E896" s="1" t="s">
        <v>92</v>
      </c>
      <c r="G896" s="1" t="s">
        <v>54</v>
      </c>
      <c r="H896" s="1">
        <v>4007.33</v>
      </c>
      <c r="I896" s="1">
        <f>IF(Table1[[#This Row],[Claim_Amount]]&lt;0,0,Table1[[#This Row],[Claim_Amount]])</f>
        <v>4007.33</v>
      </c>
      <c r="J896" s="1">
        <f>IF(Table1[[#This Row],[Column1]]=0,"",Table1[[#This Row],[Column1]])</f>
        <v>4007.33</v>
      </c>
      <c r="K896" s="1">
        <v>4007.33</v>
      </c>
      <c r="L896" s="1">
        <v>361.69</v>
      </c>
      <c r="M896" s="1" t="s">
        <v>17</v>
      </c>
      <c r="N896" s="1" t="s">
        <v>32</v>
      </c>
      <c r="O896" s="1">
        <v>16</v>
      </c>
    </row>
    <row r="897" spans="1:16" ht="15.75" customHeight="1" x14ac:dyDescent="0.35">
      <c r="A897" s="1" t="s">
        <v>110</v>
      </c>
      <c r="D897" s="1" t="s">
        <v>1012</v>
      </c>
      <c r="E897" s="1" t="s">
        <v>92</v>
      </c>
      <c r="G897" s="1" t="s">
        <v>54</v>
      </c>
      <c r="H897" s="1">
        <v>2127.64</v>
      </c>
      <c r="I897" s="1">
        <f>IF(Table1[[#This Row],[Claim_Amount]]&lt;0,0,Table1[[#This Row],[Claim_Amount]])</f>
        <v>2127.64</v>
      </c>
      <c r="J897" s="1">
        <f>IF(Table1[[#This Row],[Column1]]=0,"",Table1[[#This Row],[Column1]])</f>
        <v>2127.64</v>
      </c>
      <c r="K897" s="1">
        <v>2127.64</v>
      </c>
      <c r="L897" s="1">
        <v>2431.0500000000002</v>
      </c>
      <c r="M897" s="1" t="s">
        <v>25</v>
      </c>
      <c r="N897" s="1" t="s">
        <v>32</v>
      </c>
      <c r="P897" s="1" t="s">
        <v>27</v>
      </c>
    </row>
    <row r="898" spans="1:16" ht="15.75" customHeight="1" x14ac:dyDescent="0.35">
      <c r="A898" s="1" t="s">
        <v>321</v>
      </c>
      <c r="D898" s="1" t="s">
        <v>461</v>
      </c>
      <c r="E898" s="1" t="s">
        <v>92</v>
      </c>
      <c r="F898" s="1" t="s">
        <v>23</v>
      </c>
      <c r="G898" s="1" t="s">
        <v>48</v>
      </c>
      <c r="I898">
        <f>IF(Table1[[#This Row],[Claim_Amount]]&lt;0,0,Table1[[#This Row],[Claim_Amount]])</f>
        <v>0</v>
      </c>
      <c r="J898" t="str">
        <f>IF(Table1[[#This Row],[Column1]]=0,"",Table1[[#This Row],[Column1]])</f>
        <v/>
      </c>
      <c r="K898" t="s">
        <v>1098</v>
      </c>
      <c r="M898" s="1" t="s">
        <v>42</v>
      </c>
      <c r="N898" s="1" t="s">
        <v>49</v>
      </c>
      <c r="O898" s="1">
        <v>48</v>
      </c>
    </row>
    <row r="899" spans="1:16" ht="15.75" customHeight="1" x14ac:dyDescent="0.35">
      <c r="A899" s="1" t="s">
        <v>114</v>
      </c>
      <c r="B899" s="1" t="s">
        <v>688</v>
      </c>
      <c r="C899" s="1" t="s">
        <v>100</v>
      </c>
      <c r="D899" s="1" t="s">
        <v>551</v>
      </c>
      <c r="E899" s="1" t="s">
        <v>85</v>
      </c>
      <c r="F899" s="1" t="s">
        <v>93</v>
      </c>
      <c r="G899" s="1" t="s">
        <v>48</v>
      </c>
      <c r="H899" s="1">
        <v>-62</v>
      </c>
      <c r="I899" s="1">
        <f>IF(Table1[[#This Row],[Claim_Amount]]&lt;0,0,Table1[[#This Row],[Claim_Amount]])</f>
        <v>0</v>
      </c>
      <c r="J899" s="1" t="str">
        <f>IF(Table1[[#This Row],[Column1]]=0,"",Table1[[#This Row],[Column1]])</f>
        <v/>
      </c>
      <c r="K899" s="1" t="s">
        <v>1098</v>
      </c>
      <c r="M899" s="1" t="s">
        <v>25</v>
      </c>
      <c r="N899" s="1" t="s">
        <v>26</v>
      </c>
      <c r="P899" s="1" t="s">
        <v>37</v>
      </c>
    </row>
    <row r="900" spans="1:16" ht="15.75" customHeight="1" x14ac:dyDescent="0.35">
      <c r="A900" s="1" t="s">
        <v>137</v>
      </c>
      <c r="B900" s="1" t="s">
        <v>382</v>
      </c>
      <c r="C900" s="1" t="s">
        <v>278</v>
      </c>
      <c r="D900" s="1" t="s">
        <v>288</v>
      </c>
      <c r="E900" s="1" t="s">
        <v>92</v>
      </c>
      <c r="F900" s="1" t="s">
        <v>23</v>
      </c>
      <c r="G900" s="1" t="s">
        <v>54</v>
      </c>
      <c r="H900" s="1">
        <v>-81</v>
      </c>
      <c r="I900" s="1">
        <f>IF(Table1[[#This Row],[Claim_Amount]]&lt;0,0,Table1[[#This Row],[Claim_Amount]])</f>
        <v>0</v>
      </c>
      <c r="J900" s="1" t="str">
        <f>IF(Table1[[#This Row],[Column1]]=0,"",Table1[[#This Row],[Column1]])</f>
        <v/>
      </c>
      <c r="K900" s="1" t="s">
        <v>1098</v>
      </c>
      <c r="L900" s="1">
        <v>4470.8599999999997</v>
      </c>
      <c r="M900" s="1" t="s">
        <v>42</v>
      </c>
      <c r="N900" s="1" t="s">
        <v>18</v>
      </c>
      <c r="O900" s="1">
        <v>39</v>
      </c>
      <c r="P900" s="1" t="s">
        <v>19</v>
      </c>
    </row>
    <row r="901" spans="1:16" ht="15.75" customHeight="1" x14ac:dyDescent="0.35">
      <c r="A901" s="1" t="s">
        <v>247</v>
      </c>
      <c r="C901" s="1" t="s">
        <v>133</v>
      </c>
      <c r="D901" s="1" t="s">
        <v>1013</v>
      </c>
      <c r="E901" s="1" t="s">
        <v>30</v>
      </c>
      <c r="F901" s="1" t="s">
        <v>93</v>
      </c>
      <c r="H901" s="1">
        <v>3798.77</v>
      </c>
      <c r="I901" s="1">
        <f>IF(Table1[[#This Row],[Claim_Amount]]&lt;0,0,Table1[[#This Row],[Claim_Amount]])</f>
        <v>3798.77</v>
      </c>
      <c r="J901" s="1">
        <f>IF(Table1[[#This Row],[Column1]]=0,"",Table1[[#This Row],[Column1]])</f>
        <v>3798.77</v>
      </c>
      <c r="K901" s="1">
        <v>3798.77</v>
      </c>
      <c r="M901" s="1" t="s">
        <v>17</v>
      </c>
      <c r="N901" s="1" t="s">
        <v>49</v>
      </c>
      <c r="P901" s="1" t="s">
        <v>19</v>
      </c>
    </row>
    <row r="902" spans="1:16" ht="15.75" customHeight="1" x14ac:dyDescent="0.35">
      <c r="A902" s="1" t="s">
        <v>96</v>
      </c>
      <c r="D902" s="1" t="s">
        <v>606</v>
      </c>
      <c r="E902" s="1" t="s">
        <v>92</v>
      </c>
      <c r="F902" s="1" t="s">
        <v>53</v>
      </c>
      <c r="G902" s="1" t="s">
        <v>54</v>
      </c>
      <c r="H902" s="1">
        <v>3494.9</v>
      </c>
      <c r="I902" s="1">
        <f>IF(Table1[[#This Row],[Claim_Amount]]&lt;0,0,Table1[[#This Row],[Claim_Amount]])</f>
        <v>3494.9</v>
      </c>
      <c r="J902" s="1">
        <f>IF(Table1[[#This Row],[Column1]]=0,"",Table1[[#This Row],[Column1]])</f>
        <v>3494.9</v>
      </c>
      <c r="K902" s="1">
        <v>3494.9</v>
      </c>
      <c r="M902" s="1" t="s">
        <v>25</v>
      </c>
      <c r="N902" s="1" t="s">
        <v>32</v>
      </c>
      <c r="O902" s="1">
        <v>12</v>
      </c>
      <c r="P902" s="1" t="s">
        <v>65</v>
      </c>
    </row>
    <row r="903" spans="1:16" ht="15.75" customHeight="1" x14ac:dyDescent="0.35">
      <c r="A903" s="1" t="s">
        <v>198</v>
      </c>
      <c r="B903" s="1" t="s">
        <v>406</v>
      </c>
      <c r="C903" s="1" t="s">
        <v>183</v>
      </c>
      <c r="D903" s="1" t="s">
        <v>1014</v>
      </c>
      <c r="E903" s="1" t="s">
        <v>92</v>
      </c>
      <c r="F903" s="1" t="s">
        <v>53</v>
      </c>
      <c r="G903" s="1" t="s">
        <v>61</v>
      </c>
      <c r="I903">
        <f>IF(Table1[[#This Row],[Claim_Amount]]&lt;0,0,Table1[[#This Row],[Claim_Amount]])</f>
        <v>0</v>
      </c>
      <c r="J903" t="str">
        <f>IF(Table1[[#This Row],[Column1]]=0,"",Table1[[#This Row],[Column1]])</f>
        <v/>
      </c>
      <c r="K903" t="s">
        <v>1098</v>
      </c>
      <c r="M903" s="1" t="s">
        <v>17</v>
      </c>
      <c r="N903" s="1" t="s">
        <v>32</v>
      </c>
      <c r="P903" s="1" t="s">
        <v>37</v>
      </c>
    </row>
    <row r="904" spans="1:16" ht="15.75" customHeight="1" x14ac:dyDescent="0.35">
      <c r="A904" s="1" t="s">
        <v>50</v>
      </c>
      <c r="B904" s="1" t="s">
        <v>1015</v>
      </c>
      <c r="D904" s="1" t="s">
        <v>1016</v>
      </c>
      <c r="E904" s="1" t="s">
        <v>16</v>
      </c>
      <c r="F904" s="1" t="s">
        <v>47</v>
      </c>
      <c r="G904" s="1" t="s">
        <v>24</v>
      </c>
      <c r="H904" s="1">
        <v>3437.98</v>
      </c>
      <c r="I904" s="1">
        <f>IF(Table1[[#This Row],[Claim_Amount]]&lt;0,0,Table1[[#This Row],[Claim_Amount]])</f>
        <v>3437.98</v>
      </c>
      <c r="J904" s="1">
        <f>IF(Table1[[#This Row],[Column1]]=0,"",Table1[[#This Row],[Column1]])</f>
        <v>3437.98</v>
      </c>
      <c r="K904" s="1">
        <v>3437.98</v>
      </c>
      <c r="L904" s="1">
        <v>469.9</v>
      </c>
      <c r="M904" s="1" t="s">
        <v>17</v>
      </c>
      <c r="N904" s="1" t="s">
        <v>26</v>
      </c>
      <c r="P904" s="1" t="s">
        <v>19</v>
      </c>
    </row>
    <row r="905" spans="1:16" ht="15.75" customHeight="1" x14ac:dyDescent="0.35">
      <c r="A905" s="1" t="s">
        <v>62</v>
      </c>
      <c r="D905" s="1" t="s">
        <v>1017</v>
      </c>
      <c r="E905" s="1" t="s">
        <v>35</v>
      </c>
      <c r="F905" s="1" t="s">
        <v>47</v>
      </c>
      <c r="G905" s="1" t="s">
        <v>54</v>
      </c>
      <c r="I905">
        <f>IF(Table1[[#This Row],[Claim_Amount]]&lt;0,0,Table1[[#This Row],[Claim_Amount]])</f>
        <v>0</v>
      </c>
      <c r="J905" t="str">
        <f>IF(Table1[[#This Row],[Column1]]=0,"",Table1[[#This Row],[Column1]])</f>
        <v/>
      </c>
      <c r="K905" t="s">
        <v>1098</v>
      </c>
      <c r="L905" s="1">
        <v>4437.62</v>
      </c>
      <c r="M905" s="1" t="s">
        <v>36</v>
      </c>
      <c r="N905" s="1" t="s">
        <v>57</v>
      </c>
      <c r="P905" s="1" t="s">
        <v>65</v>
      </c>
    </row>
    <row r="906" spans="1:16" ht="15.75" customHeight="1" x14ac:dyDescent="0.35">
      <c r="A906" s="1" t="s">
        <v>215</v>
      </c>
      <c r="B906" s="1" t="s">
        <v>763</v>
      </c>
      <c r="D906" s="1" t="s">
        <v>428</v>
      </c>
      <c r="E906" s="1" t="s">
        <v>85</v>
      </c>
      <c r="G906" s="1" t="s">
        <v>61</v>
      </c>
      <c r="H906" s="1">
        <v>-85</v>
      </c>
      <c r="I906" s="1">
        <f>IF(Table1[[#This Row],[Claim_Amount]]&lt;0,0,Table1[[#This Row],[Claim_Amount]])</f>
        <v>0</v>
      </c>
      <c r="J906" s="1" t="str">
        <f>IF(Table1[[#This Row],[Column1]]=0,"",Table1[[#This Row],[Column1]])</f>
        <v/>
      </c>
      <c r="K906" s="1" t="s">
        <v>1098</v>
      </c>
      <c r="M906" s="1" t="s">
        <v>25</v>
      </c>
      <c r="N906" s="1" t="s">
        <v>57</v>
      </c>
      <c r="P906" s="1" t="s">
        <v>65</v>
      </c>
    </row>
    <row r="907" spans="1:16" ht="15.75" customHeight="1" x14ac:dyDescent="0.35">
      <c r="A907" s="1" t="s">
        <v>82</v>
      </c>
      <c r="C907" s="1" t="s">
        <v>592</v>
      </c>
      <c r="D907" s="1" t="s">
        <v>1018</v>
      </c>
      <c r="E907" s="1" t="s">
        <v>30</v>
      </c>
      <c r="I907">
        <f>IF(Table1[[#This Row],[Claim_Amount]]&lt;0,0,Table1[[#This Row],[Claim_Amount]])</f>
        <v>0</v>
      </c>
      <c r="J907" t="str">
        <f>IF(Table1[[#This Row],[Column1]]=0,"",Table1[[#This Row],[Column1]])</f>
        <v/>
      </c>
      <c r="K907" t="s">
        <v>1098</v>
      </c>
      <c r="L907" s="1">
        <v>2718.18</v>
      </c>
      <c r="M907" s="1" t="s">
        <v>17</v>
      </c>
      <c r="N907" s="1" t="s">
        <v>18</v>
      </c>
      <c r="O907" s="1">
        <v>58</v>
      </c>
    </row>
    <row r="908" spans="1:16" ht="15.75" customHeight="1" x14ac:dyDescent="0.35">
      <c r="A908" s="1" t="s">
        <v>154</v>
      </c>
      <c r="B908" s="1" t="s">
        <v>1019</v>
      </c>
      <c r="C908" s="1" t="s">
        <v>453</v>
      </c>
      <c r="D908" s="1" t="s">
        <v>692</v>
      </c>
      <c r="E908" s="1" t="s">
        <v>92</v>
      </c>
      <c r="F908" s="1" t="s">
        <v>31</v>
      </c>
      <c r="G908" s="1" t="s">
        <v>41</v>
      </c>
      <c r="H908" s="1">
        <v>2767.09</v>
      </c>
      <c r="I908" s="1">
        <f>IF(Table1[[#This Row],[Claim_Amount]]&lt;0,0,Table1[[#This Row],[Claim_Amount]])</f>
        <v>2767.09</v>
      </c>
      <c r="J908" s="1">
        <f>IF(Table1[[#This Row],[Column1]]=0,"",Table1[[#This Row],[Column1]])</f>
        <v>2767.09</v>
      </c>
      <c r="K908" s="1">
        <v>2767.09</v>
      </c>
      <c r="L908" s="1">
        <v>2167.2199999999998</v>
      </c>
      <c r="M908" s="1" t="s">
        <v>17</v>
      </c>
      <c r="N908" s="1" t="s">
        <v>18</v>
      </c>
      <c r="P908" s="1" t="s">
        <v>19</v>
      </c>
    </row>
    <row r="909" spans="1:16" ht="15.75" customHeight="1" x14ac:dyDescent="0.35">
      <c r="A909" s="1" t="s">
        <v>302</v>
      </c>
      <c r="C909" s="1" t="s">
        <v>218</v>
      </c>
      <c r="D909" s="1" t="s">
        <v>1020</v>
      </c>
      <c r="E909" s="1" t="s">
        <v>35</v>
      </c>
      <c r="F909" s="1" t="s">
        <v>31</v>
      </c>
      <c r="G909" s="1" t="s">
        <v>48</v>
      </c>
      <c r="I909">
        <f>IF(Table1[[#This Row],[Claim_Amount]]&lt;0,0,Table1[[#This Row],[Claim_Amount]])</f>
        <v>0</v>
      </c>
      <c r="J909" t="str">
        <f>IF(Table1[[#This Row],[Column1]]=0,"",Table1[[#This Row],[Column1]])</f>
        <v/>
      </c>
      <c r="K909" t="s">
        <v>1098</v>
      </c>
      <c r="L909" s="1">
        <v>198.3</v>
      </c>
      <c r="M909" s="1" t="s">
        <v>25</v>
      </c>
      <c r="N909" s="1" t="s">
        <v>26</v>
      </c>
      <c r="P909" s="1" t="s">
        <v>19</v>
      </c>
    </row>
    <row r="910" spans="1:16" ht="15.75" customHeight="1" x14ac:dyDescent="0.35">
      <c r="A910" s="1" t="s">
        <v>96</v>
      </c>
      <c r="B910" s="1" t="s">
        <v>1021</v>
      </c>
      <c r="C910" s="1" t="s">
        <v>63</v>
      </c>
      <c r="D910" s="1" t="s">
        <v>785</v>
      </c>
      <c r="E910" s="1" t="s">
        <v>22</v>
      </c>
      <c r="F910" s="1" t="s">
        <v>23</v>
      </c>
      <c r="G910" s="1" t="s">
        <v>48</v>
      </c>
      <c r="I910">
        <f>IF(Table1[[#This Row],[Claim_Amount]]&lt;0,0,Table1[[#This Row],[Claim_Amount]])</f>
        <v>0</v>
      </c>
      <c r="J910" t="str">
        <f>IF(Table1[[#This Row],[Column1]]=0,"",Table1[[#This Row],[Column1]])</f>
        <v/>
      </c>
      <c r="K910" t="s">
        <v>1098</v>
      </c>
      <c r="M910" s="1" t="s">
        <v>36</v>
      </c>
      <c r="N910" s="1" t="s">
        <v>26</v>
      </c>
      <c r="O910" s="1">
        <v>46</v>
      </c>
      <c r="P910" s="1" t="s">
        <v>27</v>
      </c>
    </row>
    <row r="911" spans="1:16" ht="15.75" customHeight="1" x14ac:dyDescent="0.35">
      <c r="A911" s="1" t="s">
        <v>58</v>
      </c>
      <c r="D911" s="1" t="s">
        <v>1022</v>
      </c>
      <c r="E911" s="1" t="s">
        <v>30</v>
      </c>
      <c r="F911" s="1" t="s">
        <v>93</v>
      </c>
      <c r="G911" s="1" t="s">
        <v>54</v>
      </c>
      <c r="H911" s="1">
        <v>-148</v>
      </c>
      <c r="I911" s="1">
        <f>IF(Table1[[#This Row],[Claim_Amount]]&lt;0,0,Table1[[#This Row],[Claim_Amount]])</f>
        <v>0</v>
      </c>
      <c r="J911" s="1" t="str">
        <f>IF(Table1[[#This Row],[Column1]]=0,"",Table1[[#This Row],[Column1]])</f>
        <v/>
      </c>
      <c r="K911" s="1" t="s">
        <v>1098</v>
      </c>
      <c r="M911" s="1" t="s">
        <v>25</v>
      </c>
      <c r="N911" s="1" t="s">
        <v>18</v>
      </c>
    </row>
    <row r="912" spans="1:16" ht="15.75" customHeight="1" x14ac:dyDescent="0.35">
      <c r="A912" s="1" t="s">
        <v>110</v>
      </c>
      <c r="D912" s="1" t="s">
        <v>216</v>
      </c>
      <c r="E912" s="1" t="s">
        <v>16</v>
      </c>
      <c r="F912" s="1" t="s">
        <v>23</v>
      </c>
      <c r="G912" s="1" t="s">
        <v>54</v>
      </c>
      <c r="I912">
        <f>IF(Table1[[#This Row],[Claim_Amount]]&lt;0,0,Table1[[#This Row],[Claim_Amount]])</f>
        <v>0</v>
      </c>
      <c r="J912" t="str">
        <f>IF(Table1[[#This Row],[Column1]]=0,"",Table1[[#This Row],[Column1]])</f>
        <v/>
      </c>
      <c r="K912" t="s">
        <v>1098</v>
      </c>
      <c r="M912" s="1" t="s">
        <v>42</v>
      </c>
      <c r="N912" s="1" t="s">
        <v>32</v>
      </c>
    </row>
    <row r="913" spans="1:16" ht="15.75" customHeight="1" x14ac:dyDescent="0.35">
      <c r="A913" s="1" t="s">
        <v>38</v>
      </c>
      <c r="B913" s="1" t="s">
        <v>967</v>
      </c>
      <c r="D913" s="1" t="s">
        <v>259</v>
      </c>
      <c r="E913" s="1" t="s">
        <v>85</v>
      </c>
      <c r="F913" s="1" t="s">
        <v>31</v>
      </c>
      <c r="G913" s="1" t="s">
        <v>54</v>
      </c>
      <c r="I913">
        <f>IF(Table1[[#This Row],[Claim_Amount]]&lt;0,0,Table1[[#This Row],[Claim_Amount]])</f>
        <v>0</v>
      </c>
      <c r="J913" t="str">
        <f>IF(Table1[[#This Row],[Column1]]=0,"",Table1[[#This Row],[Column1]])</f>
        <v/>
      </c>
      <c r="K913" t="s">
        <v>1098</v>
      </c>
      <c r="M913" s="1" t="s">
        <v>42</v>
      </c>
      <c r="N913" s="1" t="s">
        <v>18</v>
      </c>
      <c r="P913" s="1" t="s">
        <v>37</v>
      </c>
    </row>
    <row r="914" spans="1:16" ht="15.75" customHeight="1" x14ac:dyDescent="0.35">
      <c r="A914" s="1" t="s">
        <v>168</v>
      </c>
      <c r="C914" s="1" t="s">
        <v>314</v>
      </c>
      <c r="D914" s="1" t="s">
        <v>169</v>
      </c>
      <c r="E914" s="1" t="s">
        <v>85</v>
      </c>
      <c r="F914" s="1" t="s">
        <v>93</v>
      </c>
      <c r="G914" s="1" t="s">
        <v>48</v>
      </c>
      <c r="H914" s="1">
        <v>-167</v>
      </c>
      <c r="I914" s="1">
        <f>IF(Table1[[#This Row],[Claim_Amount]]&lt;0,0,Table1[[#This Row],[Claim_Amount]])</f>
        <v>0</v>
      </c>
      <c r="J914" s="1" t="str">
        <f>IF(Table1[[#This Row],[Column1]]=0,"",Table1[[#This Row],[Column1]])</f>
        <v/>
      </c>
      <c r="K914" s="1" t="s">
        <v>1098</v>
      </c>
      <c r="L914" s="1">
        <v>3109.55</v>
      </c>
      <c r="M914" s="1" t="s">
        <v>36</v>
      </c>
      <c r="N914" s="1" t="s">
        <v>57</v>
      </c>
      <c r="O914" s="1">
        <v>11</v>
      </c>
      <c r="P914" s="1" t="s">
        <v>19</v>
      </c>
    </row>
    <row r="915" spans="1:16" ht="15.75" customHeight="1" x14ac:dyDescent="0.35">
      <c r="A915" s="1" t="s">
        <v>82</v>
      </c>
      <c r="B915" s="1" t="s">
        <v>1023</v>
      </c>
      <c r="D915" s="1" t="s">
        <v>1024</v>
      </c>
      <c r="E915" s="1" t="s">
        <v>30</v>
      </c>
      <c r="G915" s="1" t="s">
        <v>61</v>
      </c>
      <c r="I915">
        <f>IF(Table1[[#This Row],[Claim_Amount]]&lt;0,0,Table1[[#This Row],[Claim_Amount]])</f>
        <v>0</v>
      </c>
      <c r="J915" t="str">
        <f>IF(Table1[[#This Row],[Column1]]=0,"",Table1[[#This Row],[Column1]])</f>
        <v/>
      </c>
      <c r="K915" t="s">
        <v>1098</v>
      </c>
      <c r="M915" s="1" t="s">
        <v>17</v>
      </c>
      <c r="N915" s="1" t="s">
        <v>57</v>
      </c>
      <c r="P915" s="1" t="s">
        <v>37</v>
      </c>
    </row>
    <row r="916" spans="1:16" ht="15.75" customHeight="1" x14ac:dyDescent="0.35">
      <c r="A916" s="1" t="s">
        <v>170</v>
      </c>
      <c r="B916" s="1" t="s">
        <v>1025</v>
      </c>
      <c r="C916" s="1" t="s">
        <v>80</v>
      </c>
      <c r="D916" s="1" t="s">
        <v>579</v>
      </c>
      <c r="E916" s="1" t="s">
        <v>92</v>
      </c>
      <c r="F916" s="1" t="s">
        <v>93</v>
      </c>
      <c r="G916" s="1" t="s">
        <v>24</v>
      </c>
      <c r="H916" s="1">
        <v>-46</v>
      </c>
      <c r="I916" s="1">
        <f>IF(Table1[[#This Row],[Claim_Amount]]&lt;0,0,Table1[[#This Row],[Claim_Amount]])</f>
        <v>0</v>
      </c>
      <c r="J916" s="1" t="str">
        <f>IF(Table1[[#This Row],[Column1]]=0,"",Table1[[#This Row],[Column1]])</f>
        <v/>
      </c>
      <c r="K916" s="1" t="s">
        <v>1098</v>
      </c>
      <c r="M916" s="1" t="s">
        <v>17</v>
      </c>
      <c r="N916" s="1" t="s">
        <v>57</v>
      </c>
      <c r="P916" s="1" t="s">
        <v>27</v>
      </c>
    </row>
    <row r="917" spans="1:16" ht="15.75" customHeight="1" x14ac:dyDescent="0.35">
      <c r="A917" s="1" t="s">
        <v>70</v>
      </c>
      <c r="B917" s="1" t="s">
        <v>638</v>
      </c>
      <c r="C917" s="1" t="s">
        <v>792</v>
      </c>
      <c r="D917" s="1" t="s">
        <v>725</v>
      </c>
      <c r="E917" s="1" t="s">
        <v>35</v>
      </c>
      <c r="F917" s="1" t="s">
        <v>47</v>
      </c>
      <c r="G917" s="1" t="s">
        <v>48</v>
      </c>
      <c r="I917">
        <f>IF(Table1[[#This Row],[Claim_Amount]]&lt;0,0,Table1[[#This Row],[Claim_Amount]])</f>
        <v>0</v>
      </c>
      <c r="J917" t="str">
        <f>IF(Table1[[#This Row],[Column1]]=0,"",Table1[[#This Row],[Column1]])</f>
        <v/>
      </c>
      <c r="K917" t="s">
        <v>1098</v>
      </c>
      <c r="L917" s="1">
        <v>456.73</v>
      </c>
      <c r="M917" s="1" t="s">
        <v>121</v>
      </c>
      <c r="N917" s="1" t="s">
        <v>32</v>
      </c>
      <c r="P917" s="1" t="s">
        <v>37</v>
      </c>
    </row>
    <row r="918" spans="1:16" ht="15.75" customHeight="1" x14ac:dyDescent="0.35">
      <c r="A918" s="1" t="s">
        <v>132</v>
      </c>
      <c r="D918" s="1" t="s">
        <v>101</v>
      </c>
      <c r="E918" s="1" t="s">
        <v>35</v>
      </c>
      <c r="G918" s="1" t="s">
        <v>41</v>
      </c>
      <c r="I918">
        <f>IF(Table1[[#This Row],[Claim_Amount]]&lt;0,0,Table1[[#This Row],[Claim_Amount]])</f>
        <v>0</v>
      </c>
      <c r="J918" t="str">
        <f>IF(Table1[[#This Row],[Column1]]=0,"",Table1[[#This Row],[Column1]])</f>
        <v/>
      </c>
      <c r="K918" t="s">
        <v>1098</v>
      </c>
      <c r="M918" s="1" t="s">
        <v>25</v>
      </c>
      <c r="N918" s="1" t="s">
        <v>26</v>
      </c>
      <c r="P918" s="1" t="s">
        <v>27</v>
      </c>
    </row>
    <row r="919" spans="1:16" ht="15.75" customHeight="1" x14ac:dyDescent="0.35">
      <c r="A919" s="1" t="s">
        <v>70</v>
      </c>
      <c r="C919" s="1" t="s">
        <v>986</v>
      </c>
      <c r="D919" s="1" t="s">
        <v>116</v>
      </c>
      <c r="E919" s="1" t="s">
        <v>30</v>
      </c>
      <c r="G919" s="1" t="s">
        <v>54</v>
      </c>
      <c r="I919">
        <f>IF(Table1[[#This Row],[Claim_Amount]]&lt;0,0,Table1[[#This Row],[Claim_Amount]])</f>
        <v>0</v>
      </c>
      <c r="J919" t="str">
        <f>IF(Table1[[#This Row],[Column1]]=0,"",Table1[[#This Row],[Column1]])</f>
        <v/>
      </c>
      <c r="K919" t="s">
        <v>1098</v>
      </c>
      <c r="L919" s="1">
        <v>3641.2</v>
      </c>
      <c r="M919" s="1" t="s">
        <v>121</v>
      </c>
      <c r="N919" s="1" t="s">
        <v>57</v>
      </c>
      <c r="P919" s="1" t="s">
        <v>19</v>
      </c>
    </row>
    <row r="920" spans="1:16" ht="15.75" customHeight="1" x14ac:dyDescent="0.35">
      <c r="A920" s="1" t="s">
        <v>275</v>
      </c>
      <c r="D920" s="1" t="s">
        <v>1026</v>
      </c>
      <c r="E920" s="1" t="s">
        <v>85</v>
      </c>
      <c r="F920" s="1" t="s">
        <v>93</v>
      </c>
      <c r="G920" s="1" t="s">
        <v>24</v>
      </c>
      <c r="I920">
        <f>IF(Table1[[#This Row],[Claim_Amount]]&lt;0,0,Table1[[#This Row],[Claim_Amount]])</f>
        <v>0</v>
      </c>
      <c r="J920" t="str">
        <f>IF(Table1[[#This Row],[Column1]]=0,"",Table1[[#This Row],[Column1]])</f>
        <v/>
      </c>
      <c r="K920" t="s">
        <v>1098</v>
      </c>
      <c r="M920" s="1" t="s">
        <v>36</v>
      </c>
      <c r="N920" s="1" t="s">
        <v>32</v>
      </c>
      <c r="P920" s="1" t="s">
        <v>19</v>
      </c>
    </row>
    <row r="921" spans="1:16" ht="15.75" customHeight="1" x14ac:dyDescent="0.35">
      <c r="A921" s="1" t="s">
        <v>78</v>
      </c>
      <c r="B921" s="1" t="s">
        <v>270</v>
      </c>
      <c r="C921" s="1" t="s">
        <v>119</v>
      </c>
      <c r="D921" s="1" t="s">
        <v>250</v>
      </c>
      <c r="E921" s="1" t="s">
        <v>77</v>
      </c>
      <c r="F921" s="1" t="s">
        <v>47</v>
      </c>
      <c r="G921" s="1" t="s">
        <v>48</v>
      </c>
      <c r="H921" s="1">
        <v>3620.2</v>
      </c>
      <c r="I921" s="1">
        <f>IF(Table1[[#This Row],[Claim_Amount]]&lt;0,0,Table1[[#This Row],[Claim_Amount]])</f>
        <v>3620.2</v>
      </c>
      <c r="J921" s="1">
        <f>IF(Table1[[#This Row],[Column1]]=0,"",Table1[[#This Row],[Column1]])</f>
        <v>3620.2</v>
      </c>
      <c r="K921" s="1">
        <v>3620.2</v>
      </c>
      <c r="L921" s="1">
        <v>3051.96</v>
      </c>
      <c r="M921" s="1" t="s">
        <v>17</v>
      </c>
      <c r="N921" s="1" t="s">
        <v>57</v>
      </c>
      <c r="P921" s="1" t="s">
        <v>65</v>
      </c>
    </row>
    <row r="922" spans="1:16" ht="15.75" customHeight="1" x14ac:dyDescent="0.35">
      <c r="A922" s="1" t="s">
        <v>117</v>
      </c>
      <c r="B922" s="1" t="s">
        <v>1027</v>
      </c>
      <c r="D922" s="1" t="s">
        <v>116</v>
      </c>
      <c r="E922" s="1" t="s">
        <v>35</v>
      </c>
      <c r="F922" s="1" t="s">
        <v>23</v>
      </c>
      <c r="G922" s="1" t="s">
        <v>61</v>
      </c>
      <c r="H922" s="1">
        <v>-166</v>
      </c>
      <c r="I922" s="1">
        <f>IF(Table1[[#This Row],[Claim_Amount]]&lt;0,0,Table1[[#This Row],[Claim_Amount]])</f>
        <v>0</v>
      </c>
      <c r="J922" s="1" t="str">
        <f>IF(Table1[[#This Row],[Column1]]=0,"",Table1[[#This Row],[Column1]])</f>
        <v/>
      </c>
      <c r="K922" s="1" t="s">
        <v>1098</v>
      </c>
      <c r="M922" s="1" t="s">
        <v>121</v>
      </c>
      <c r="N922" s="1" t="s">
        <v>26</v>
      </c>
      <c r="P922" s="1" t="s">
        <v>37</v>
      </c>
    </row>
    <row r="923" spans="1:16" ht="15.75" customHeight="1" x14ac:dyDescent="0.35">
      <c r="A923" s="1" t="s">
        <v>202</v>
      </c>
      <c r="C923" s="1" t="s">
        <v>530</v>
      </c>
      <c r="D923" s="1" t="s">
        <v>738</v>
      </c>
      <c r="E923" s="1" t="s">
        <v>22</v>
      </c>
      <c r="F923" s="1" t="s">
        <v>23</v>
      </c>
      <c r="G923" s="1" t="s">
        <v>54</v>
      </c>
      <c r="H923" s="1">
        <v>578.39</v>
      </c>
      <c r="I923" s="1">
        <f>IF(Table1[[#This Row],[Claim_Amount]]&lt;0,0,Table1[[#This Row],[Claim_Amount]])</f>
        <v>578.39</v>
      </c>
      <c r="J923" s="1">
        <f>IF(Table1[[#This Row],[Column1]]=0,"",Table1[[#This Row],[Column1]])</f>
        <v>578.39</v>
      </c>
      <c r="K923" s="1">
        <v>578.39</v>
      </c>
      <c r="M923" s="1" t="s">
        <v>36</v>
      </c>
      <c r="N923" s="1" t="s">
        <v>26</v>
      </c>
      <c r="P923" s="1" t="s">
        <v>37</v>
      </c>
    </row>
    <row r="924" spans="1:16" ht="15.75" customHeight="1" x14ac:dyDescent="0.35">
      <c r="A924" s="1" t="s">
        <v>114</v>
      </c>
      <c r="D924" s="1" t="s">
        <v>151</v>
      </c>
      <c r="E924" s="1" t="s">
        <v>35</v>
      </c>
      <c r="F924" s="1" t="s">
        <v>53</v>
      </c>
      <c r="G924" s="1" t="s">
        <v>61</v>
      </c>
      <c r="I924">
        <f>IF(Table1[[#This Row],[Claim_Amount]]&lt;0,0,Table1[[#This Row],[Claim_Amount]])</f>
        <v>0</v>
      </c>
      <c r="J924" t="str">
        <f>IF(Table1[[#This Row],[Column1]]=0,"",Table1[[#This Row],[Column1]])</f>
        <v/>
      </c>
      <c r="K924" t="s">
        <v>1098</v>
      </c>
      <c r="M924" s="1" t="s">
        <v>42</v>
      </c>
      <c r="N924" s="1" t="s">
        <v>18</v>
      </c>
      <c r="O924" s="1">
        <v>56</v>
      </c>
      <c r="P924" s="1" t="s">
        <v>19</v>
      </c>
    </row>
    <row r="925" spans="1:16" ht="15.75" customHeight="1" x14ac:dyDescent="0.35">
      <c r="A925" s="1" t="s">
        <v>192</v>
      </c>
      <c r="B925" s="1" t="s">
        <v>575</v>
      </c>
      <c r="D925" s="1" t="s">
        <v>598</v>
      </c>
      <c r="E925" s="1" t="s">
        <v>85</v>
      </c>
      <c r="F925" s="1" t="s">
        <v>53</v>
      </c>
      <c r="G925" s="1" t="s">
        <v>54</v>
      </c>
      <c r="I925">
        <f>IF(Table1[[#This Row],[Claim_Amount]]&lt;0,0,Table1[[#This Row],[Claim_Amount]])</f>
        <v>0</v>
      </c>
      <c r="J925" t="str">
        <f>IF(Table1[[#This Row],[Column1]]=0,"",Table1[[#This Row],[Column1]])</f>
        <v/>
      </c>
      <c r="K925" t="s">
        <v>1098</v>
      </c>
      <c r="M925" s="1" t="s">
        <v>17</v>
      </c>
      <c r="N925" s="1" t="s">
        <v>18</v>
      </c>
      <c r="P925" s="1" t="s">
        <v>65</v>
      </c>
    </row>
    <row r="926" spans="1:16" ht="15.75" customHeight="1" x14ac:dyDescent="0.35">
      <c r="A926" s="1" t="s">
        <v>187</v>
      </c>
      <c r="C926" s="1" t="s">
        <v>613</v>
      </c>
      <c r="D926" s="1" t="s">
        <v>298</v>
      </c>
      <c r="E926" s="1" t="s">
        <v>92</v>
      </c>
      <c r="F926" s="1" t="s">
        <v>31</v>
      </c>
      <c r="G926" s="1" t="s">
        <v>48</v>
      </c>
      <c r="H926" s="1">
        <v>429.89</v>
      </c>
      <c r="I926" s="1">
        <f>IF(Table1[[#This Row],[Claim_Amount]]&lt;0,0,Table1[[#This Row],[Claim_Amount]])</f>
        <v>429.89</v>
      </c>
      <c r="J926" s="1">
        <f>IF(Table1[[#This Row],[Column1]]=0,"",Table1[[#This Row],[Column1]])</f>
        <v>429.89</v>
      </c>
      <c r="K926" s="1">
        <v>429.89</v>
      </c>
      <c r="M926" s="1" t="s">
        <v>42</v>
      </c>
      <c r="N926" s="1" t="s">
        <v>18</v>
      </c>
      <c r="P926" s="1" t="s">
        <v>37</v>
      </c>
    </row>
    <row r="927" spans="1:16" ht="15.75" customHeight="1" x14ac:dyDescent="0.35">
      <c r="A927" s="1" t="s">
        <v>148</v>
      </c>
      <c r="C927" s="1" t="s">
        <v>150</v>
      </c>
      <c r="D927" s="1" t="s">
        <v>549</v>
      </c>
      <c r="E927" s="1" t="s">
        <v>77</v>
      </c>
      <c r="F927" s="1" t="s">
        <v>53</v>
      </c>
      <c r="H927" s="1">
        <v>279.47000000000003</v>
      </c>
      <c r="I927" s="1">
        <f>IF(Table1[[#This Row],[Claim_Amount]]&lt;0,0,Table1[[#This Row],[Claim_Amount]])</f>
        <v>279.47000000000003</v>
      </c>
      <c r="J927" s="1">
        <f>IF(Table1[[#This Row],[Column1]]=0,"",Table1[[#This Row],[Column1]])</f>
        <v>279.47000000000003</v>
      </c>
      <c r="K927" s="1">
        <v>279.47000000000003</v>
      </c>
      <c r="L927" s="1">
        <v>626.74</v>
      </c>
      <c r="M927" s="1" t="s">
        <v>121</v>
      </c>
      <c r="N927" s="1" t="s">
        <v>26</v>
      </c>
      <c r="O927" s="1">
        <v>60</v>
      </c>
      <c r="P927" s="1" t="s">
        <v>65</v>
      </c>
    </row>
    <row r="928" spans="1:16" ht="15.75" customHeight="1" x14ac:dyDescent="0.35">
      <c r="A928" s="1" t="s">
        <v>82</v>
      </c>
      <c r="B928" s="1" t="s">
        <v>691</v>
      </c>
      <c r="D928" s="1" t="s">
        <v>1028</v>
      </c>
      <c r="E928" s="1" t="s">
        <v>77</v>
      </c>
      <c r="F928" s="1" t="s">
        <v>93</v>
      </c>
      <c r="I928">
        <f>IF(Table1[[#This Row],[Claim_Amount]]&lt;0,0,Table1[[#This Row],[Claim_Amount]])</f>
        <v>0</v>
      </c>
      <c r="J928" t="str">
        <f>IF(Table1[[#This Row],[Column1]]=0,"",Table1[[#This Row],[Column1]])</f>
        <v/>
      </c>
      <c r="K928" t="s">
        <v>1098</v>
      </c>
      <c r="L928" s="1">
        <v>544.73</v>
      </c>
      <c r="M928" s="1" t="s">
        <v>17</v>
      </c>
      <c r="N928" s="1" t="s">
        <v>32</v>
      </c>
      <c r="P928" s="1" t="s">
        <v>27</v>
      </c>
    </row>
    <row r="929" spans="1:16" ht="15.75" customHeight="1" x14ac:dyDescent="0.35">
      <c r="A929" s="1" t="s">
        <v>82</v>
      </c>
      <c r="C929" s="1" t="s">
        <v>228</v>
      </c>
      <c r="D929" s="1" t="s">
        <v>1029</v>
      </c>
      <c r="E929" s="1" t="s">
        <v>35</v>
      </c>
      <c r="F929" s="1" t="s">
        <v>53</v>
      </c>
      <c r="G929" s="1" t="s">
        <v>48</v>
      </c>
      <c r="I929">
        <f>IF(Table1[[#This Row],[Claim_Amount]]&lt;0,0,Table1[[#This Row],[Claim_Amount]])</f>
        <v>0</v>
      </c>
      <c r="J929" t="str">
        <f>IF(Table1[[#This Row],[Column1]]=0,"",Table1[[#This Row],[Column1]])</f>
        <v/>
      </c>
      <c r="K929" t="s">
        <v>1098</v>
      </c>
      <c r="M929" s="1" t="s">
        <v>42</v>
      </c>
      <c r="N929" s="1" t="s">
        <v>32</v>
      </c>
      <c r="O929" s="1">
        <v>47</v>
      </c>
      <c r="P929" s="1" t="s">
        <v>19</v>
      </c>
    </row>
    <row r="930" spans="1:16" ht="15.75" customHeight="1" x14ac:dyDescent="0.35">
      <c r="A930" s="1" t="s">
        <v>170</v>
      </c>
      <c r="D930" s="1" t="s">
        <v>545</v>
      </c>
      <c r="E930" s="1" t="s">
        <v>77</v>
      </c>
      <c r="G930" s="1" t="s">
        <v>54</v>
      </c>
      <c r="I930">
        <f>IF(Table1[[#This Row],[Claim_Amount]]&lt;0,0,Table1[[#This Row],[Claim_Amount]])</f>
        <v>0</v>
      </c>
      <c r="J930" t="str">
        <f>IF(Table1[[#This Row],[Column1]]=0,"",Table1[[#This Row],[Column1]])</f>
        <v/>
      </c>
      <c r="K930" t="s">
        <v>1098</v>
      </c>
      <c r="L930" s="1">
        <v>2066.91</v>
      </c>
      <c r="M930" s="1" t="s">
        <v>17</v>
      </c>
      <c r="N930" s="1" t="s">
        <v>32</v>
      </c>
      <c r="P930" s="1" t="s">
        <v>19</v>
      </c>
    </row>
    <row r="931" spans="1:16" ht="15.75" customHeight="1" x14ac:dyDescent="0.35">
      <c r="A931" s="1" t="s">
        <v>82</v>
      </c>
      <c r="D931" s="1" t="s">
        <v>822</v>
      </c>
      <c r="E931" s="1" t="s">
        <v>22</v>
      </c>
      <c r="F931" s="1" t="s">
        <v>23</v>
      </c>
      <c r="G931" s="1" t="s">
        <v>54</v>
      </c>
      <c r="H931" s="1">
        <v>1872.8</v>
      </c>
      <c r="I931" s="1">
        <f>IF(Table1[[#This Row],[Claim_Amount]]&lt;0,0,Table1[[#This Row],[Claim_Amount]])</f>
        <v>1872.8</v>
      </c>
      <c r="J931" s="1">
        <f>IF(Table1[[#This Row],[Column1]]=0,"",Table1[[#This Row],[Column1]])</f>
        <v>1872.8</v>
      </c>
      <c r="K931" s="1">
        <v>1872.8</v>
      </c>
      <c r="M931" s="1" t="s">
        <v>36</v>
      </c>
      <c r="N931" s="1" t="s">
        <v>18</v>
      </c>
      <c r="O931" s="1">
        <v>59</v>
      </c>
      <c r="P931" s="1" t="s">
        <v>37</v>
      </c>
    </row>
    <row r="932" spans="1:16" ht="15.75" customHeight="1" x14ac:dyDescent="0.35">
      <c r="A932" s="1" t="s">
        <v>247</v>
      </c>
      <c r="B932" s="1" t="s">
        <v>631</v>
      </c>
      <c r="D932" s="1" t="s">
        <v>1030</v>
      </c>
      <c r="E932" s="1" t="s">
        <v>92</v>
      </c>
      <c r="F932" s="1" t="s">
        <v>47</v>
      </c>
      <c r="H932" s="1">
        <v>-163</v>
      </c>
      <c r="I932" s="1">
        <f>IF(Table1[[#This Row],[Claim_Amount]]&lt;0,0,Table1[[#This Row],[Claim_Amount]])</f>
        <v>0</v>
      </c>
      <c r="J932" s="1" t="str">
        <f>IF(Table1[[#This Row],[Column1]]=0,"",Table1[[#This Row],[Column1]])</f>
        <v/>
      </c>
      <c r="K932" s="1" t="s">
        <v>1098</v>
      </c>
      <c r="M932" s="1" t="s">
        <v>42</v>
      </c>
      <c r="N932" s="1" t="s">
        <v>18</v>
      </c>
    </row>
    <row r="933" spans="1:16" ht="15.75" customHeight="1" x14ac:dyDescent="0.35">
      <c r="A933" s="1" t="s">
        <v>33</v>
      </c>
      <c r="C933" s="1" t="s">
        <v>455</v>
      </c>
      <c r="D933" s="1" t="s">
        <v>1031</v>
      </c>
      <c r="E933" s="1" t="s">
        <v>16</v>
      </c>
      <c r="F933" s="1" t="s">
        <v>47</v>
      </c>
      <c r="G933" s="1" t="s">
        <v>41</v>
      </c>
      <c r="I933">
        <f>IF(Table1[[#This Row],[Claim_Amount]]&lt;0,0,Table1[[#This Row],[Claim_Amount]])</f>
        <v>0</v>
      </c>
      <c r="J933" t="str">
        <f>IF(Table1[[#This Row],[Column1]]=0,"",Table1[[#This Row],[Column1]])</f>
        <v/>
      </c>
      <c r="K933" t="s">
        <v>1098</v>
      </c>
      <c r="L933" s="1">
        <v>4458.17</v>
      </c>
      <c r="M933" s="1" t="s">
        <v>17</v>
      </c>
      <c r="N933" s="1" t="s">
        <v>18</v>
      </c>
      <c r="O933" s="1">
        <v>18</v>
      </c>
      <c r="P933" s="1" t="s">
        <v>37</v>
      </c>
    </row>
    <row r="934" spans="1:16" ht="15.75" customHeight="1" x14ac:dyDescent="0.35">
      <c r="A934" s="1" t="s">
        <v>78</v>
      </c>
      <c r="D934" s="1" t="s">
        <v>1032</v>
      </c>
      <c r="E934" s="1" t="s">
        <v>77</v>
      </c>
      <c r="F934" s="1" t="s">
        <v>93</v>
      </c>
      <c r="G934" s="1" t="s">
        <v>48</v>
      </c>
      <c r="H934" s="1">
        <v>-127</v>
      </c>
      <c r="I934" s="1">
        <f>IF(Table1[[#This Row],[Claim_Amount]]&lt;0,0,Table1[[#This Row],[Claim_Amount]])</f>
        <v>0</v>
      </c>
      <c r="J934" s="1" t="str">
        <f>IF(Table1[[#This Row],[Column1]]=0,"",Table1[[#This Row],[Column1]])</f>
        <v/>
      </c>
      <c r="K934" s="1" t="s">
        <v>1098</v>
      </c>
      <c r="L934" s="1">
        <v>4863.1000000000004</v>
      </c>
      <c r="M934" s="1" t="s">
        <v>121</v>
      </c>
      <c r="N934" s="1" t="s">
        <v>18</v>
      </c>
      <c r="O934" s="1">
        <v>47</v>
      </c>
      <c r="P934" s="1" t="s">
        <v>27</v>
      </c>
    </row>
    <row r="935" spans="1:16" ht="15.75" customHeight="1" x14ac:dyDescent="0.35">
      <c r="A935" s="1" t="s">
        <v>20</v>
      </c>
      <c r="B935" s="1" t="s">
        <v>1033</v>
      </c>
      <c r="C935" s="1" t="s">
        <v>354</v>
      </c>
      <c r="D935" s="1" t="s">
        <v>429</v>
      </c>
      <c r="E935" s="1" t="s">
        <v>92</v>
      </c>
      <c r="G935" s="1" t="s">
        <v>24</v>
      </c>
      <c r="I935">
        <f>IF(Table1[[#This Row],[Claim_Amount]]&lt;0,0,Table1[[#This Row],[Claim_Amount]])</f>
        <v>0</v>
      </c>
      <c r="J935" t="str">
        <f>IF(Table1[[#This Row],[Column1]]=0,"",Table1[[#This Row],[Column1]])</f>
        <v/>
      </c>
      <c r="K935" t="s">
        <v>1098</v>
      </c>
      <c r="M935" s="1" t="s">
        <v>25</v>
      </c>
      <c r="N935" s="1" t="s">
        <v>32</v>
      </c>
      <c r="O935" s="1">
        <v>52</v>
      </c>
      <c r="P935" s="1" t="s">
        <v>27</v>
      </c>
    </row>
    <row r="936" spans="1:16" ht="15.75" customHeight="1" x14ac:dyDescent="0.35">
      <c r="A936" s="1" t="s">
        <v>70</v>
      </c>
      <c r="B936" s="1" t="s">
        <v>898</v>
      </c>
      <c r="D936" s="1" t="s">
        <v>707</v>
      </c>
      <c r="E936" s="1" t="s">
        <v>77</v>
      </c>
      <c r="F936" s="1" t="s">
        <v>47</v>
      </c>
      <c r="G936" s="1" t="s">
        <v>41</v>
      </c>
      <c r="H936" s="1">
        <v>-47</v>
      </c>
      <c r="I936" s="1">
        <f>IF(Table1[[#This Row],[Claim_Amount]]&lt;0,0,Table1[[#This Row],[Claim_Amount]])</f>
        <v>0</v>
      </c>
      <c r="J936" s="1" t="str">
        <f>IF(Table1[[#This Row],[Column1]]=0,"",Table1[[#This Row],[Column1]])</f>
        <v/>
      </c>
      <c r="K936" s="1" t="s">
        <v>1098</v>
      </c>
      <c r="L936" s="1">
        <v>3321.55</v>
      </c>
      <c r="M936" s="1" t="s">
        <v>36</v>
      </c>
      <c r="N936" s="1" t="s">
        <v>49</v>
      </c>
      <c r="P936" s="1" t="s">
        <v>27</v>
      </c>
    </row>
    <row r="937" spans="1:16" ht="15.75" customHeight="1" x14ac:dyDescent="0.35">
      <c r="A937" s="1" t="s">
        <v>70</v>
      </c>
      <c r="B937" s="1" t="s">
        <v>1034</v>
      </c>
      <c r="C937" s="1" t="s">
        <v>620</v>
      </c>
      <c r="D937" s="1" t="s">
        <v>595</v>
      </c>
      <c r="E937" s="1" t="s">
        <v>35</v>
      </c>
      <c r="G937" s="1" t="s">
        <v>24</v>
      </c>
      <c r="I937">
        <f>IF(Table1[[#This Row],[Claim_Amount]]&lt;0,0,Table1[[#This Row],[Claim_Amount]])</f>
        <v>0</v>
      </c>
      <c r="J937" t="str">
        <f>IF(Table1[[#This Row],[Column1]]=0,"",Table1[[#This Row],[Column1]])</f>
        <v/>
      </c>
      <c r="K937" t="s">
        <v>1098</v>
      </c>
      <c r="L937" s="1">
        <v>2878.96</v>
      </c>
      <c r="M937" s="1" t="s">
        <v>42</v>
      </c>
      <c r="N937" s="1" t="s">
        <v>18</v>
      </c>
      <c r="P937" s="1" t="s">
        <v>37</v>
      </c>
    </row>
    <row r="938" spans="1:16" ht="15.75" customHeight="1" x14ac:dyDescent="0.35">
      <c r="A938" s="1" t="s">
        <v>73</v>
      </c>
      <c r="B938" s="1" t="s">
        <v>1035</v>
      </c>
      <c r="D938" s="1" t="s">
        <v>952</v>
      </c>
      <c r="E938" s="1" t="s">
        <v>22</v>
      </c>
      <c r="F938" s="1" t="s">
        <v>23</v>
      </c>
      <c r="G938" s="1" t="s">
        <v>24</v>
      </c>
      <c r="H938" s="1">
        <v>2418.17</v>
      </c>
      <c r="I938" s="1">
        <f>IF(Table1[[#This Row],[Claim_Amount]]&lt;0,0,Table1[[#This Row],[Claim_Amount]])</f>
        <v>2418.17</v>
      </c>
      <c r="J938" s="1">
        <f>IF(Table1[[#This Row],[Column1]]=0,"",Table1[[#This Row],[Column1]])</f>
        <v>2418.17</v>
      </c>
      <c r="K938" s="1">
        <v>2418.17</v>
      </c>
      <c r="M938" s="1" t="s">
        <v>121</v>
      </c>
      <c r="N938" s="1" t="s">
        <v>57</v>
      </c>
      <c r="P938" s="1" t="s">
        <v>19</v>
      </c>
    </row>
    <row r="939" spans="1:16" ht="15.75" customHeight="1" x14ac:dyDescent="0.35">
      <c r="A939" s="1" t="s">
        <v>82</v>
      </c>
      <c r="C939" s="1" t="s">
        <v>613</v>
      </c>
      <c r="D939" s="1" t="s">
        <v>1036</v>
      </c>
      <c r="E939" s="1" t="s">
        <v>22</v>
      </c>
      <c r="F939" s="1" t="s">
        <v>47</v>
      </c>
      <c r="G939" s="1" t="s">
        <v>41</v>
      </c>
      <c r="H939" s="1">
        <v>4126.62</v>
      </c>
      <c r="I939" s="1">
        <f>IF(Table1[[#This Row],[Claim_Amount]]&lt;0,0,Table1[[#This Row],[Claim_Amount]])</f>
        <v>4126.62</v>
      </c>
      <c r="J939" s="1">
        <f>IF(Table1[[#This Row],[Column1]]=0,"",Table1[[#This Row],[Column1]])</f>
        <v>4126.62</v>
      </c>
      <c r="K939" s="1">
        <v>4126.62</v>
      </c>
      <c r="M939" s="1" t="s">
        <v>36</v>
      </c>
      <c r="N939" s="1" t="s">
        <v>26</v>
      </c>
      <c r="P939" s="1" t="s">
        <v>27</v>
      </c>
    </row>
    <row r="940" spans="1:16" ht="15.75" customHeight="1" x14ac:dyDescent="0.35">
      <c r="A940" s="1" t="s">
        <v>96</v>
      </c>
      <c r="C940" s="1" t="s">
        <v>161</v>
      </c>
      <c r="D940" s="1" t="s">
        <v>1037</v>
      </c>
      <c r="E940" s="1" t="s">
        <v>22</v>
      </c>
      <c r="F940" s="1" t="s">
        <v>93</v>
      </c>
      <c r="H940" s="1">
        <v>-159</v>
      </c>
      <c r="I940" s="1">
        <f>IF(Table1[[#This Row],[Claim_Amount]]&lt;0,0,Table1[[#This Row],[Claim_Amount]])</f>
        <v>0</v>
      </c>
      <c r="J940" s="1" t="str">
        <f>IF(Table1[[#This Row],[Column1]]=0,"",Table1[[#This Row],[Column1]])</f>
        <v/>
      </c>
      <c r="K940" s="1" t="s">
        <v>1098</v>
      </c>
      <c r="M940" s="1" t="s">
        <v>17</v>
      </c>
      <c r="N940" s="1" t="s">
        <v>26</v>
      </c>
      <c r="P940" s="1" t="s">
        <v>65</v>
      </c>
    </row>
    <row r="941" spans="1:16" ht="15.75" customHeight="1" x14ac:dyDescent="0.35">
      <c r="A941" s="1" t="s">
        <v>13</v>
      </c>
      <c r="D941" s="1" t="s">
        <v>1038</v>
      </c>
      <c r="E941" s="1" t="s">
        <v>77</v>
      </c>
      <c r="F941" s="1" t="s">
        <v>93</v>
      </c>
      <c r="G941" s="1" t="s">
        <v>61</v>
      </c>
      <c r="I941">
        <f>IF(Table1[[#This Row],[Claim_Amount]]&lt;0,0,Table1[[#This Row],[Claim_Amount]])</f>
        <v>0</v>
      </c>
      <c r="J941" t="str">
        <f>IF(Table1[[#This Row],[Column1]]=0,"",Table1[[#This Row],[Column1]])</f>
        <v/>
      </c>
      <c r="K941" t="s">
        <v>1098</v>
      </c>
      <c r="M941" s="1" t="s">
        <v>17</v>
      </c>
      <c r="N941" s="1" t="s">
        <v>57</v>
      </c>
      <c r="P941" s="1" t="s">
        <v>19</v>
      </c>
    </row>
    <row r="942" spans="1:16" ht="15.75" customHeight="1" x14ac:dyDescent="0.35">
      <c r="A942" s="1" t="s">
        <v>20</v>
      </c>
      <c r="D942" s="1" t="s">
        <v>542</v>
      </c>
      <c r="E942" s="1" t="s">
        <v>35</v>
      </c>
      <c r="F942" s="1" t="s">
        <v>47</v>
      </c>
      <c r="G942" s="1" t="s">
        <v>61</v>
      </c>
      <c r="H942" s="1">
        <v>3857.11</v>
      </c>
      <c r="I942" s="1">
        <f>IF(Table1[[#This Row],[Claim_Amount]]&lt;0,0,Table1[[#This Row],[Claim_Amount]])</f>
        <v>3857.11</v>
      </c>
      <c r="J942" s="1">
        <f>IF(Table1[[#This Row],[Column1]]=0,"",Table1[[#This Row],[Column1]])</f>
        <v>3857.11</v>
      </c>
      <c r="K942" s="1">
        <v>3857.11</v>
      </c>
      <c r="M942" s="1" t="s">
        <v>36</v>
      </c>
      <c r="N942" s="1" t="s">
        <v>32</v>
      </c>
      <c r="O942" s="1">
        <v>4</v>
      </c>
      <c r="P942" s="1" t="s">
        <v>65</v>
      </c>
    </row>
    <row r="943" spans="1:16" ht="15.75" customHeight="1" x14ac:dyDescent="0.35">
      <c r="A943" s="1" t="s">
        <v>212</v>
      </c>
      <c r="B943" s="1" t="s">
        <v>1039</v>
      </c>
      <c r="C943" s="1" t="s">
        <v>816</v>
      </c>
      <c r="D943" s="1" t="s">
        <v>1040</v>
      </c>
      <c r="E943" s="1" t="s">
        <v>92</v>
      </c>
      <c r="F943" s="1" t="s">
        <v>53</v>
      </c>
      <c r="G943" s="1" t="s">
        <v>61</v>
      </c>
      <c r="H943" s="1">
        <v>-30</v>
      </c>
      <c r="I943" s="1">
        <f>IF(Table1[[#This Row],[Claim_Amount]]&lt;0,0,Table1[[#This Row],[Claim_Amount]])</f>
        <v>0</v>
      </c>
      <c r="J943" s="1" t="str">
        <f>IF(Table1[[#This Row],[Column1]]=0,"",Table1[[#This Row],[Column1]])</f>
        <v/>
      </c>
      <c r="K943" s="1" t="s">
        <v>1098</v>
      </c>
      <c r="L943" s="1">
        <v>102.67</v>
      </c>
      <c r="M943" s="1" t="s">
        <v>25</v>
      </c>
      <c r="N943" s="1" t="s">
        <v>26</v>
      </c>
      <c r="O943" s="1">
        <v>38</v>
      </c>
      <c r="P943" s="1" t="s">
        <v>19</v>
      </c>
    </row>
    <row r="944" spans="1:16" ht="15.75" customHeight="1" x14ac:dyDescent="0.35">
      <c r="A944" s="1" t="s">
        <v>33</v>
      </c>
      <c r="B944" s="1" t="s">
        <v>14</v>
      </c>
      <c r="D944" s="1" t="s">
        <v>985</v>
      </c>
      <c r="E944" s="1" t="s">
        <v>85</v>
      </c>
      <c r="F944" s="1" t="s">
        <v>53</v>
      </c>
      <c r="G944" s="1" t="s">
        <v>48</v>
      </c>
      <c r="H944" s="1">
        <v>-98</v>
      </c>
      <c r="I944" s="1">
        <f>IF(Table1[[#This Row],[Claim_Amount]]&lt;0,0,Table1[[#This Row],[Claim_Amount]])</f>
        <v>0</v>
      </c>
      <c r="J944" s="1" t="str">
        <f>IF(Table1[[#This Row],[Column1]]=0,"",Table1[[#This Row],[Column1]])</f>
        <v/>
      </c>
      <c r="K944" s="1" t="s">
        <v>1098</v>
      </c>
      <c r="L944" s="1">
        <v>650.26</v>
      </c>
      <c r="M944" s="1" t="s">
        <v>121</v>
      </c>
      <c r="N944" s="1" t="s">
        <v>26</v>
      </c>
    </row>
    <row r="945" spans="1:16" ht="15.75" customHeight="1" x14ac:dyDescent="0.35">
      <c r="A945" s="1" t="s">
        <v>261</v>
      </c>
      <c r="C945" s="1" t="s">
        <v>463</v>
      </c>
      <c r="D945" s="1" t="s">
        <v>728</v>
      </c>
      <c r="E945" s="1" t="s">
        <v>85</v>
      </c>
      <c r="F945" s="1" t="s">
        <v>53</v>
      </c>
      <c r="G945" s="1" t="s">
        <v>41</v>
      </c>
      <c r="H945" s="1">
        <v>-34</v>
      </c>
      <c r="I945" s="1">
        <f>IF(Table1[[#This Row],[Claim_Amount]]&lt;0,0,Table1[[#This Row],[Claim_Amount]])</f>
        <v>0</v>
      </c>
      <c r="J945" s="1" t="str">
        <f>IF(Table1[[#This Row],[Column1]]=0,"",Table1[[#This Row],[Column1]])</f>
        <v/>
      </c>
      <c r="K945" s="1" t="s">
        <v>1098</v>
      </c>
      <c r="L945" s="1">
        <v>1413.19</v>
      </c>
      <c r="M945" s="1" t="s">
        <v>17</v>
      </c>
      <c r="N945" s="1" t="s">
        <v>49</v>
      </c>
      <c r="P945" s="1" t="s">
        <v>27</v>
      </c>
    </row>
    <row r="946" spans="1:16" ht="15.75" customHeight="1" x14ac:dyDescent="0.35">
      <c r="A946" s="1" t="s">
        <v>108</v>
      </c>
      <c r="C946" s="1" t="s">
        <v>358</v>
      </c>
      <c r="D946" s="1" t="s">
        <v>1041</v>
      </c>
      <c r="E946" s="1" t="s">
        <v>30</v>
      </c>
      <c r="F946" s="1" t="s">
        <v>93</v>
      </c>
      <c r="G946" s="1" t="s">
        <v>24</v>
      </c>
      <c r="H946" s="1">
        <v>422.13</v>
      </c>
      <c r="I946" s="1">
        <f>IF(Table1[[#This Row],[Claim_Amount]]&lt;0,0,Table1[[#This Row],[Claim_Amount]])</f>
        <v>422.13</v>
      </c>
      <c r="J946" s="1">
        <f>IF(Table1[[#This Row],[Column1]]=0,"",Table1[[#This Row],[Column1]])</f>
        <v>422.13</v>
      </c>
      <c r="K946" s="1">
        <v>422.13</v>
      </c>
      <c r="M946" s="1" t="s">
        <v>36</v>
      </c>
      <c r="N946" s="1" t="s">
        <v>18</v>
      </c>
      <c r="P946" s="1" t="s">
        <v>65</v>
      </c>
    </row>
    <row r="947" spans="1:16" ht="15.75" customHeight="1" x14ac:dyDescent="0.35">
      <c r="A947" s="1" t="s">
        <v>247</v>
      </c>
      <c r="D947" s="1" t="s">
        <v>1042</v>
      </c>
      <c r="E947" s="1" t="s">
        <v>85</v>
      </c>
      <c r="F947" s="1" t="s">
        <v>53</v>
      </c>
      <c r="G947" s="1" t="s">
        <v>24</v>
      </c>
      <c r="I947">
        <f>IF(Table1[[#This Row],[Claim_Amount]]&lt;0,0,Table1[[#This Row],[Claim_Amount]])</f>
        <v>0</v>
      </c>
      <c r="J947" t="str">
        <f>IF(Table1[[#This Row],[Column1]]=0,"",Table1[[#This Row],[Column1]])</f>
        <v/>
      </c>
      <c r="K947" t="s">
        <v>1098</v>
      </c>
      <c r="M947" s="1" t="s">
        <v>17</v>
      </c>
      <c r="N947" s="1" t="s">
        <v>57</v>
      </c>
      <c r="P947" s="1" t="s">
        <v>37</v>
      </c>
    </row>
    <row r="948" spans="1:16" ht="15.75" customHeight="1" x14ac:dyDescent="0.35">
      <c r="A948" s="1" t="s">
        <v>105</v>
      </c>
      <c r="B948" s="1" t="s">
        <v>1043</v>
      </c>
      <c r="D948" s="1" t="s">
        <v>1044</v>
      </c>
      <c r="E948" s="1" t="s">
        <v>30</v>
      </c>
      <c r="H948" s="1">
        <v>2172.0100000000002</v>
      </c>
      <c r="I948" s="1">
        <f>IF(Table1[[#This Row],[Claim_Amount]]&lt;0,0,Table1[[#This Row],[Claim_Amount]])</f>
        <v>2172.0100000000002</v>
      </c>
      <c r="J948" s="1">
        <f>IF(Table1[[#This Row],[Column1]]=0,"",Table1[[#This Row],[Column1]])</f>
        <v>2172.0100000000002</v>
      </c>
      <c r="K948" s="1">
        <v>2172.0100000000002</v>
      </c>
      <c r="M948" s="1" t="s">
        <v>25</v>
      </c>
      <c r="N948" s="1" t="s">
        <v>49</v>
      </c>
      <c r="P948" s="1" t="s">
        <v>65</v>
      </c>
    </row>
    <row r="949" spans="1:16" ht="15.75" customHeight="1" x14ac:dyDescent="0.35">
      <c r="A949" s="1" t="s">
        <v>78</v>
      </c>
      <c r="B949" s="1" t="s">
        <v>1045</v>
      </c>
      <c r="D949" s="1" t="s">
        <v>56</v>
      </c>
      <c r="E949" s="1" t="s">
        <v>16</v>
      </c>
      <c r="G949" s="1" t="s">
        <v>24</v>
      </c>
      <c r="I949">
        <f>IF(Table1[[#This Row],[Claim_Amount]]&lt;0,0,Table1[[#This Row],[Claim_Amount]])</f>
        <v>0</v>
      </c>
      <c r="J949" t="str">
        <f>IF(Table1[[#This Row],[Column1]]=0,"",Table1[[#This Row],[Column1]])</f>
        <v/>
      </c>
      <c r="K949" t="s">
        <v>1098</v>
      </c>
      <c r="L949" s="1">
        <v>1673.06</v>
      </c>
      <c r="M949" s="1" t="s">
        <v>25</v>
      </c>
      <c r="N949" s="1" t="s">
        <v>49</v>
      </c>
      <c r="P949" s="1" t="s">
        <v>27</v>
      </c>
    </row>
    <row r="950" spans="1:16" ht="15.75" customHeight="1" x14ac:dyDescent="0.35">
      <c r="A950" s="1" t="s">
        <v>89</v>
      </c>
      <c r="D950" s="1" t="s">
        <v>1042</v>
      </c>
      <c r="E950" s="1" t="s">
        <v>30</v>
      </c>
      <c r="F950" s="1" t="s">
        <v>93</v>
      </c>
      <c r="I950">
        <f>IF(Table1[[#This Row],[Claim_Amount]]&lt;0,0,Table1[[#This Row],[Claim_Amount]])</f>
        <v>0</v>
      </c>
      <c r="J950" t="str">
        <f>IF(Table1[[#This Row],[Column1]]=0,"",Table1[[#This Row],[Column1]])</f>
        <v/>
      </c>
      <c r="K950" t="s">
        <v>1098</v>
      </c>
      <c r="M950" s="1" t="s">
        <v>17</v>
      </c>
      <c r="N950" s="1" t="s">
        <v>32</v>
      </c>
      <c r="P950" s="1" t="s">
        <v>37</v>
      </c>
    </row>
    <row r="951" spans="1:16" ht="15.75" customHeight="1" x14ac:dyDescent="0.35">
      <c r="A951" s="1" t="s">
        <v>231</v>
      </c>
      <c r="B951" s="1" t="s">
        <v>86</v>
      </c>
      <c r="D951" s="1" t="s">
        <v>396</v>
      </c>
      <c r="E951" s="1" t="s">
        <v>30</v>
      </c>
      <c r="F951" s="1" t="s">
        <v>31</v>
      </c>
      <c r="G951" s="1" t="s">
        <v>54</v>
      </c>
      <c r="I951">
        <f>IF(Table1[[#This Row],[Claim_Amount]]&lt;0,0,Table1[[#This Row],[Claim_Amount]])</f>
        <v>0</v>
      </c>
      <c r="J951" t="str">
        <f>IF(Table1[[#This Row],[Column1]]=0,"",Table1[[#This Row],[Column1]])</f>
        <v/>
      </c>
      <c r="K951" t="s">
        <v>1098</v>
      </c>
      <c r="L951" s="1">
        <v>4466.2700000000004</v>
      </c>
      <c r="M951" s="1" t="s">
        <v>42</v>
      </c>
      <c r="N951" s="1" t="s">
        <v>26</v>
      </c>
      <c r="P951" s="1" t="s">
        <v>65</v>
      </c>
    </row>
    <row r="952" spans="1:16" ht="15.75" customHeight="1" x14ac:dyDescent="0.35">
      <c r="A952" s="1" t="s">
        <v>249</v>
      </c>
      <c r="D952" s="1" t="s">
        <v>1046</v>
      </c>
      <c r="E952" s="1" t="s">
        <v>92</v>
      </c>
      <c r="F952" s="1" t="s">
        <v>47</v>
      </c>
      <c r="G952" s="1" t="s">
        <v>41</v>
      </c>
      <c r="H952" s="1">
        <v>4238.37</v>
      </c>
      <c r="I952" s="1">
        <f>IF(Table1[[#This Row],[Claim_Amount]]&lt;0,0,Table1[[#This Row],[Claim_Amount]])</f>
        <v>4238.37</v>
      </c>
      <c r="J952" s="1">
        <f>IF(Table1[[#This Row],[Column1]]=0,"",Table1[[#This Row],[Column1]])</f>
        <v>4238.37</v>
      </c>
      <c r="K952" s="1">
        <v>4238.37</v>
      </c>
      <c r="M952" s="1" t="s">
        <v>42</v>
      </c>
      <c r="N952" s="1" t="s">
        <v>49</v>
      </c>
    </row>
    <row r="953" spans="1:16" ht="15.75" customHeight="1" x14ac:dyDescent="0.35">
      <c r="A953" s="1" t="s">
        <v>173</v>
      </c>
      <c r="B953" s="1" t="s">
        <v>858</v>
      </c>
      <c r="D953" s="1" t="s">
        <v>1047</v>
      </c>
      <c r="E953" s="1" t="s">
        <v>30</v>
      </c>
      <c r="F953" s="1" t="s">
        <v>53</v>
      </c>
      <c r="G953" s="1" t="s">
        <v>48</v>
      </c>
      <c r="I953">
        <f>IF(Table1[[#This Row],[Claim_Amount]]&lt;0,0,Table1[[#This Row],[Claim_Amount]])</f>
        <v>0</v>
      </c>
      <c r="J953" t="str">
        <f>IF(Table1[[#This Row],[Column1]]=0,"",Table1[[#This Row],[Column1]])</f>
        <v/>
      </c>
      <c r="K953" t="s">
        <v>1098</v>
      </c>
      <c r="M953" s="1" t="s">
        <v>121</v>
      </c>
      <c r="N953" s="1" t="s">
        <v>32</v>
      </c>
      <c r="O953" s="1">
        <v>24</v>
      </c>
    </row>
    <row r="954" spans="1:16" ht="15.75" customHeight="1" x14ac:dyDescent="0.35">
      <c r="A954" s="1" t="s">
        <v>430</v>
      </c>
      <c r="D954" s="1" t="s">
        <v>1048</v>
      </c>
      <c r="E954" s="1" t="s">
        <v>77</v>
      </c>
      <c r="F954" s="1" t="s">
        <v>47</v>
      </c>
      <c r="G954" s="1" t="s">
        <v>24</v>
      </c>
      <c r="H954" s="1">
        <v>-157</v>
      </c>
      <c r="I954" s="1">
        <f>IF(Table1[[#This Row],[Claim_Amount]]&lt;0,0,Table1[[#This Row],[Claim_Amount]])</f>
        <v>0</v>
      </c>
      <c r="J954" s="1" t="str">
        <f>IF(Table1[[#This Row],[Column1]]=0,"",Table1[[#This Row],[Column1]])</f>
        <v/>
      </c>
      <c r="K954" s="1" t="s">
        <v>1098</v>
      </c>
      <c r="M954" s="1" t="s">
        <v>17</v>
      </c>
      <c r="N954" s="1" t="s">
        <v>18</v>
      </c>
    </row>
    <row r="955" spans="1:16" ht="15.75" customHeight="1" x14ac:dyDescent="0.35">
      <c r="A955" s="1" t="s">
        <v>212</v>
      </c>
      <c r="D955" s="1" t="s">
        <v>521</v>
      </c>
      <c r="E955" s="1" t="s">
        <v>35</v>
      </c>
      <c r="F955" s="1" t="s">
        <v>93</v>
      </c>
      <c r="I955">
        <f>IF(Table1[[#This Row],[Claim_Amount]]&lt;0,0,Table1[[#This Row],[Claim_Amount]])</f>
        <v>0</v>
      </c>
      <c r="J955" t="str">
        <f>IF(Table1[[#This Row],[Column1]]=0,"",Table1[[#This Row],[Column1]])</f>
        <v/>
      </c>
      <c r="K955" t="s">
        <v>1098</v>
      </c>
      <c r="M955" s="1" t="s">
        <v>25</v>
      </c>
      <c r="N955" s="1" t="s">
        <v>32</v>
      </c>
      <c r="P955" s="1" t="s">
        <v>37</v>
      </c>
    </row>
    <row r="956" spans="1:16" ht="15.75" customHeight="1" x14ac:dyDescent="0.35">
      <c r="A956" s="1" t="s">
        <v>168</v>
      </c>
      <c r="D956" s="1" t="s">
        <v>1049</v>
      </c>
      <c r="E956" s="1" t="s">
        <v>16</v>
      </c>
      <c r="F956" s="1" t="s">
        <v>93</v>
      </c>
      <c r="G956" s="1" t="s">
        <v>41</v>
      </c>
      <c r="I956">
        <f>IF(Table1[[#This Row],[Claim_Amount]]&lt;0,0,Table1[[#This Row],[Claim_Amount]])</f>
        <v>0</v>
      </c>
      <c r="J956" t="str">
        <f>IF(Table1[[#This Row],[Column1]]=0,"",Table1[[#This Row],[Column1]])</f>
        <v/>
      </c>
      <c r="K956" t="s">
        <v>1098</v>
      </c>
      <c r="M956" s="1" t="s">
        <v>42</v>
      </c>
      <c r="N956" s="1" t="s">
        <v>18</v>
      </c>
      <c r="P956" s="1" t="s">
        <v>37</v>
      </c>
    </row>
    <row r="957" spans="1:16" ht="15.75" customHeight="1" x14ac:dyDescent="0.35">
      <c r="A957" s="1" t="s">
        <v>173</v>
      </c>
      <c r="C957" s="1" t="s">
        <v>982</v>
      </c>
      <c r="D957" s="1" t="s">
        <v>806</v>
      </c>
      <c r="E957" s="1" t="s">
        <v>35</v>
      </c>
      <c r="F957" s="1" t="s">
        <v>93</v>
      </c>
      <c r="I957">
        <f>IF(Table1[[#This Row],[Claim_Amount]]&lt;0,0,Table1[[#This Row],[Claim_Amount]])</f>
        <v>0</v>
      </c>
      <c r="J957" t="str">
        <f>IF(Table1[[#This Row],[Column1]]=0,"",Table1[[#This Row],[Column1]])</f>
        <v/>
      </c>
      <c r="K957" t="s">
        <v>1098</v>
      </c>
      <c r="L957" s="1">
        <v>3958.2</v>
      </c>
      <c r="M957" s="1" t="s">
        <v>17</v>
      </c>
      <c r="N957" s="1" t="s">
        <v>57</v>
      </c>
      <c r="P957" s="1" t="s">
        <v>19</v>
      </c>
    </row>
    <row r="958" spans="1:16" ht="15.75" customHeight="1" x14ac:dyDescent="0.35">
      <c r="A958" s="1" t="s">
        <v>114</v>
      </c>
      <c r="B958" s="1" t="s">
        <v>1050</v>
      </c>
      <c r="C958" s="1" t="s">
        <v>45</v>
      </c>
      <c r="D958" s="1" t="s">
        <v>40</v>
      </c>
      <c r="E958" s="1" t="s">
        <v>30</v>
      </c>
      <c r="F958" s="1" t="s">
        <v>31</v>
      </c>
      <c r="I958">
        <f>IF(Table1[[#This Row],[Claim_Amount]]&lt;0,0,Table1[[#This Row],[Claim_Amount]])</f>
        <v>0</v>
      </c>
      <c r="J958" t="str">
        <f>IF(Table1[[#This Row],[Column1]]=0,"",Table1[[#This Row],[Column1]])</f>
        <v/>
      </c>
      <c r="K958" t="s">
        <v>1098</v>
      </c>
      <c r="M958" s="1" t="s">
        <v>121</v>
      </c>
      <c r="N958" s="1" t="s">
        <v>18</v>
      </c>
      <c r="O958" s="1">
        <v>36</v>
      </c>
      <c r="P958" s="1" t="s">
        <v>37</v>
      </c>
    </row>
    <row r="959" spans="1:16" ht="15.75" customHeight="1" x14ac:dyDescent="0.35">
      <c r="A959" s="1" t="s">
        <v>66</v>
      </c>
      <c r="D959" s="1" t="s">
        <v>1051</v>
      </c>
      <c r="E959" s="1" t="s">
        <v>16</v>
      </c>
      <c r="F959" s="1" t="s">
        <v>93</v>
      </c>
      <c r="G959" s="1" t="s">
        <v>54</v>
      </c>
      <c r="H959" s="1">
        <v>-191</v>
      </c>
      <c r="I959" s="1">
        <f>IF(Table1[[#This Row],[Claim_Amount]]&lt;0,0,Table1[[#This Row],[Claim_Amount]])</f>
        <v>0</v>
      </c>
      <c r="J959" s="1" t="str">
        <f>IF(Table1[[#This Row],[Column1]]=0,"",Table1[[#This Row],[Column1]])</f>
        <v/>
      </c>
      <c r="K959" s="1" t="s">
        <v>1098</v>
      </c>
      <c r="L959" s="1">
        <v>1877.7</v>
      </c>
      <c r="M959" s="1" t="s">
        <v>121</v>
      </c>
      <c r="N959" s="1" t="s">
        <v>57</v>
      </c>
    </row>
    <row r="960" spans="1:16" ht="15.75" customHeight="1" x14ac:dyDescent="0.35">
      <c r="A960" s="1" t="s">
        <v>58</v>
      </c>
      <c r="D960" s="1" t="s">
        <v>409</v>
      </c>
      <c r="E960" s="1" t="s">
        <v>16</v>
      </c>
      <c r="F960" s="1" t="s">
        <v>93</v>
      </c>
      <c r="G960" s="1" t="s">
        <v>41</v>
      </c>
      <c r="H960" s="1">
        <v>3159.23</v>
      </c>
      <c r="I960" s="1">
        <f>IF(Table1[[#This Row],[Claim_Amount]]&lt;0,0,Table1[[#This Row],[Claim_Amount]])</f>
        <v>3159.23</v>
      </c>
      <c r="J960" s="1">
        <f>IF(Table1[[#This Row],[Column1]]=0,"",Table1[[#This Row],[Column1]])</f>
        <v>3159.23</v>
      </c>
      <c r="K960" s="1">
        <v>3159.23</v>
      </c>
      <c r="L960" s="1">
        <v>4635.28</v>
      </c>
      <c r="M960" s="1" t="s">
        <v>121</v>
      </c>
      <c r="N960" s="1" t="s">
        <v>57</v>
      </c>
      <c r="O960" s="1">
        <v>30</v>
      </c>
      <c r="P960" s="1" t="s">
        <v>19</v>
      </c>
    </row>
    <row r="961" spans="1:16" ht="15.75" customHeight="1" x14ac:dyDescent="0.35">
      <c r="A961" s="1" t="s">
        <v>212</v>
      </c>
      <c r="C961" s="1" t="s">
        <v>666</v>
      </c>
      <c r="D961" s="1" t="s">
        <v>1052</v>
      </c>
      <c r="E961" s="1" t="s">
        <v>85</v>
      </c>
      <c r="F961" s="1" t="s">
        <v>53</v>
      </c>
      <c r="G961" s="1" t="s">
        <v>41</v>
      </c>
      <c r="H961" s="1">
        <v>-85</v>
      </c>
      <c r="I961" s="1">
        <f>IF(Table1[[#This Row],[Claim_Amount]]&lt;0,0,Table1[[#This Row],[Claim_Amount]])</f>
        <v>0</v>
      </c>
      <c r="J961" s="1" t="str">
        <f>IF(Table1[[#This Row],[Column1]]=0,"",Table1[[#This Row],[Column1]])</f>
        <v/>
      </c>
      <c r="K961" s="1" t="s">
        <v>1098</v>
      </c>
      <c r="M961" s="1" t="s">
        <v>17</v>
      </c>
      <c r="N961" s="1" t="s">
        <v>26</v>
      </c>
      <c r="P961" s="1" t="s">
        <v>65</v>
      </c>
    </row>
    <row r="962" spans="1:16" ht="15.75" customHeight="1" x14ac:dyDescent="0.35">
      <c r="A962" s="1" t="s">
        <v>242</v>
      </c>
      <c r="B962" s="1" t="s">
        <v>956</v>
      </c>
      <c r="D962" s="1" t="s">
        <v>264</v>
      </c>
      <c r="E962" s="1" t="s">
        <v>77</v>
      </c>
      <c r="F962" s="1" t="s">
        <v>31</v>
      </c>
      <c r="G962" s="1" t="s">
        <v>61</v>
      </c>
      <c r="I962">
        <f>IF(Table1[[#This Row],[Claim_Amount]]&lt;0,0,Table1[[#This Row],[Claim_Amount]])</f>
        <v>0</v>
      </c>
      <c r="J962" t="str">
        <f>IF(Table1[[#This Row],[Column1]]=0,"",Table1[[#This Row],[Column1]])</f>
        <v/>
      </c>
      <c r="K962" t="s">
        <v>1098</v>
      </c>
      <c r="L962" s="1">
        <v>4766.0200000000004</v>
      </c>
      <c r="M962" s="1" t="s">
        <v>25</v>
      </c>
      <c r="N962" s="1" t="s">
        <v>32</v>
      </c>
      <c r="O962" s="1">
        <v>60</v>
      </c>
      <c r="P962" s="1" t="s">
        <v>19</v>
      </c>
    </row>
    <row r="963" spans="1:16" ht="15.75" customHeight="1" x14ac:dyDescent="0.35">
      <c r="A963" s="1" t="s">
        <v>202</v>
      </c>
      <c r="B963" s="1" t="s">
        <v>1053</v>
      </c>
      <c r="D963" s="1" t="s">
        <v>1054</v>
      </c>
      <c r="E963" s="1" t="s">
        <v>30</v>
      </c>
      <c r="F963" s="1" t="s">
        <v>47</v>
      </c>
      <c r="G963" s="1" t="s">
        <v>48</v>
      </c>
      <c r="I963">
        <f>IF(Table1[[#This Row],[Claim_Amount]]&lt;0,0,Table1[[#This Row],[Claim_Amount]])</f>
        <v>0</v>
      </c>
      <c r="J963" t="str">
        <f>IF(Table1[[#This Row],[Column1]]=0,"",Table1[[#This Row],[Column1]])</f>
        <v/>
      </c>
      <c r="K963" t="s">
        <v>1098</v>
      </c>
      <c r="L963" s="1">
        <v>3800.94</v>
      </c>
      <c r="M963" s="1" t="s">
        <v>42</v>
      </c>
      <c r="N963" s="1" t="s">
        <v>32</v>
      </c>
      <c r="O963" s="1">
        <v>8</v>
      </c>
    </row>
    <row r="964" spans="1:16" ht="15.75" customHeight="1" x14ac:dyDescent="0.35">
      <c r="A964" s="1" t="s">
        <v>302</v>
      </c>
      <c r="C964" s="1" t="s">
        <v>442</v>
      </c>
      <c r="D964" s="1" t="s">
        <v>1055</v>
      </c>
      <c r="E964" s="1" t="s">
        <v>77</v>
      </c>
      <c r="F964" s="1" t="s">
        <v>23</v>
      </c>
      <c r="G964" s="1" t="s">
        <v>41</v>
      </c>
      <c r="H964" s="1">
        <v>-159</v>
      </c>
      <c r="I964" s="1">
        <f>IF(Table1[[#This Row],[Claim_Amount]]&lt;0,0,Table1[[#This Row],[Claim_Amount]])</f>
        <v>0</v>
      </c>
      <c r="J964" s="1" t="str">
        <f>IF(Table1[[#This Row],[Column1]]=0,"",Table1[[#This Row],[Column1]])</f>
        <v/>
      </c>
      <c r="K964" s="1" t="s">
        <v>1098</v>
      </c>
      <c r="M964" s="1" t="s">
        <v>36</v>
      </c>
      <c r="N964" s="1" t="s">
        <v>49</v>
      </c>
      <c r="P964" s="1" t="s">
        <v>65</v>
      </c>
    </row>
    <row r="965" spans="1:16" ht="15.75" customHeight="1" x14ac:dyDescent="0.35">
      <c r="A965" s="1" t="s">
        <v>277</v>
      </c>
      <c r="D965" s="1" t="s">
        <v>1056</v>
      </c>
      <c r="E965" s="1" t="s">
        <v>92</v>
      </c>
      <c r="G965" s="1" t="s">
        <v>54</v>
      </c>
      <c r="I965">
        <f>IF(Table1[[#This Row],[Claim_Amount]]&lt;0,0,Table1[[#This Row],[Claim_Amount]])</f>
        <v>0</v>
      </c>
      <c r="J965" t="str">
        <f>IF(Table1[[#This Row],[Column1]]=0,"",Table1[[#This Row],[Column1]])</f>
        <v/>
      </c>
      <c r="K965" t="s">
        <v>1098</v>
      </c>
      <c r="M965" s="1" t="s">
        <v>42</v>
      </c>
      <c r="N965" s="1" t="s">
        <v>18</v>
      </c>
      <c r="O965" s="1">
        <v>32</v>
      </c>
      <c r="P965" s="1" t="s">
        <v>27</v>
      </c>
    </row>
    <row r="966" spans="1:16" ht="15.75" customHeight="1" x14ac:dyDescent="0.35">
      <c r="A966" s="1" t="s">
        <v>110</v>
      </c>
      <c r="B966" s="1" t="s">
        <v>704</v>
      </c>
      <c r="D966" s="1" t="s">
        <v>1057</v>
      </c>
      <c r="E966" s="1" t="s">
        <v>16</v>
      </c>
      <c r="F966" s="1" t="s">
        <v>23</v>
      </c>
      <c r="G966" s="1" t="s">
        <v>24</v>
      </c>
      <c r="I966">
        <f>IF(Table1[[#This Row],[Claim_Amount]]&lt;0,0,Table1[[#This Row],[Claim_Amount]])</f>
        <v>0</v>
      </c>
      <c r="J966" t="str">
        <f>IF(Table1[[#This Row],[Column1]]=0,"",Table1[[#This Row],[Column1]])</f>
        <v/>
      </c>
      <c r="K966" t="s">
        <v>1098</v>
      </c>
      <c r="L966" s="1">
        <v>2952.34</v>
      </c>
      <c r="M966" s="1" t="s">
        <v>25</v>
      </c>
      <c r="N966" s="1" t="s">
        <v>18</v>
      </c>
      <c r="P966" s="1" t="s">
        <v>19</v>
      </c>
    </row>
    <row r="967" spans="1:16" ht="15.75" customHeight="1" x14ac:dyDescent="0.35">
      <c r="A967" s="1" t="s">
        <v>58</v>
      </c>
      <c r="B967" s="1" t="s">
        <v>1058</v>
      </c>
      <c r="C967" s="1" t="s">
        <v>484</v>
      </c>
      <c r="D967" s="1" t="s">
        <v>783</v>
      </c>
      <c r="E967" s="1" t="s">
        <v>30</v>
      </c>
      <c r="F967" s="1" t="s">
        <v>93</v>
      </c>
      <c r="I967">
        <f>IF(Table1[[#This Row],[Claim_Amount]]&lt;0,0,Table1[[#This Row],[Claim_Amount]])</f>
        <v>0</v>
      </c>
      <c r="J967" t="str">
        <f>IF(Table1[[#This Row],[Column1]]=0,"",Table1[[#This Row],[Column1]])</f>
        <v/>
      </c>
      <c r="K967" t="s">
        <v>1098</v>
      </c>
      <c r="M967" s="1" t="s">
        <v>42</v>
      </c>
      <c r="N967" s="1" t="s">
        <v>32</v>
      </c>
    </row>
    <row r="968" spans="1:16" ht="15.75" customHeight="1" x14ac:dyDescent="0.35">
      <c r="A968" s="1" t="s">
        <v>110</v>
      </c>
      <c r="D968" s="1" t="s">
        <v>1059</v>
      </c>
      <c r="E968" s="1" t="s">
        <v>77</v>
      </c>
      <c r="F968" s="1" t="s">
        <v>53</v>
      </c>
      <c r="I968">
        <f>IF(Table1[[#This Row],[Claim_Amount]]&lt;0,0,Table1[[#This Row],[Claim_Amount]])</f>
        <v>0</v>
      </c>
      <c r="J968" t="str">
        <f>IF(Table1[[#This Row],[Column1]]=0,"",Table1[[#This Row],[Column1]])</f>
        <v/>
      </c>
      <c r="K968" t="s">
        <v>1098</v>
      </c>
      <c r="L968" s="1">
        <v>3233.57</v>
      </c>
      <c r="M968" s="1" t="s">
        <v>25</v>
      </c>
      <c r="N968" s="1" t="s">
        <v>18</v>
      </c>
      <c r="P968" s="1" t="s">
        <v>65</v>
      </c>
    </row>
    <row r="969" spans="1:16" ht="15.75" customHeight="1" x14ac:dyDescent="0.35">
      <c r="A969" s="1" t="s">
        <v>242</v>
      </c>
      <c r="B969" s="1" t="s">
        <v>482</v>
      </c>
      <c r="C969" s="1" t="s">
        <v>636</v>
      </c>
      <c r="D969" s="1" t="s">
        <v>1060</v>
      </c>
      <c r="E969" s="1" t="s">
        <v>35</v>
      </c>
      <c r="F969" s="1" t="s">
        <v>93</v>
      </c>
      <c r="G969" s="1" t="s">
        <v>24</v>
      </c>
      <c r="I969">
        <f>IF(Table1[[#This Row],[Claim_Amount]]&lt;0,0,Table1[[#This Row],[Claim_Amount]])</f>
        <v>0</v>
      </c>
      <c r="J969" t="str">
        <f>IF(Table1[[#This Row],[Column1]]=0,"",Table1[[#This Row],[Column1]])</f>
        <v/>
      </c>
      <c r="K969" t="s">
        <v>1098</v>
      </c>
      <c r="M969" s="1" t="s">
        <v>25</v>
      </c>
      <c r="N969" s="1" t="s">
        <v>32</v>
      </c>
      <c r="O969" s="1">
        <v>39</v>
      </c>
      <c r="P969" s="1" t="s">
        <v>19</v>
      </c>
    </row>
    <row r="970" spans="1:16" ht="15.75" customHeight="1" x14ac:dyDescent="0.35">
      <c r="A970" s="1" t="s">
        <v>33</v>
      </c>
      <c r="B970" s="1" t="s">
        <v>932</v>
      </c>
      <c r="C970" s="1" t="s">
        <v>816</v>
      </c>
      <c r="D970" s="1" t="s">
        <v>1061</v>
      </c>
      <c r="E970" s="1" t="s">
        <v>85</v>
      </c>
      <c r="G970" s="1" t="s">
        <v>54</v>
      </c>
      <c r="I970">
        <f>IF(Table1[[#This Row],[Claim_Amount]]&lt;0,0,Table1[[#This Row],[Claim_Amount]])</f>
        <v>0</v>
      </c>
      <c r="J970" t="str">
        <f>IF(Table1[[#This Row],[Column1]]=0,"",Table1[[#This Row],[Column1]])</f>
        <v/>
      </c>
      <c r="K970" t="s">
        <v>1098</v>
      </c>
      <c r="M970" s="1" t="s">
        <v>36</v>
      </c>
      <c r="N970" s="1" t="s">
        <v>26</v>
      </c>
      <c r="P970" s="1" t="s">
        <v>65</v>
      </c>
    </row>
    <row r="971" spans="1:16" ht="15.75" customHeight="1" x14ac:dyDescent="0.35">
      <c r="A971" s="1" t="s">
        <v>179</v>
      </c>
      <c r="D971" s="1" t="s">
        <v>751</v>
      </c>
      <c r="E971" s="1" t="s">
        <v>35</v>
      </c>
      <c r="F971" s="1" t="s">
        <v>31</v>
      </c>
      <c r="G971" s="1" t="s">
        <v>48</v>
      </c>
      <c r="H971" s="1">
        <v>721.55</v>
      </c>
      <c r="I971" s="1">
        <f>IF(Table1[[#This Row],[Claim_Amount]]&lt;0,0,Table1[[#This Row],[Claim_Amount]])</f>
        <v>721.55</v>
      </c>
      <c r="J971" s="1">
        <f>IF(Table1[[#This Row],[Column1]]=0,"",Table1[[#This Row],[Column1]])</f>
        <v>721.55</v>
      </c>
      <c r="K971" s="1">
        <v>721.55</v>
      </c>
      <c r="M971" s="1" t="s">
        <v>25</v>
      </c>
      <c r="N971" s="1" t="s">
        <v>57</v>
      </c>
      <c r="P971" s="1" t="s">
        <v>37</v>
      </c>
    </row>
    <row r="972" spans="1:16" ht="15.75" customHeight="1" x14ac:dyDescent="0.35">
      <c r="A972" s="1" t="s">
        <v>33</v>
      </c>
      <c r="C972" s="1" t="s">
        <v>453</v>
      </c>
      <c r="D972" s="1" t="s">
        <v>355</v>
      </c>
      <c r="E972" s="1" t="s">
        <v>35</v>
      </c>
      <c r="F972" s="1" t="s">
        <v>53</v>
      </c>
      <c r="G972" s="1" t="s">
        <v>61</v>
      </c>
      <c r="H972" s="1">
        <v>3244.83</v>
      </c>
      <c r="I972" s="1">
        <f>IF(Table1[[#This Row],[Claim_Amount]]&lt;0,0,Table1[[#This Row],[Claim_Amount]])</f>
        <v>3244.83</v>
      </c>
      <c r="J972" s="1">
        <f>IF(Table1[[#This Row],[Column1]]=0,"",Table1[[#This Row],[Column1]])</f>
        <v>3244.83</v>
      </c>
      <c r="K972" s="1">
        <v>3244.83</v>
      </c>
      <c r="L972" s="1">
        <v>2312.98</v>
      </c>
      <c r="M972" s="1" t="s">
        <v>17</v>
      </c>
      <c r="N972" s="1" t="s">
        <v>49</v>
      </c>
      <c r="P972" s="1" t="s">
        <v>65</v>
      </c>
    </row>
    <row r="973" spans="1:16" ht="15.75" customHeight="1" x14ac:dyDescent="0.35">
      <c r="A973" s="1" t="s">
        <v>209</v>
      </c>
      <c r="C973" s="1" t="s">
        <v>200</v>
      </c>
      <c r="D973" s="1" t="s">
        <v>864</v>
      </c>
      <c r="E973" s="1" t="s">
        <v>30</v>
      </c>
      <c r="F973" s="1" t="s">
        <v>47</v>
      </c>
      <c r="G973" s="1" t="s">
        <v>54</v>
      </c>
      <c r="I973">
        <f>IF(Table1[[#This Row],[Claim_Amount]]&lt;0,0,Table1[[#This Row],[Claim_Amount]])</f>
        <v>0</v>
      </c>
      <c r="J973" t="str">
        <f>IF(Table1[[#This Row],[Column1]]=0,"",Table1[[#This Row],[Column1]])</f>
        <v/>
      </c>
      <c r="K973" t="s">
        <v>1098</v>
      </c>
      <c r="M973" s="1" t="s">
        <v>121</v>
      </c>
      <c r="N973" s="1" t="s">
        <v>32</v>
      </c>
      <c r="P973" s="1" t="s">
        <v>19</v>
      </c>
    </row>
    <row r="974" spans="1:16" ht="15.75" customHeight="1" x14ac:dyDescent="0.35">
      <c r="A974" s="1" t="s">
        <v>13</v>
      </c>
      <c r="B974" s="1" t="s">
        <v>1062</v>
      </c>
      <c r="C974" s="1" t="s">
        <v>228</v>
      </c>
      <c r="D974" s="1" t="s">
        <v>492</v>
      </c>
      <c r="E974" s="1" t="s">
        <v>92</v>
      </c>
      <c r="G974" s="1" t="s">
        <v>24</v>
      </c>
      <c r="I974">
        <f>IF(Table1[[#This Row],[Claim_Amount]]&lt;0,0,Table1[[#This Row],[Claim_Amount]])</f>
        <v>0</v>
      </c>
      <c r="J974" t="str">
        <f>IF(Table1[[#This Row],[Column1]]=0,"",Table1[[#This Row],[Column1]])</f>
        <v/>
      </c>
      <c r="K974" t="s">
        <v>1098</v>
      </c>
      <c r="M974" s="1" t="s">
        <v>42</v>
      </c>
      <c r="N974" s="1" t="s">
        <v>49</v>
      </c>
      <c r="P974" s="1" t="s">
        <v>37</v>
      </c>
    </row>
    <row r="975" spans="1:16" ht="15.75" customHeight="1" x14ac:dyDescent="0.35">
      <c r="A975" s="1" t="s">
        <v>148</v>
      </c>
      <c r="C975" s="1" t="s">
        <v>581</v>
      </c>
      <c r="D975" s="1" t="s">
        <v>983</v>
      </c>
      <c r="E975" s="1" t="s">
        <v>30</v>
      </c>
      <c r="F975" s="1" t="s">
        <v>31</v>
      </c>
      <c r="G975" s="1" t="s">
        <v>41</v>
      </c>
      <c r="H975" s="1">
        <v>-157</v>
      </c>
      <c r="I975" s="1">
        <f>IF(Table1[[#This Row],[Claim_Amount]]&lt;0,0,Table1[[#This Row],[Claim_Amount]])</f>
        <v>0</v>
      </c>
      <c r="J975" s="1" t="str">
        <f>IF(Table1[[#This Row],[Column1]]=0,"",Table1[[#This Row],[Column1]])</f>
        <v/>
      </c>
      <c r="K975" s="1" t="s">
        <v>1098</v>
      </c>
      <c r="M975" s="1" t="s">
        <v>25</v>
      </c>
      <c r="N975" s="1" t="s">
        <v>18</v>
      </c>
    </row>
    <row r="976" spans="1:16" ht="15.75" customHeight="1" x14ac:dyDescent="0.35">
      <c r="A976" s="1" t="s">
        <v>66</v>
      </c>
      <c r="B976" s="1" t="s">
        <v>1063</v>
      </c>
      <c r="C976" s="1" t="s">
        <v>200</v>
      </c>
      <c r="D976" s="1" t="s">
        <v>1064</v>
      </c>
      <c r="E976" s="1" t="s">
        <v>92</v>
      </c>
      <c r="F976" s="1" t="s">
        <v>93</v>
      </c>
      <c r="H976" s="1">
        <v>-129</v>
      </c>
      <c r="I976" s="1">
        <f>IF(Table1[[#This Row],[Claim_Amount]]&lt;0,0,Table1[[#This Row],[Claim_Amount]])</f>
        <v>0</v>
      </c>
      <c r="J976" s="1" t="str">
        <f>IF(Table1[[#This Row],[Column1]]=0,"",Table1[[#This Row],[Column1]])</f>
        <v/>
      </c>
      <c r="K976" s="1" t="s">
        <v>1098</v>
      </c>
      <c r="L976" s="1">
        <v>3607.88</v>
      </c>
      <c r="M976" s="1" t="s">
        <v>121</v>
      </c>
      <c r="N976" s="1" t="s">
        <v>32</v>
      </c>
    </row>
    <row r="977" spans="1:16" ht="15.75" customHeight="1" x14ac:dyDescent="0.35">
      <c r="A977" s="1" t="s">
        <v>302</v>
      </c>
      <c r="B977" s="1" t="s">
        <v>1065</v>
      </c>
      <c r="C977" s="1" t="s">
        <v>213</v>
      </c>
      <c r="D977" s="1" t="s">
        <v>345</v>
      </c>
      <c r="E977" s="1" t="s">
        <v>77</v>
      </c>
      <c r="I977">
        <f>IF(Table1[[#This Row],[Claim_Amount]]&lt;0,0,Table1[[#This Row],[Claim_Amount]])</f>
        <v>0</v>
      </c>
      <c r="J977" t="str">
        <f>IF(Table1[[#This Row],[Column1]]=0,"",Table1[[#This Row],[Column1]])</f>
        <v/>
      </c>
      <c r="K977" t="s">
        <v>1098</v>
      </c>
      <c r="L977" s="1">
        <v>907.67</v>
      </c>
      <c r="M977" s="1" t="s">
        <v>42</v>
      </c>
      <c r="N977" s="1" t="s">
        <v>57</v>
      </c>
      <c r="P977" s="1" t="s">
        <v>37</v>
      </c>
    </row>
    <row r="978" spans="1:16" ht="15.75" customHeight="1" x14ac:dyDescent="0.35">
      <c r="A978" s="1" t="s">
        <v>302</v>
      </c>
      <c r="D978" s="1" t="s">
        <v>892</v>
      </c>
      <c r="E978" s="1" t="s">
        <v>35</v>
      </c>
      <c r="I978">
        <f>IF(Table1[[#This Row],[Claim_Amount]]&lt;0,0,Table1[[#This Row],[Claim_Amount]])</f>
        <v>0</v>
      </c>
      <c r="J978" t="str">
        <f>IF(Table1[[#This Row],[Column1]]=0,"",Table1[[#This Row],[Column1]])</f>
        <v/>
      </c>
      <c r="K978" t="s">
        <v>1098</v>
      </c>
      <c r="M978" s="1" t="s">
        <v>36</v>
      </c>
      <c r="N978" s="1" t="s">
        <v>49</v>
      </c>
      <c r="O978" s="1">
        <v>59</v>
      </c>
      <c r="P978" s="1" t="s">
        <v>19</v>
      </c>
    </row>
    <row r="979" spans="1:16" ht="15.75" customHeight="1" x14ac:dyDescent="0.35">
      <c r="A979" s="1" t="s">
        <v>212</v>
      </c>
      <c r="C979" s="1" t="s">
        <v>94</v>
      </c>
      <c r="D979" s="1" t="s">
        <v>1066</v>
      </c>
      <c r="E979" s="1" t="s">
        <v>22</v>
      </c>
      <c r="F979" s="1" t="s">
        <v>47</v>
      </c>
      <c r="G979" s="1" t="s">
        <v>41</v>
      </c>
      <c r="I979">
        <f>IF(Table1[[#This Row],[Claim_Amount]]&lt;0,0,Table1[[#This Row],[Claim_Amount]])</f>
        <v>0</v>
      </c>
      <c r="J979" t="str">
        <f>IF(Table1[[#This Row],[Column1]]=0,"",Table1[[#This Row],[Column1]])</f>
        <v/>
      </c>
      <c r="K979" t="s">
        <v>1098</v>
      </c>
      <c r="L979" s="1">
        <v>4184.16</v>
      </c>
      <c r="M979" s="1" t="s">
        <v>17</v>
      </c>
      <c r="N979" s="1" t="s">
        <v>57</v>
      </c>
      <c r="O979" s="1">
        <v>57</v>
      </c>
      <c r="P979" s="1" t="s">
        <v>19</v>
      </c>
    </row>
    <row r="980" spans="1:16" ht="15.75" customHeight="1" x14ac:dyDescent="0.35">
      <c r="A980" s="1" t="s">
        <v>202</v>
      </c>
      <c r="C980" s="1" t="s">
        <v>156</v>
      </c>
      <c r="D980" s="1" t="s">
        <v>1067</v>
      </c>
      <c r="E980" s="1" t="s">
        <v>16</v>
      </c>
      <c r="F980" s="1" t="s">
        <v>31</v>
      </c>
      <c r="G980" s="1" t="s">
        <v>24</v>
      </c>
      <c r="I980">
        <f>IF(Table1[[#This Row],[Claim_Amount]]&lt;0,0,Table1[[#This Row],[Claim_Amount]])</f>
        <v>0</v>
      </c>
      <c r="J980" t="str">
        <f>IF(Table1[[#This Row],[Column1]]=0,"",Table1[[#This Row],[Column1]])</f>
        <v/>
      </c>
      <c r="K980" t="s">
        <v>1098</v>
      </c>
      <c r="L980" s="1">
        <v>330.61</v>
      </c>
      <c r="M980" s="1" t="s">
        <v>25</v>
      </c>
      <c r="N980" s="1" t="s">
        <v>57</v>
      </c>
      <c r="P980" s="1" t="s">
        <v>19</v>
      </c>
    </row>
    <row r="981" spans="1:16" ht="15.75" customHeight="1" x14ac:dyDescent="0.35">
      <c r="A981" s="1" t="s">
        <v>187</v>
      </c>
      <c r="C981" s="1" t="s">
        <v>625</v>
      </c>
      <c r="D981" s="1" t="s">
        <v>849</v>
      </c>
      <c r="E981" s="1" t="s">
        <v>16</v>
      </c>
      <c r="G981" s="1" t="s">
        <v>24</v>
      </c>
      <c r="I981">
        <f>IF(Table1[[#This Row],[Claim_Amount]]&lt;0,0,Table1[[#This Row],[Claim_Amount]])</f>
        <v>0</v>
      </c>
      <c r="J981" t="str">
        <f>IF(Table1[[#This Row],[Column1]]=0,"",Table1[[#This Row],[Column1]])</f>
        <v/>
      </c>
      <c r="K981" t="s">
        <v>1098</v>
      </c>
      <c r="M981" s="1" t="s">
        <v>121</v>
      </c>
      <c r="N981" s="1" t="s">
        <v>49</v>
      </c>
      <c r="P981" s="1" t="s">
        <v>65</v>
      </c>
    </row>
    <row r="982" spans="1:16" ht="15.75" customHeight="1" x14ac:dyDescent="0.35">
      <c r="A982" s="1" t="s">
        <v>82</v>
      </c>
      <c r="C982" s="1" t="s">
        <v>224</v>
      </c>
      <c r="D982" s="1" t="s">
        <v>1068</v>
      </c>
      <c r="E982" s="1" t="s">
        <v>16</v>
      </c>
      <c r="F982" s="1" t="s">
        <v>93</v>
      </c>
      <c r="G982" s="1" t="s">
        <v>24</v>
      </c>
      <c r="H982" s="1">
        <v>257.16000000000003</v>
      </c>
      <c r="I982" s="1">
        <f>IF(Table1[[#This Row],[Claim_Amount]]&lt;0,0,Table1[[#This Row],[Claim_Amount]])</f>
        <v>257.16000000000003</v>
      </c>
      <c r="J982" s="1">
        <f>IF(Table1[[#This Row],[Column1]]=0,"",Table1[[#This Row],[Column1]])</f>
        <v>257.16000000000003</v>
      </c>
      <c r="K982" s="1">
        <v>257.16000000000003</v>
      </c>
      <c r="M982" s="1" t="s">
        <v>42</v>
      </c>
      <c r="N982" s="1" t="s">
        <v>57</v>
      </c>
      <c r="P982" s="1" t="s">
        <v>65</v>
      </c>
    </row>
    <row r="983" spans="1:16" ht="15.75" customHeight="1" x14ac:dyDescent="0.35">
      <c r="A983" s="1" t="s">
        <v>212</v>
      </c>
      <c r="C983" s="1" t="s">
        <v>183</v>
      </c>
      <c r="D983" s="1" t="s">
        <v>981</v>
      </c>
      <c r="E983" s="1" t="s">
        <v>77</v>
      </c>
      <c r="F983" s="1" t="s">
        <v>53</v>
      </c>
      <c r="G983" s="1" t="s">
        <v>41</v>
      </c>
      <c r="I983">
        <f>IF(Table1[[#This Row],[Claim_Amount]]&lt;0,0,Table1[[#This Row],[Claim_Amount]])</f>
        <v>0</v>
      </c>
      <c r="J983" t="str">
        <f>IF(Table1[[#This Row],[Column1]]=0,"",Table1[[#This Row],[Column1]])</f>
        <v/>
      </c>
      <c r="K983" t="s">
        <v>1098</v>
      </c>
      <c r="M983" s="1" t="s">
        <v>42</v>
      </c>
      <c r="N983" s="1" t="s">
        <v>57</v>
      </c>
      <c r="O983" s="1">
        <v>6</v>
      </c>
      <c r="P983" s="1" t="s">
        <v>27</v>
      </c>
    </row>
    <row r="984" spans="1:16" ht="15.75" customHeight="1" x14ac:dyDescent="0.35">
      <c r="A984" s="1" t="s">
        <v>102</v>
      </c>
      <c r="B984" s="1" t="s">
        <v>351</v>
      </c>
      <c r="C984" s="1" t="s">
        <v>112</v>
      </c>
      <c r="D984" s="1" t="s">
        <v>1018</v>
      </c>
      <c r="E984" s="1" t="s">
        <v>30</v>
      </c>
      <c r="F984" s="1" t="s">
        <v>93</v>
      </c>
      <c r="G984" s="1" t="s">
        <v>41</v>
      </c>
      <c r="I984">
        <f>IF(Table1[[#This Row],[Claim_Amount]]&lt;0,0,Table1[[#This Row],[Claim_Amount]])</f>
        <v>0</v>
      </c>
      <c r="J984" t="str">
        <f>IF(Table1[[#This Row],[Column1]]=0,"",Table1[[#This Row],[Column1]])</f>
        <v/>
      </c>
      <c r="K984" t="s">
        <v>1098</v>
      </c>
      <c r="L984" s="1">
        <v>4910.82</v>
      </c>
      <c r="M984" s="1" t="s">
        <v>36</v>
      </c>
      <c r="N984" s="1" t="s">
        <v>32</v>
      </c>
      <c r="O984" s="1">
        <v>24</v>
      </c>
      <c r="P984" s="1" t="s">
        <v>19</v>
      </c>
    </row>
    <row r="985" spans="1:16" ht="15.75" customHeight="1" x14ac:dyDescent="0.35">
      <c r="A985" s="1" t="s">
        <v>66</v>
      </c>
      <c r="D985" s="1" t="s">
        <v>208</v>
      </c>
      <c r="E985" s="1" t="s">
        <v>22</v>
      </c>
      <c r="F985" s="1" t="s">
        <v>93</v>
      </c>
      <c r="I985">
        <f>IF(Table1[[#This Row],[Claim_Amount]]&lt;0,0,Table1[[#This Row],[Claim_Amount]])</f>
        <v>0</v>
      </c>
      <c r="J985" t="str">
        <f>IF(Table1[[#This Row],[Column1]]=0,"",Table1[[#This Row],[Column1]])</f>
        <v/>
      </c>
      <c r="K985" t="s">
        <v>1098</v>
      </c>
      <c r="M985" s="1" t="s">
        <v>36</v>
      </c>
      <c r="N985" s="1" t="s">
        <v>49</v>
      </c>
      <c r="O985" s="1">
        <v>52</v>
      </c>
      <c r="P985" s="1" t="s">
        <v>19</v>
      </c>
    </row>
    <row r="986" spans="1:16" ht="15.75" customHeight="1" x14ac:dyDescent="0.35">
      <c r="A986" s="1" t="s">
        <v>198</v>
      </c>
      <c r="B986" s="1" t="s">
        <v>1039</v>
      </c>
      <c r="D986" s="1" t="s">
        <v>1069</v>
      </c>
      <c r="E986" s="1" t="s">
        <v>92</v>
      </c>
      <c r="F986" s="1" t="s">
        <v>47</v>
      </c>
      <c r="G986" s="1" t="s">
        <v>41</v>
      </c>
      <c r="I986">
        <f>IF(Table1[[#This Row],[Claim_Amount]]&lt;0,0,Table1[[#This Row],[Claim_Amount]])</f>
        <v>0</v>
      </c>
      <c r="J986" t="str">
        <f>IF(Table1[[#This Row],[Column1]]=0,"",Table1[[#This Row],[Column1]])</f>
        <v/>
      </c>
      <c r="K986" t="s">
        <v>1098</v>
      </c>
      <c r="M986" s="1" t="s">
        <v>25</v>
      </c>
      <c r="N986" s="1" t="s">
        <v>18</v>
      </c>
      <c r="O986" s="1">
        <v>1</v>
      </c>
      <c r="P986" s="1" t="s">
        <v>37</v>
      </c>
    </row>
    <row r="987" spans="1:16" ht="15.75" customHeight="1" x14ac:dyDescent="0.35">
      <c r="A987" s="1" t="s">
        <v>82</v>
      </c>
      <c r="B987" s="1" t="s">
        <v>661</v>
      </c>
      <c r="C987" s="1" t="s">
        <v>356</v>
      </c>
      <c r="D987" s="1" t="s">
        <v>1070</v>
      </c>
      <c r="E987" s="1" t="s">
        <v>92</v>
      </c>
      <c r="F987" s="1" t="s">
        <v>23</v>
      </c>
      <c r="G987" s="1" t="s">
        <v>24</v>
      </c>
      <c r="H987" s="1">
        <v>-25</v>
      </c>
      <c r="I987" s="1">
        <f>IF(Table1[[#This Row],[Claim_Amount]]&lt;0,0,Table1[[#This Row],[Claim_Amount]])</f>
        <v>0</v>
      </c>
      <c r="J987" s="1" t="str">
        <f>IF(Table1[[#This Row],[Column1]]=0,"",Table1[[#This Row],[Column1]])</f>
        <v/>
      </c>
      <c r="K987" s="1" t="s">
        <v>1098</v>
      </c>
      <c r="L987" s="1">
        <v>3608.26</v>
      </c>
      <c r="M987" s="1" t="s">
        <v>121</v>
      </c>
      <c r="N987" s="1" t="s">
        <v>49</v>
      </c>
      <c r="P987" s="1" t="s">
        <v>19</v>
      </c>
    </row>
    <row r="988" spans="1:16" ht="15.75" customHeight="1" x14ac:dyDescent="0.35">
      <c r="A988" s="1" t="s">
        <v>70</v>
      </c>
      <c r="B988" s="1" t="s">
        <v>497</v>
      </c>
      <c r="D988" s="1" t="s">
        <v>500</v>
      </c>
      <c r="E988" s="1" t="s">
        <v>92</v>
      </c>
      <c r="F988" s="1" t="s">
        <v>31</v>
      </c>
      <c r="G988" s="1" t="s">
        <v>24</v>
      </c>
      <c r="H988" s="1">
        <v>4147.45</v>
      </c>
      <c r="I988" s="1">
        <f>IF(Table1[[#This Row],[Claim_Amount]]&lt;0,0,Table1[[#This Row],[Claim_Amount]])</f>
        <v>4147.45</v>
      </c>
      <c r="J988" s="1">
        <f>IF(Table1[[#This Row],[Column1]]=0,"",Table1[[#This Row],[Column1]])</f>
        <v>4147.45</v>
      </c>
      <c r="K988" s="1">
        <v>4147.45</v>
      </c>
      <c r="M988" s="1" t="s">
        <v>42</v>
      </c>
      <c r="N988" s="1" t="s">
        <v>26</v>
      </c>
      <c r="O988" s="1">
        <v>15</v>
      </c>
      <c r="P988" s="1" t="s">
        <v>19</v>
      </c>
    </row>
    <row r="989" spans="1:16" ht="15.75" customHeight="1" x14ac:dyDescent="0.35">
      <c r="A989" s="1" t="s">
        <v>105</v>
      </c>
      <c r="D989" s="1" t="s">
        <v>1026</v>
      </c>
      <c r="E989" s="1" t="s">
        <v>77</v>
      </c>
      <c r="F989" s="1" t="s">
        <v>31</v>
      </c>
      <c r="G989" s="1" t="s">
        <v>54</v>
      </c>
      <c r="I989">
        <f>IF(Table1[[#This Row],[Claim_Amount]]&lt;0,0,Table1[[#This Row],[Claim_Amount]])</f>
        <v>0</v>
      </c>
      <c r="J989" t="str">
        <f>IF(Table1[[#This Row],[Column1]]=0,"",Table1[[#This Row],[Column1]])</f>
        <v/>
      </c>
      <c r="K989" t="s">
        <v>1098</v>
      </c>
      <c r="M989" s="1" t="s">
        <v>17</v>
      </c>
      <c r="N989" s="1" t="s">
        <v>18</v>
      </c>
      <c r="P989" s="1" t="s">
        <v>19</v>
      </c>
    </row>
    <row r="990" spans="1:16" ht="15.75" customHeight="1" x14ac:dyDescent="0.35">
      <c r="A990" s="1" t="s">
        <v>277</v>
      </c>
      <c r="C990" s="1" t="s">
        <v>100</v>
      </c>
      <c r="D990" s="1" t="s">
        <v>587</v>
      </c>
      <c r="E990" s="1" t="s">
        <v>22</v>
      </c>
      <c r="F990" s="1" t="s">
        <v>23</v>
      </c>
      <c r="G990" s="1" t="s">
        <v>54</v>
      </c>
      <c r="H990" s="1">
        <v>657.05</v>
      </c>
      <c r="I990" s="1">
        <f>IF(Table1[[#This Row],[Claim_Amount]]&lt;0,0,Table1[[#This Row],[Claim_Amount]])</f>
        <v>657.05</v>
      </c>
      <c r="J990" s="1">
        <f>IF(Table1[[#This Row],[Column1]]=0,"",Table1[[#This Row],[Column1]])</f>
        <v>657.05</v>
      </c>
      <c r="K990" s="1">
        <v>657.05</v>
      </c>
      <c r="M990" s="1" t="s">
        <v>121</v>
      </c>
      <c r="N990" s="1" t="s">
        <v>57</v>
      </c>
      <c r="O990" s="1">
        <v>14</v>
      </c>
      <c r="P990" s="1" t="s">
        <v>37</v>
      </c>
    </row>
    <row r="991" spans="1:16" ht="15.75" customHeight="1" x14ac:dyDescent="0.35">
      <c r="A991" s="1" t="s">
        <v>78</v>
      </c>
      <c r="B991" s="1" t="s">
        <v>1071</v>
      </c>
      <c r="C991" s="1" t="s">
        <v>486</v>
      </c>
      <c r="D991" s="1" t="s">
        <v>1072</v>
      </c>
      <c r="E991" s="1" t="s">
        <v>16</v>
      </c>
      <c r="F991" s="1" t="s">
        <v>47</v>
      </c>
      <c r="G991" s="1" t="s">
        <v>61</v>
      </c>
      <c r="I991">
        <f>IF(Table1[[#This Row],[Claim_Amount]]&lt;0,0,Table1[[#This Row],[Claim_Amount]])</f>
        <v>0</v>
      </c>
      <c r="J991" t="str">
        <f>IF(Table1[[#This Row],[Column1]]=0,"",Table1[[#This Row],[Column1]])</f>
        <v/>
      </c>
      <c r="K991" t="s">
        <v>1098</v>
      </c>
      <c r="L991" s="1">
        <v>2266.42</v>
      </c>
      <c r="M991" s="1" t="s">
        <v>36</v>
      </c>
      <c r="N991" s="1" t="s">
        <v>26</v>
      </c>
      <c r="P991" s="1" t="s">
        <v>19</v>
      </c>
    </row>
    <row r="992" spans="1:16" ht="15.75" customHeight="1" x14ac:dyDescent="0.35">
      <c r="A992" s="1" t="s">
        <v>114</v>
      </c>
      <c r="B992" s="1" t="s">
        <v>1073</v>
      </c>
      <c r="C992" s="1" t="s">
        <v>503</v>
      </c>
      <c r="D992" s="1" t="s">
        <v>883</v>
      </c>
      <c r="E992" s="1" t="s">
        <v>77</v>
      </c>
      <c r="F992" s="1" t="s">
        <v>23</v>
      </c>
      <c r="G992" s="1" t="s">
        <v>24</v>
      </c>
      <c r="I992">
        <f>IF(Table1[[#This Row],[Claim_Amount]]&lt;0,0,Table1[[#This Row],[Claim_Amount]])</f>
        <v>0</v>
      </c>
      <c r="J992" t="str">
        <f>IF(Table1[[#This Row],[Column1]]=0,"",Table1[[#This Row],[Column1]])</f>
        <v/>
      </c>
      <c r="K992" t="s">
        <v>1098</v>
      </c>
      <c r="L992" s="1">
        <v>1694.09</v>
      </c>
      <c r="M992" s="1" t="s">
        <v>42</v>
      </c>
      <c r="N992" s="1" t="s">
        <v>32</v>
      </c>
      <c r="P992" s="1" t="s">
        <v>37</v>
      </c>
    </row>
    <row r="993" spans="1:16" ht="15.75" customHeight="1" x14ac:dyDescent="0.35">
      <c r="A993" s="1" t="s">
        <v>192</v>
      </c>
      <c r="C993" s="1" t="s">
        <v>207</v>
      </c>
      <c r="D993" s="1" t="s">
        <v>817</v>
      </c>
      <c r="E993" s="1" t="s">
        <v>30</v>
      </c>
      <c r="F993" s="1" t="s">
        <v>53</v>
      </c>
      <c r="G993" s="1" t="s">
        <v>24</v>
      </c>
      <c r="I993">
        <f>IF(Table1[[#This Row],[Claim_Amount]]&lt;0,0,Table1[[#This Row],[Claim_Amount]])</f>
        <v>0</v>
      </c>
      <c r="J993" t="str">
        <f>IF(Table1[[#This Row],[Column1]]=0,"",Table1[[#This Row],[Column1]])</f>
        <v/>
      </c>
      <c r="K993" t="s">
        <v>1098</v>
      </c>
      <c r="M993" s="1" t="s">
        <v>121</v>
      </c>
      <c r="N993" s="1" t="s">
        <v>57</v>
      </c>
      <c r="P993" s="1" t="s">
        <v>19</v>
      </c>
    </row>
    <row r="994" spans="1:16" ht="15.75" customHeight="1" x14ac:dyDescent="0.35">
      <c r="A994" s="1" t="s">
        <v>187</v>
      </c>
      <c r="D994" s="1" t="s">
        <v>1074</v>
      </c>
      <c r="E994" s="1" t="s">
        <v>77</v>
      </c>
      <c r="F994" s="1" t="s">
        <v>93</v>
      </c>
      <c r="G994" s="1" t="s">
        <v>48</v>
      </c>
      <c r="H994" s="1">
        <v>-121</v>
      </c>
      <c r="I994" s="1">
        <f>IF(Table1[[#This Row],[Claim_Amount]]&lt;0,0,Table1[[#This Row],[Claim_Amount]])</f>
        <v>0</v>
      </c>
      <c r="J994" s="1" t="str">
        <f>IF(Table1[[#This Row],[Column1]]=0,"",Table1[[#This Row],[Column1]])</f>
        <v/>
      </c>
      <c r="K994" s="1" t="s">
        <v>1098</v>
      </c>
      <c r="L994" s="1">
        <v>2212.1999999999998</v>
      </c>
      <c r="M994" s="1" t="s">
        <v>25</v>
      </c>
      <c r="N994" s="1" t="s">
        <v>32</v>
      </c>
      <c r="O994" s="1">
        <v>37</v>
      </c>
    </row>
    <row r="995" spans="1:16" ht="15.75" customHeight="1" x14ac:dyDescent="0.35">
      <c r="A995" s="1" t="s">
        <v>170</v>
      </c>
      <c r="C995" s="1" t="s">
        <v>458</v>
      </c>
      <c r="D995" s="1" t="s">
        <v>1075</v>
      </c>
      <c r="E995" s="1" t="s">
        <v>77</v>
      </c>
      <c r="F995" s="1" t="s">
        <v>53</v>
      </c>
      <c r="G995" s="1" t="s">
        <v>61</v>
      </c>
      <c r="H995" s="1">
        <v>1587.48</v>
      </c>
      <c r="I995" s="1">
        <f>IF(Table1[[#This Row],[Claim_Amount]]&lt;0,0,Table1[[#This Row],[Claim_Amount]])</f>
        <v>1587.48</v>
      </c>
      <c r="J995" s="1">
        <f>IF(Table1[[#This Row],[Column1]]=0,"",Table1[[#This Row],[Column1]])</f>
        <v>1587.48</v>
      </c>
      <c r="K995" s="1">
        <v>1587.48</v>
      </c>
      <c r="L995" s="1">
        <v>3787.73</v>
      </c>
      <c r="M995" s="1" t="s">
        <v>25</v>
      </c>
      <c r="N995" s="1" t="s">
        <v>49</v>
      </c>
      <c r="P995" s="1" t="s">
        <v>37</v>
      </c>
    </row>
    <row r="996" spans="1:16" ht="15.75" customHeight="1" x14ac:dyDescent="0.35">
      <c r="A996" s="1" t="s">
        <v>55</v>
      </c>
      <c r="B996" s="1" t="s">
        <v>451</v>
      </c>
      <c r="D996" s="1" t="s">
        <v>235</v>
      </c>
      <c r="E996" s="1" t="s">
        <v>16</v>
      </c>
      <c r="G996" s="1" t="s">
        <v>54</v>
      </c>
      <c r="I996">
        <f>IF(Table1[[#This Row],[Claim_Amount]]&lt;0,0,Table1[[#This Row],[Claim_Amount]])</f>
        <v>0</v>
      </c>
      <c r="J996" t="str">
        <f>IF(Table1[[#This Row],[Column1]]=0,"",Table1[[#This Row],[Column1]])</f>
        <v/>
      </c>
      <c r="K996" t="s">
        <v>1098</v>
      </c>
      <c r="M996" s="1" t="s">
        <v>17</v>
      </c>
      <c r="N996" s="1" t="s">
        <v>26</v>
      </c>
      <c r="O996" s="1">
        <v>20</v>
      </c>
      <c r="P996" s="1" t="s">
        <v>19</v>
      </c>
    </row>
    <row r="997" spans="1:16" ht="15.75" customHeight="1" x14ac:dyDescent="0.35">
      <c r="A997" s="1" t="s">
        <v>247</v>
      </c>
      <c r="C997" s="1" t="s">
        <v>613</v>
      </c>
      <c r="D997" s="1" t="s">
        <v>1076</v>
      </c>
      <c r="E997" s="1" t="s">
        <v>22</v>
      </c>
      <c r="F997" s="1" t="s">
        <v>53</v>
      </c>
      <c r="G997" s="1" t="s">
        <v>48</v>
      </c>
      <c r="H997" s="1">
        <v>-145</v>
      </c>
      <c r="I997" s="1">
        <f>IF(Table1[[#This Row],[Claim_Amount]]&lt;0,0,Table1[[#This Row],[Claim_Amount]])</f>
        <v>0</v>
      </c>
      <c r="J997" s="1" t="str">
        <f>IF(Table1[[#This Row],[Column1]]=0,"",Table1[[#This Row],[Column1]])</f>
        <v/>
      </c>
      <c r="K997" s="1" t="s">
        <v>1098</v>
      </c>
      <c r="M997" s="1" t="s">
        <v>25</v>
      </c>
      <c r="N997" s="1" t="s">
        <v>18</v>
      </c>
      <c r="P997" s="1" t="s">
        <v>37</v>
      </c>
    </row>
    <row r="998" spans="1:16" ht="15.75" customHeight="1" x14ac:dyDescent="0.35">
      <c r="A998" s="1" t="s">
        <v>275</v>
      </c>
      <c r="D998" s="1" t="s">
        <v>432</v>
      </c>
      <c r="E998" s="1" t="s">
        <v>85</v>
      </c>
      <c r="F998" s="1" t="s">
        <v>93</v>
      </c>
      <c r="G998" s="1" t="s">
        <v>48</v>
      </c>
      <c r="H998" s="1">
        <v>-22</v>
      </c>
      <c r="I998" s="1">
        <f>IF(Table1[[#This Row],[Claim_Amount]]&lt;0,0,Table1[[#This Row],[Claim_Amount]])</f>
        <v>0</v>
      </c>
      <c r="J998" s="1" t="str">
        <f>IF(Table1[[#This Row],[Column1]]=0,"",Table1[[#This Row],[Column1]])</f>
        <v/>
      </c>
      <c r="K998" s="1" t="s">
        <v>1098</v>
      </c>
      <c r="M998" s="1" t="s">
        <v>17</v>
      </c>
      <c r="N998" s="1" t="s">
        <v>18</v>
      </c>
      <c r="O998" s="1">
        <v>53</v>
      </c>
      <c r="P998" s="1" t="s">
        <v>27</v>
      </c>
    </row>
    <row r="999" spans="1:16" ht="15.75" customHeight="1" x14ac:dyDescent="0.35">
      <c r="A999" s="1" t="s">
        <v>62</v>
      </c>
      <c r="B999" s="1" t="s">
        <v>600</v>
      </c>
      <c r="D999" s="1" t="s">
        <v>1077</v>
      </c>
      <c r="E999" s="1" t="s">
        <v>77</v>
      </c>
      <c r="F999" s="1" t="s">
        <v>23</v>
      </c>
      <c r="G999" s="1" t="s">
        <v>61</v>
      </c>
      <c r="I999">
        <f>IF(Table1[[#This Row],[Claim_Amount]]&lt;0,0,Table1[[#This Row],[Claim_Amount]])</f>
        <v>0</v>
      </c>
      <c r="J999" t="str">
        <f>IF(Table1[[#This Row],[Column1]]=0,"",Table1[[#This Row],[Column1]])</f>
        <v/>
      </c>
      <c r="K999" t="s">
        <v>1098</v>
      </c>
      <c r="M999" s="1" t="s">
        <v>17</v>
      </c>
      <c r="N999" s="1" t="s">
        <v>26</v>
      </c>
      <c r="P999" s="1" t="s">
        <v>19</v>
      </c>
    </row>
    <row r="1000" spans="1:16" ht="15.75" customHeight="1" x14ac:dyDescent="0.35">
      <c r="A1000" s="1" t="s">
        <v>163</v>
      </c>
      <c r="C1000" s="1" t="s">
        <v>632</v>
      </c>
      <c r="D1000" s="1" t="s">
        <v>1078</v>
      </c>
      <c r="E1000" s="1" t="s">
        <v>35</v>
      </c>
      <c r="I1000">
        <f>IF(Table1[[#This Row],[Claim_Amount]]&lt;0,0,Table1[[#This Row],[Claim_Amount]])</f>
        <v>0</v>
      </c>
      <c r="J1000" t="str">
        <f>IF(Table1[[#This Row],[Column1]]=0,"",Table1[[#This Row],[Column1]])</f>
        <v/>
      </c>
      <c r="K1000" t="s">
        <v>1098</v>
      </c>
      <c r="M1000" s="1" t="s">
        <v>25</v>
      </c>
      <c r="N1000" s="1" t="s">
        <v>18</v>
      </c>
    </row>
    <row r="1001" spans="1:16" ht="15.75" customHeight="1" x14ac:dyDescent="0.35">
      <c r="A1001" s="1" t="s">
        <v>209</v>
      </c>
      <c r="D1001" s="1" t="s">
        <v>1068</v>
      </c>
      <c r="E1001" s="1" t="s">
        <v>16</v>
      </c>
      <c r="G1001" s="1" t="s">
        <v>54</v>
      </c>
      <c r="I1001">
        <f>IF(Table1[[#This Row],[Claim_Amount]]&lt;0,0,Table1[[#This Row],[Claim_Amount]])</f>
        <v>0</v>
      </c>
      <c r="J1001" t="str">
        <f>IF(Table1[[#This Row],[Column1]]=0,"",Table1[[#This Row],[Column1]])</f>
        <v/>
      </c>
      <c r="K1001" t="s">
        <v>1098</v>
      </c>
      <c r="M1001" s="1" t="s">
        <v>25</v>
      </c>
      <c r="N1001" s="1" t="s">
        <v>26</v>
      </c>
      <c r="P1001" s="1" t="s">
        <v>27</v>
      </c>
    </row>
    <row r="1002" spans="1:16" ht="15.75" customHeight="1" x14ac:dyDescent="0.35"/>
    <row r="1003" spans="1:16" ht="15.75" customHeight="1" x14ac:dyDescent="0.35"/>
    <row r="1004" spans="1:16" ht="15.75" customHeight="1" x14ac:dyDescent="0.35"/>
    <row r="1005" spans="1:16" ht="15.75" customHeight="1" x14ac:dyDescent="0.35"/>
    <row r="1006" spans="1:16" ht="15.75" customHeight="1" x14ac:dyDescent="0.35"/>
    <row r="1007" spans="1:16" ht="15.75" customHeight="1" x14ac:dyDescent="0.35"/>
    <row r="1008" spans="1:16"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row r="1018" ht="15.75" customHeight="1" x14ac:dyDescent="0.35"/>
    <row r="1019" ht="15.75" customHeight="1" x14ac:dyDescent="0.35"/>
    <row r="1020" ht="15.75" customHeight="1" x14ac:dyDescent="0.35"/>
    <row r="1021" ht="15.75" customHeight="1" x14ac:dyDescent="0.35"/>
    <row r="1022" ht="15.75" customHeight="1" x14ac:dyDescent="0.35"/>
    <row r="1023" ht="15.75" customHeight="1" x14ac:dyDescent="0.35"/>
    <row r="1024" ht="15.75" customHeight="1" x14ac:dyDescent="0.35"/>
    <row r="1025" ht="15.75" customHeight="1" x14ac:dyDescent="0.35"/>
    <row r="1026" ht="15.75" customHeight="1" x14ac:dyDescent="0.35"/>
    <row r="1027" ht="15.75" customHeight="1" x14ac:dyDescent="0.35"/>
    <row r="1028" ht="15.75" customHeight="1" x14ac:dyDescent="0.35"/>
    <row r="1029" ht="15.75" customHeight="1" x14ac:dyDescent="0.35"/>
    <row r="1030" ht="15.75" customHeight="1" x14ac:dyDescent="0.35"/>
    <row r="1031" ht="15.75" customHeight="1" x14ac:dyDescent="0.35"/>
    <row r="1032" ht="15.75" customHeight="1" x14ac:dyDescent="0.35"/>
    <row r="1033" ht="15.75" customHeight="1" x14ac:dyDescent="0.35"/>
    <row r="1034" ht="15.75" customHeight="1" x14ac:dyDescent="0.35"/>
    <row r="1035" ht="15.75" customHeight="1" x14ac:dyDescent="0.35"/>
    <row r="1036" ht="15.75" customHeight="1" x14ac:dyDescent="0.35"/>
    <row r="1037" ht="15.75" customHeight="1" x14ac:dyDescent="0.35"/>
    <row r="1038" ht="15.75" customHeight="1" x14ac:dyDescent="0.35"/>
    <row r="1039" ht="15.75" customHeight="1" x14ac:dyDescent="0.35"/>
    <row r="1040" ht="15.75" customHeight="1" x14ac:dyDescent="0.35"/>
    <row r="1041" ht="15.75" customHeight="1" x14ac:dyDescent="0.35"/>
    <row r="1042" ht="15.75" customHeight="1" x14ac:dyDescent="0.35"/>
    <row r="1043" ht="15.75" customHeight="1" x14ac:dyDescent="0.35"/>
    <row r="1044" ht="15.75" customHeight="1" x14ac:dyDescent="0.35"/>
    <row r="1045" ht="15.75" customHeight="1" x14ac:dyDescent="0.35"/>
    <row r="1046" ht="15.75" customHeight="1" x14ac:dyDescent="0.35"/>
    <row r="1047" ht="15.75" customHeight="1" x14ac:dyDescent="0.35"/>
    <row r="1048" ht="15.75" customHeight="1" x14ac:dyDescent="0.35"/>
    <row r="1049" ht="15.75" customHeight="1" x14ac:dyDescent="0.35"/>
    <row r="1050" ht="15.75" customHeight="1" x14ac:dyDescent="0.35"/>
    <row r="1051" ht="15.75" customHeight="1" x14ac:dyDescent="0.35"/>
    <row r="1052" ht="15.75" customHeight="1" x14ac:dyDescent="0.35"/>
    <row r="1053" ht="15.75" customHeight="1" x14ac:dyDescent="0.35"/>
    <row r="1054" ht="15.75" customHeight="1" x14ac:dyDescent="0.35"/>
    <row r="1055" ht="15.75" customHeight="1" x14ac:dyDescent="0.35"/>
    <row r="1056" ht="15.75" customHeight="1" x14ac:dyDescent="0.35"/>
    <row r="1057" ht="15.75" customHeight="1" x14ac:dyDescent="0.35"/>
    <row r="1058" ht="15.75" customHeight="1" x14ac:dyDescent="0.35"/>
    <row r="1059" ht="15.75" customHeight="1" x14ac:dyDescent="0.35"/>
    <row r="1060" ht="15.75" customHeight="1" x14ac:dyDescent="0.35"/>
    <row r="1061" ht="15.75" customHeight="1" x14ac:dyDescent="0.35"/>
    <row r="1062" ht="15.75" customHeight="1" x14ac:dyDescent="0.35"/>
    <row r="1063" ht="15.75" customHeight="1" x14ac:dyDescent="0.35"/>
    <row r="1064" ht="15.75" customHeight="1" x14ac:dyDescent="0.35"/>
    <row r="1065" ht="15.75" customHeight="1" x14ac:dyDescent="0.35"/>
    <row r="1066" ht="15.75" customHeight="1" x14ac:dyDescent="0.35"/>
    <row r="1067" ht="15.75" customHeight="1" x14ac:dyDescent="0.35"/>
    <row r="1068" ht="15.75" customHeight="1" x14ac:dyDescent="0.35"/>
    <row r="1069" ht="15.75" customHeight="1" x14ac:dyDescent="0.35"/>
    <row r="1070" ht="15.75" customHeight="1" x14ac:dyDescent="0.35"/>
    <row r="1071" ht="15.75" customHeight="1" x14ac:dyDescent="0.35"/>
    <row r="1072" ht="15.75" customHeight="1" x14ac:dyDescent="0.35"/>
    <row r="1073" ht="15.75" customHeight="1" x14ac:dyDescent="0.35"/>
    <row r="1074" ht="15.75" customHeight="1" x14ac:dyDescent="0.35"/>
    <row r="1075" ht="15.75" customHeight="1" x14ac:dyDescent="0.35"/>
    <row r="1076" ht="15.75" customHeight="1" x14ac:dyDescent="0.35"/>
    <row r="1077" ht="15.75" customHeight="1" x14ac:dyDescent="0.35"/>
    <row r="1078" ht="15.75" customHeight="1" x14ac:dyDescent="0.35"/>
    <row r="1079" ht="15.75" customHeight="1" x14ac:dyDescent="0.35"/>
    <row r="1080" ht="15.75" customHeight="1" x14ac:dyDescent="0.35"/>
    <row r="1081" ht="15.75" customHeight="1" x14ac:dyDescent="0.35"/>
    <row r="1082" ht="15.75" customHeight="1" x14ac:dyDescent="0.35"/>
    <row r="1083" ht="15.75" customHeight="1" x14ac:dyDescent="0.35"/>
    <row r="1084" ht="15.75" customHeight="1" x14ac:dyDescent="0.35"/>
    <row r="1085" ht="15.75" customHeight="1" x14ac:dyDescent="0.35"/>
    <row r="1086" ht="15.75" customHeight="1" x14ac:dyDescent="0.35"/>
    <row r="1087" ht="15.75" customHeight="1" x14ac:dyDescent="0.35"/>
    <row r="1088" ht="15.75" customHeight="1" x14ac:dyDescent="0.35"/>
    <row r="1089" ht="15.75" customHeight="1" x14ac:dyDescent="0.35"/>
    <row r="1090" ht="15.75" customHeight="1" x14ac:dyDescent="0.35"/>
    <row r="1091" ht="15.75" customHeight="1" x14ac:dyDescent="0.35"/>
    <row r="1092" ht="15.75" customHeight="1" x14ac:dyDescent="0.35"/>
    <row r="1093" ht="15.75" customHeight="1" x14ac:dyDescent="0.35"/>
    <row r="1094" ht="15.75" customHeight="1" x14ac:dyDescent="0.35"/>
    <row r="1095" ht="15.75" customHeight="1" x14ac:dyDescent="0.35"/>
    <row r="1096" ht="15.75" customHeight="1" x14ac:dyDescent="0.35"/>
    <row r="1097" ht="15.75" customHeight="1" x14ac:dyDescent="0.35"/>
    <row r="1098" ht="15.75" customHeight="1" x14ac:dyDescent="0.35"/>
    <row r="1099" ht="15.75" customHeight="1" x14ac:dyDescent="0.35"/>
    <row r="1100" ht="15.75" customHeight="1" x14ac:dyDescent="0.35"/>
    <row r="1101" ht="15.75" customHeight="1" x14ac:dyDescent="0.35"/>
    <row r="1102" ht="15.75" customHeight="1" x14ac:dyDescent="0.35"/>
    <row r="1103" ht="15.75" customHeight="1" x14ac:dyDescent="0.35"/>
    <row r="1104" ht="15.75" customHeight="1" x14ac:dyDescent="0.35"/>
    <row r="1105" ht="15.75" customHeight="1" x14ac:dyDescent="0.35"/>
    <row r="1106" ht="15.75" customHeight="1" x14ac:dyDescent="0.35"/>
    <row r="1107" ht="15.75" customHeight="1" x14ac:dyDescent="0.35"/>
    <row r="1108" ht="15.75" customHeight="1" x14ac:dyDescent="0.35"/>
    <row r="1109" ht="15.75" customHeight="1" x14ac:dyDescent="0.35"/>
    <row r="1110" ht="15.75" customHeight="1" x14ac:dyDescent="0.35"/>
    <row r="1111" ht="15.75" customHeight="1" x14ac:dyDescent="0.35"/>
    <row r="1112" ht="15.75" customHeight="1" x14ac:dyDescent="0.35"/>
    <row r="1113" ht="15.75" customHeight="1" x14ac:dyDescent="0.35"/>
    <row r="1114" ht="15.75" customHeight="1" x14ac:dyDescent="0.35"/>
    <row r="1115" ht="15.75" customHeight="1" x14ac:dyDescent="0.35"/>
    <row r="1116" ht="15.75" customHeight="1" x14ac:dyDescent="0.35"/>
    <row r="1117" ht="15.75" customHeight="1" x14ac:dyDescent="0.35"/>
    <row r="1118" ht="15.75" customHeight="1" x14ac:dyDescent="0.35"/>
    <row r="1119" ht="15.75" customHeight="1" x14ac:dyDescent="0.35"/>
    <row r="1120" ht="15.75" customHeight="1" x14ac:dyDescent="0.35"/>
    <row r="1121" ht="15.75" customHeight="1" x14ac:dyDescent="0.35"/>
    <row r="1122" ht="15.75" customHeight="1" x14ac:dyDescent="0.35"/>
    <row r="1123" ht="15.75" customHeight="1" x14ac:dyDescent="0.35"/>
    <row r="1124" ht="15.75" customHeight="1" x14ac:dyDescent="0.35"/>
    <row r="1125" ht="15.75" customHeight="1" x14ac:dyDescent="0.35"/>
    <row r="1126" ht="15.75" customHeight="1" x14ac:dyDescent="0.35"/>
    <row r="1127" ht="15.75" customHeight="1" x14ac:dyDescent="0.35"/>
    <row r="1128" ht="15.75" customHeight="1" x14ac:dyDescent="0.35"/>
    <row r="1129" ht="15.75" customHeight="1" x14ac:dyDescent="0.35"/>
    <row r="1130" ht="15.75" customHeight="1" x14ac:dyDescent="0.35"/>
    <row r="1131" ht="15.75" customHeight="1" x14ac:dyDescent="0.35"/>
    <row r="1132" ht="15.75" customHeight="1" x14ac:dyDescent="0.35"/>
    <row r="1133" ht="15.75" customHeight="1" x14ac:dyDescent="0.35"/>
    <row r="1134" ht="15.75" customHeight="1" x14ac:dyDescent="0.35"/>
    <row r="1135" ht="15.75" customHeight="1" x14ac:dyDescent="0.35"/>
    <row r="1136" ht="15.75" customHeight="1" x14ac:dyDescent="0.35"/>
    <row r="1137" ht="15.75" customHeight="1" x14ac:dyDescent="0.35"/>
    <row r="1138" ht="15.75" customHeight="1" x14ac:dyDescent="0.35"/>
    <row r="1139" ht="15.75" customHeight="1" x14ac:dyDescent="0.35"/>
    <row r="1140" ht="15.75" customHeight="1" x14ac:dyDescent="0.35"/>
    <row r="1141" ht="15.75" customHeight="1" x14ac:dyDescent="0.35"/>
    <row r="1142" ht="15.75" customHeight="1" x14ac:dyDescent="0.35"/>
    <row r="1143" ht="15.75" customHeight="1" x14ac:dyDescent="0.35"/>
    <row r="1144" ht="15.75" customHeight="1" x14ac:dyDescent="0.35"/>
    <row r="1145" ht="15.75" customHeight="1" x14ac:dyDescent="0.35"/>
    <row r="1146" ht="15.75" customHeight="1" x14ac:dyDescent="0.35"/>
    <row r="1147" ht="15.75" customHeight="1" x14ac:dyDescent="0.35"/>
    <row r="1148" ht="15.75" customHeight="1" x14ac:dyDescent="0.35"/>
    <row r="1149" ht="15.75" customHeight="1" x14ac:dyDescent="0.35"/>
    <row r="1150" ht="15.75" customHeight="1" x14ac:dyDescent="0.35"/>
    <row r="1151" ht="15.75" customHeight="1" x14ac:dyDescent="0.35"/>
    <row r="1152" ht="15.75" customHeight="1" x14ac:dyDescent="0.35"/>
    <row r="1153" ht="15.75" customHeight="1" x14ac:dyDescent="0.35"/>
    <row r="1154" ht="15.75" customHeight="1" x14ac:dyDescent="0.35"/>
    <row r="1155" ht="15.75" customHeight="1" x14ac:dyDescent="0.35"/>
    <row r="1156" ht="15.75" customHeight="1" x14ac:dyDescent="0.35"/>
    <row r="1157" ht="15.75" customHeight="1" x14ac:dyDescent="0.35"/>
    <row r="1158" ht="15.75" customHeight="1" x14ac:dyDescent="0.35"/>
    <row r="1159" ht="15.75" customHeight="1" x14ac:dyDescent="0.35"/>
    <row r="1160" ht="15.75" customHeight="1" x14ac:dyDescent="0.35"/>
    <row r="1161" ht="15.75" customHeight="1" x14ac:dyDescent="0.35"/>
    <row r="1162" ht="15.75" customHeight="1" x14ac:dyDescent="0.35"/>
    <row r="1163" ht="15.75" customHeight="1" x14ac:dyDescent="0.35"/>
    <row r="1164" ht="15.75" customHeight="1" x14ac:dyDescent="0.35"/>
    <row r="1165" ht="15.75" customHeight="1" x14ac:dyDescent="0.35"/>
    <row r="1166" ht="15.75" customHeight="1" x14ac:dyDescent="0.35"/>
    <row r="1167" ht="15.75" customHeight="1" x14ac:dyDescent="0.35"/>
    <row r="1168" ht="15.75" customHeight="1" x14ac:dyDescent="0.35"/>
    <row r="1169" ht="15.75" customHeight="1" x14ac:dyDescent="0.35"/>
    <row r="1170" ht="15.75" customHeight="1" x14ac:dyDescent="0.35"/>
    <row r="1171" ht="15.75" customHeight="1" x14ac:dyDescent="0.35"/>
    <row r="1172" ht="15.75" customHeight="1" x14ac:dyDescent="0.35"/>
    <row r="1173" ht="15.75" customHeight="1" x14ac:dyDescent="0.35"/>
    <row r="1174" ht="15.75" customHeight="1" x14ac:dyDescent="0.35"/>
    <row r="1175" ht="15.75" customHeight="1" x14ac:dyDescent="0.35"/>
    <row r="1176" ht="15.75" customHeight="1" x14ac:dyDescent="0.35"/>
    <row r="1177" ht="15.75" customHeight="1" x14ac:dyDescent="0.35"/>
    <row r="1178" ht="15.75" customHeight="1" x14ac:dyDescent="0.35"/>
    <row r="1179" ht="15.75" customHeight="1" x14ac:dyDescent="0.35"/>
    <row r="1180" ht="15.75" customHeight="1" x14ac:dyDescent="0.35"/>
    <row r="1181" ht="15.75" customHeight="1" x14ac:dyDescent="0.35"/>
    <row r="1182" ht="15.75" customHeight="1" x14ac:dyDescent="0.35"/>
    <row r="1183" ht="15.75" customHeight="1" x14ac:dyDescent="0.35"/>
    <row r="1184" ht="15.75" customHeight="1" x14ac:dyDescent="0.35"/>
    <row r="1185" ht="15.75" customHeight="1" x14ac:dyDescent="0.35"/>
    <row r="1186" ht="15.75" customHeight="1" x14ac:dyDescent="0.35"/>
    <row r="1187" ht="15.75" customHeight="1" x14ac:dyDescent="0.35"/>
    <row r="1188" ht="15.75" customHeight="1" x14ac:dyDescent="0.35"/>
    <row r="1189" ht="15.75" customHeight="1" x14ac:dyDescent="0.35"/>
    <row r="1190" ht="15.75" customHeight="1" x14ac:dyDescent="0.35"/>
    <row r="1191" ht="15.75" customHeight="1" x14ac:dyDescent="0.35"/>
    <row r="1192" ht="15.75" customHeight="1" x14ac:dyDescent="0.35"/>
    <row r="1193" ht="15.75" customHeight="1" x14ac:dyDescent="0.35"/>
    <row r="1194" ht="15.75" customHeight="1" x14ac:dyDescent="0.35"/>
    <row r="1195" ht="15.75" customHeight="1" x14ac:dyDescent="0.35"/>
    <row r="1196" ht="15.75" customHeight="1" x14ac:dyDescent="0.35"/>
    <row r="1197" ht="15.75" customHeight="1" x14ac:dyDescent="0.35"/>
    <row r="1198" ht="15.75" customHeight="1" x14ac:dyDescent="0.35"/>
    <row r="1199" ht="15.75" customHeight="1" x14ac:dyDescent="0.35"/>
    <row r="1200" ht="15.75" customHeight="1" x14ac:dyDescent="0.35"/>
    <row r="1201" ht="15.75" customHeight="1" x14ac:dyDescent="0.35"/>
    <row r="1202" ht="15.75" customHeight="1" x14ac:dyDescent="0.35"/>
    <row r="1203" ht="15.75" customHeight="1" x14ac:dyDescent="0.35"/>
    <row r="1204" ht="15.75" customHeight="1" x14ac:dyDescent="0.35"/>
    <row r="1205" ht="15.75" customHeight="1" x14ac:dyDescent="0.35"/>
    <row r="1206" ht="15.75" customHeight="1" x14ac:dyDescent="0.35"/>
    <row r="1207" ht="15.75" customHeight="1" x14ac:dyDescent="0.35"/>
    <row r="1208" ht="15.75" customHeight="1" x14ac:dyDescent="0.35"/>
    <row r="1209" ht="15.75" customHeight="1" x14ac:dyDescent="0.35"/>
    <row r="1210" ht="15.75" customHeight="1" x14ac:dyDescent="0.35"/>
    <row r="1211" ht="15.75" customHeight="1" x14ac:dyDescent="0.35"/>
    <row r="1212" ht="15.75" customHeight="1" x14ac:dyDescent="0.35"/>
    <row r="1213" ht="15.75" customHeight="1" x14ac:dyDescent="0.35"/>
    <row r="1214" ht="15.75" customHeight="1" x14ac:dyDescent="0.35"/>
    <row r="1215" ht="15.75" customHeight="1" x14ac:dyDescent="0.35"/>
    <row r="1216" ht="15.75" customHeight="1" x14ac:dyDescent="0.35"/>
    <row r="1217" ht="15.75" customHeight="1" x14ac:dyDescent="0.35"/>
    <row r="1218" ht="15.75" customHeight="1" x14ac:dyDescent="0.35"/>
    <row r="1219" ht="15.75" customHeight="1" x14ac:dyDescent="0.35"/>
    <row r="1220" ht="15.75" customHeight="1" x14ac:dyDescent="0.35"/>
    <row r="1221" ht="15.75" customHeight="1" x14ac:dyDescent="0.35"/>
    <row r="1222" ht="15.75" customHeight="1" x14ac:dyDescent="0.35"/>
    <row r="1223" ht="15.75" customHeight="1" x14ac:dyDescent="0.35"/>
    <row r="1224" ht="15.75" customHeight="1" x14ac:dyDescent="0.35"/>
    <row r="1225" ht="15.75" customHeight="1" x14ac:dyDescent="0.35"/>
    <row r="1226" ht="15.75" customHeight="1" x14ac:dyDescent="0.35"/>
    <row r="1227" ht="15.75" customHeight="1" x14ac:dyDescent="0.35"/>
    <row r="1228" ht="15.75" customHeight="1" x14ac:dyDescent="0.35"/>
    <row r="1229" ht="15.75" customHeight="1" x14ac:dyDescent="0.35"/>
    <row r="1230" ht="15.75" customHeight="1" x14ac:dyDescent="0.35"/>
    <row r="1231" ht="15.75" customHeight="1" x14ac:dyDescent="0.35"/>
    <row r="1232" ht="15.75" customHeight="1" x14ac:dyDescent="0.35"/>
    <row r="1233" ht="15.75" customHeight="1" x14ac:dyDescent="0.35"/>
    <row r="1234" ht="15.75" customHeight="1" x14ac:dyDescent="0.35"/>
    <row r="1235" ht="15.75" customHeight="1" x14ac:dyDescent="0.35"/>
    <row r="1236" ht="15.75" customHeight="1" x14ac:dyDescent="0.35"/>
    <row r="1237" ht="15.75" customHeight="1" x14ac:dyDescent="0.35"/>
    <row r="1238" ht="15.75" customHeight="1" x14ac:dyDescent="0.35"/>
    <row r="1239" ht="15.75" customHeight="1" x14ac:dyDescent="0.35"/>
    <row r="1240" ht="15.75" customHeight="1" x14ac:dyDescent="0.35"/>
    <row r="1241" ht="15.75" customHeight="1" x14ac:dyDescent="0.35"/>
    <row r="1242" ht="15.75" customHeight="1" x14ac:dyDescent="0.35"/>
    <row r="1243" ht="15.75" customHeight="1" x14ac:dyDescent="0.35"/>
    <row r="1244" ht="15.75" customHeight="1" x14ac:dyDescent="0.35"/>
    <row r="1245" ht="15.75" customHeight="1" x14ac:dyDescent="0.35"/>
    <row r="1246" ht="15.75" customHeight="1" x14ac:dyDescent="0.35"/>
    <row r="1247" ht="15.75" customHeight="1" x14ac:dyDescent="0.35"/>
    <row r="1248" ht="15.75" customHeight="1" x14ac:dyDescent="0.35"/>
    <row r="1249" ht="15.75" customHeight="1" x14ac:dyDescent="0.35"/>
    <row r="1250" ht="15.75" customHeight="1" x14ac:dyDescent="0.35"/>
    <row r="1251" ht="15.75" customHeight="1" x14ac:dyDescent="0.35"/>
    <row r="1252" ht="15.75" customHeight="1" x14ac:dyDescent="0.35"/>
    <row r="1253" ht="15.75" customHeight="1" x14ac:dyDescent="0.35"/>
    <row r="1254" ht="15.75" customHeight="1" x14ac:dyDescent="0.35"/>
    <row r="1255" ht="15.75" customHeight="1" x14ac:dyDescent="0.35"/>
    <row r="1256" ht="15.75" customHeight="1" x14ac:dyDescent="0.35"/>
    <row r="1257" ht="15.75" customHeight="1" x14ac:dyDescent="0.35"/>
    <row r="1258" ht="15.75" customHeight="1" x14ac:dyDescent="0.35"/>
    <row r="1259" ht="15.75" customHeight="1" x14ac:dyDescent="0.35"/>
    <row r="1260" ht="15.75" customHeight="1" x14ac:dyDescent="0.35"/>
    <row r="1261" ht="15.75" customHeight="1" x14ac:dyDescent="0.35"/>
    <row r="1262" ht="15.75" customHeight="1" x14ac:dyDescent="0.35"/>
    <row r="1263" ht="15.75" customHeight="1" x14ac:dyDescent="0.35"/>
    <row r="1264" ht="15.75" customHeight="1" x14ac:dyDescent="0.35"/>
    <row r="1265" ht="15.75" customHeight="1" x14ac:dyDescent="0.35"/>
    <row r="1266" ht="15.75" customHeight="1" x14ac:dyDescent="0.35"/>
    <row r="1267" ht="15.75" customHeight="1" x14ac:dyDescent="0.35"/>
    <row r="1268" ht="15.75" customHeight="1" x14ac:dyDescent="0.35"/>
    <row r="1269" ht="15.75" customHeight="1" x14ac:dyDescent="0.35"/>
    <row r="1270" ht="15.75" customHeight="1" x14ac:dyDescent="0.35"/>
    <row r="1271" ht="15.75" customHeight="1" x14ac:dyDescent="0.35"/>
    <row r="1272" ht="15.75" customHeight="1" x14ac:dyDescent="0.35"/>
    <row r="1273" ht="15.75" customHeight="1" x14ac:dyDescent="0.35"/>
    <row r="1274" ht="15.75" customHeight="1" x14ac:dyDescent="0.35"/>
    <row r="1275" ht="15.75" customHeight="1" x14ac:dyDescent="0.35"/>
    <row r="1276" ht="15.75" customHeight="1" x14ac:dyDescent="0.35"/>
    <row r="1277" ht="15.75" customHeight="1" x14ac:dyDescent="0.35"/>
    <row r="1278" ht="15.75" customHeight="1" x14ac:dyDescent="0.35"/>
    <row r="1279" ht="15.75" customHeight="1" x14ac:dyDescent="0.35"/>
    <row r="1280" ht="15.75" customHeight="1" x14ac:dyDescent="0.35"/>
    <row r="1281" ht="15.75" customHeight="1" x14ac:dyDescent="0.35"/>
    <row r="1282" ht="15.75" customHeight="1" x14ac:dyDescent="0.35"/>
    <row r="1283" ht="15.75" customHeight="1" x14ac:dyDescent="0.35"/>
    <row r="1284" ht="15.75" customHeight="1" x14ac:dyDescent="0.35"/>
    <row r="1285" ht="15.75" customHeight="1" x14ac:dyDescent="0.35"/>
    <row r="1286" ht="15.75" customHeight="1" x14ac:dyDescent="0.35"/>
    <row r="1287" ht="15.75" customHeight="1" x14ac:dyDescent="0.35"/>
    <row r="1288" ht="15.75" customHeight="1" x14ac:dyDescent="0.35"/>
    <row r="1289" ht="15.75" customHeight="1" x14ac:dyDescent="0.35"/>
    <row r="1290" ht="15.75" customHeight="1" x14ac:dyDescent="0.35"/>
    <row r="1291" ht="15.75" customHeight="1" x14ac:dyDescent="0.35"/>
    <row r="1292" ht="15.75" customHeight="1" x14ac:dyDescent="0.35"/>
    <row r="1293" ht="15.75" customHeight="1" x14ac:dyDescent="0.35"/>
    <row r="1294" ht="15.75" customHeight="1" x14ac:dyDescent="0.35"/>
    <row r="1295" ht="15.75" customHeight="1" x14ac:dyDescent="0.35"/>
    <row r="1296" ht="15.75" customHeight="1" x14ac:dyDescent="0.35"/>
    <row r="1297" ht="15.75" customHeight="1" x14ac:dyDescent="0.35"/>
    <row r="1298" ht="15.75" customHeight="1" x14ac:dyDescent="0.35"/>
    <row r="1299" ht="15.75" customHeight="1" x14ac:dyDescent="0.35"/>
    <row r="1300" ht="15.75" customHeight="1" x14ac:dyDescent="0.35"/>
    <row r="1301" ht="15.75" customHeight="1" x14ac:dyDescent="0.35"/>
    <row r="1302" ht="15.75" customHeight="1" x14ac:dyDescent="0.35"/>
    <row r="1303" ht="15.75" customHeight="1" x14ac:dyDescent="0.35"/>
    <row r="1304" ht="15.75" customHeight="1" x14ac:dyDescent="0.35"/>
    <row r="1305" ht="15.75" customHeight="1" x14ac:dyDescent="0.35"/>
    <row r="1306" ht="15.75" customHeight="1" x14ac:dyDescent="0.35"/>
    <row r="1307" ht="15.75" customHeight="1" x14ac:dyDescent="0.35"/>
    <row r="1308" ht="15.75" customHeight="1" x14ac:dyDescent="0.35"/>
    <row r="1309" ht="15.75" customHeight="1" x14ac:dyDescent="0.35"/>
    <row r="1310" ht="15.75" customHeight="1" x14ac:dyDescent="0.35"/>
    <row r="1311" ht="15.75" customHeight="1" x14ac:dyDescent="0.35"/>
    <row r="1312" ht="15.75" customHeight="1" x14ac:dyDescent="0.35"/>
    <row r="1313" ht="15.75" customHeight="1" x14ac:dyDescent="0.35"/>
    <row r="1314" ht="15.75" customHeight="1" x14ac:dyDescent="0.35"/>
    <row r="1315" ht="15.75" customHeight="1" x14ac:dyDescent="0.35"/>
    <row r="1316" ht="15.75" customHeight="1" x14ac:dyDescent="0.35"/>
    <row r="1317" ht="15.75" customHeight="1" x14ac:dyDescent="0.35"/>
    <row r="1318" ht="15.75" customHeight="1" x14ac:dyDescent="0.35"/>
    <row r="1319" ht="15.75" customHeight="1" x14ac:dyDescent="0.35"/>
    <row r="1320" ht="15.75" customHeight="1" x14ac:dyDescent="0.35"/>
    <row r="1321" ht="15.75" customHeight="1" x14ac:dyDescent="0.35"/>
    <row r="1322" ht="15.75" customHeight="1" x14ac:dyDescent="0.35"/>
    <row r="1323" ht="15.75" customHeight="1" x14ac:dyDescent="0.35"/>
    <row r="1324" ht="15.75" customHeight="1" x14ac:dyDescent="0.35"/>
    <row r="1325" ht="15.75" customHeight="1" x14ac:dyDescent="0.35"/>
    <row r="1326" ht="15.75" customHeight="1" x14ac:dyDescent="0.35"/>
    <row r="1327" ht="15.75" customHeight="1" x14ac:dyDescent="0.35"/>
    <row r="1328" ht="15.75" customHeight="1" x14ac:dyDescent="0.35"/>
    <row r="1329" ht="15.75" customHeight="1" x14ac:dyDescent="0.35"/>
    <row r="1330" ht="15.75" customHeight="1" x14ac:dyDescent="0.35"/>
    <row r="1331" ht="15.75" customHeight="1" x14ac:dyDescent="0.35"/>
    <row r="1332" ht="15.75" customHeight="1" x14ac:dyDescent="0.35"/>
    <row r="1333" ht="15.75" customHeight="1" x14ac:dyDescent="0.35"/>
    <row r="1334" ht="15.75" customHeight="1" x14ac:dyDescent="0.35"/>
    <row r="1335" ht="15.75" customHeight="1" x14ac:dyDescent="0.35"/>
    <row r="1336" ht="15.75" customHeight="1" x14ac:dyDescent="0.35"/>
    <row r="1337" ht="15.75" customHeight="1" x14ac:dyDescent="0.35"/>
    <row r="1338" ht="15.75" customHeight="1" x14ac:dyDescent="0.35"/>
    <row r="1339" ht="15.75" customHeight="1" x14ac:dyDescent="0.35"/>
    <row r="1340" ht="15.75" customHeight="1" x14ac:dyDescent="0.35"/>
    <row r="1341" ht="15.75" customHeight="1" x14ac:dyDescent="0.35"/>
    <row r="1342" ht="15.75" customHeight="1" x14ac:dyDescent="0.35"/>
    <row r="1343" ht="15.75" customHeight="1" x14ac:dyDescent="0.35"/>
    <row r="1344" ht="15.75" customHeight="1" x14ac:dyDescent="0.35"/>
    <row r="1345" ht="15.75" customHeight="1" x14ac:dyDescent="0.35"/>
    <row r="1346" ht="15.75" customHeight="1" x14ac:dyDescent="0.35"/>
    <row r="1347" ht="15.75" customHeight="1" x14ac:dyDescent="0.35"/>
    <row r="1348" ht="15.75" customHeight="1" x14ac:dyDescent="0.35"/>
    <row r="1349" ht="15.75" customHeight="1" x14ac:dyDescent="0.35"/>
    <row r="1350" ht="15.75" customHeight="1" x14ac:dyDescent="0.35"/>
    <row r="1351" ht="15.75" customHeight="1" x14ac:dyDescent="0.35"/>
    <row r="1352" ht="15.75" customHeight="1" x14ac:dyDescent="0.35"/>
    <row r="1353" ht="15.75" customHeight="1" x14ac:dyDescent="0.35"/>
    <row r="1354" ht="15.75" customHeight="1" x14ac:dyDescent="0.35"/>
    <row r="1355" ht="15.75" customHeight="1" x14ac:dyDescent="0.35"/>
    <row r="1356" ht="15.75" customHeight="1" x14ac:dyDescent="0.35"/>
    <row r="1357" ht="15.75" customHeight="1" x14ac:dyDescent="0.35"/>
    <row r="1358" ht="15.75" customHeight="1" x14ac:dyDescent="0.35"/>
    <row r="1359" ht="15.75" customHeight="1" x14ac:dyDescent="0.35"/>
    <row r="1360" ht="15.75" customHeight="1" x14ac:dyDescent="0.35"/>
    <row r="1361" ht="15.75" customHeight="1" x14ac:dyDescent="0.35"/>
    <row r="1362" ht="15.75" customHeight="1" x14ac:dyDescent="0.35"/>
    <row r="1363" ht="15.75" customHeight="1" x14ac:dyDescent="0.35"/>
    <row r="1364" ht="15.75" customHeight="1" x14ac:dyDescent="0.35"/>
    <row r="1365" ht="15.75" customHeight="1" x14ac:dyDescent="0.35"/>
    <row r="1366" ht="15.75" customHeight="1" x14ac:dyDescent="0.35"/>
    <row r="1367" ht="15.75" customHeight="1" x14ac:dyDescent="0.35"/>
    <row r="1368" ht="15.75" customHeight="1" x14ac:dyDescent="0.35"/>
    <row r="1369" ht="15.75" customHeight="1" x14ac:dyDescent="0.35"/>
    <row r="1370" ht="15.75" customHeight="1" x14ac:dyDescent="0.35"/>
    <row r="1371" ht="15.75" customHeight="1" x14ac:dyDescent="0.35"/>
    <row r="1372" ht="15.75" customHeight="1" x14ac:dyDescent="0.35"/>
    <row r="1373" ht="15.75" customHeight="1" x14ac:dyDescent="0.35"/>
    <row r="1374" ht="15.75" customHeight="1" x14ac:dyDescent="0.35"/>
    <row r="1375" ht="15.75" customHeight="1" x14ac:dyDescent="0.35"/>
    <row r="1376" ht="15.75" customHeight="1" x14ac:dyDescent="0.35"/>
    <row r="1377" ht="15.75" customHeight="1" x14ac:dyDescent="0.35"/>
    <row r="1378" ht="15.75" customHeight="1" x14ac:dyDescent="0.35"/>
    <row r="1379" ht="15.75" customHeight="1" x14ac:dyDescent="0.35"/>
    <row r="1380" ht="15.75" customHeight="1" x14ac:dyDescent="0.35"/>
    <row r="1381" ht="15.75" customHeight="1" x14ac:dyDescent="0.35"/>
    <row r="1382" ht="15.75" customHeight="1" x14ac:dyDescent="0.35"/>
    <row r="1383" ht="15.75" customHeight="1" x14ac:dyDescent="0.35"/>
    <row r="1384" ht="15.75" customHeight="1" x14ac:dyDescent="0.35"/>
    <row r="1385" ht="15.75" customHeight="1" x14ac:dyDescent="0.35"/>
    <row r="1386" ht="15.75" customHeight="1" x14ac:dyDescent="0.35"/>
    <row r="1387" ht="15.75" customHeight="1" x14ac:dyDescent="0.35"/>
    <row r="1388" ht="15.75" customHeight="1" x14ac:dyDescent="0.35"/>
    <row r="1389" ht="15.75" customHeight="1" x14ac:dyDescent="0.35"/>
    <row r="1390" ht="15.75" customHeight="1" x14ac:dyDescent="0.35"/>
    <row r="1391" ht="15.75" customHeight="1" x14ac:dyDescent="0.35"/>
    <row r="1392" ht="15.75" customHeight="1" x14ac:dyDescent="0.35"/>
    <row r="1393" ht="15.75" customHeight="1" x14ac:dyDescent="0.35"/>
    <row r="1394" ht="15.75" customHeight="1" x14ac:dyDescent="0.35"/>
    <row r="1395" ht="15.75" customHeight="1" x14ac:dyDescent="0.35"/>
    <row r="1396" ht="15.75" customHeight="1" x14ac:dyDescent="0.35"/>
    <row r="1397" ht="15.75" customHeight="1" x14ac:dyDescent="0.35"/>
    <row r="1398" ht="15.75" customHeight="1" x14ac:dyDescent="0.35"/>
    <row r="1399" ht="15.75" customHeight="1" x14ac:dyDescent="0.35"/>
    <row r="1400" ht="15.75" customHeight="1" x14ac:dyDescent="0.35"/>
    <row r="1401" ht="15.75" customHeight="1" x14ac:dyDescent="0.35"/>
    <row r="1402" ht="15.75" customHeight="1" x14ac:dyDescent="0.35"/>
    <row r="1403" ht="15.75" customHeight="1" x14ac:dyDescent="0.35"/>
    <row r="1404" ht="15.75" customHeight="1" x14ac:dyDescent="0.35"/>
    <row r="1405" ht="15.75" customHeight="1" x14ac:dyDescent="0.35"/>
    <row r="1406" ht="15.75" customHeight="1" x14ac:dyDescent="0.35"/>
    <row r="1407" ht="15.75" customHeight="1" x14ac:dyDescent="0.35"/>
    <row r="1408" ht="15.75" customHeight="1" x14ac:dyDescent="0.35"/>
    <row r="1409" ht="15.75" customHeight="1" x14ac:dyDescent="0.35"/>
    <row r="1410" ht="15.75" customHeight="1" x14ac:dyDescent="0.35"/>
    <row r="1411" ht="15.75" customHeight="1" x14ac:dyDescent="0.35"/>
    <row r="1412" ht="15.75" customHeight="1" x14ac:dyDescent="0.35"/>
    <row r="1413" ht="15.75" customHeight="1" x14ac:dyDescent="0.35"/>
    <row r="1414" ht="15.75" customHeight="1" x14ac:dyDescent="0.35"/>
    <row r="1415" ht="15.75" customHeight="1" x14ac:dyDescent="0.35"/>
    <row r="1416" ht="15.75" customHeight="1" x14ac:dyDescent="0.35"/>
    <row r="1417" ht="15.75" customHeight="1" x14ac:dyDescent="0.35"/>
    <row r="1418" ht="15.75" customHeight="1" x14ac:dyDescent="0.35"/>
    <row r="1419" ht="15.75" customHeight="1" x14ac:dyDescent="0.35"/>
    <row r="1420" ht="15.75" customHeight="1" x14ac:dyDescent="0.35"/>
    <row r="1421" ht="15.75" customHeight="1" x14ac:dyDescent="0.35"/>
    <row r="1422" ht="15.75" customHeight="1" x14ac:dyDescent="0.35"/>
    <row r="1423" ht="15.75" customHeight="1" x14ac:dyDescent="0.35"/>
    <row r="1424" ht="15.75" customHeight="1" x14ac:dyDescent="0.35"/>
    <row r="1425" ht="15.75" customHeight="1" x14ac:dyDescent="0.35"/>
    <row r="1426" ht="15.75" customHeight="1" x14ac:dyDescent="0.35"/>
    <row r="1427" ht="15.75" customHeight="1" x14ac:dyDescent="0.35"/>
    <row r="1428" ht="15.75" customHeight="1" x14ac:dyDescent="0.35"/>
    <row r="1429" ht="15.75" customHeight="1" x14ac:dyDescent="0.35"/>
    <row r="1430" ht="15.75" customHeight="1" x14ac:dyDescent="0.35"/>
    <row r="1431" ht="15.75" customHeight="1" x14ac:dyDescent="0.35"/>
    <row r="1432" ht="15.75" customHeight="1" x14ac:dyDescent="0.35"/>
    <row r="1433" ht="15.75" customHeight="1" x14ac:dyDescent="0.35"/>
    <row r="1434" ht="15.75" customHeight="1" x14ac:dyDescent="0.35"/>
    <row r="1435" ht="15.75" customHeight="1" x14ac:dyDescent="0.35"/>
    <row r="1436" ht="15.75" customHeight="1" x14ac:dyDescent="0.35"/>
    <row r="1437" ht="15.75" customHeight="1" x14ac:dyDescent="0.35"/>
    <row r="1438" ht="15.75" customHeight="1" x14ac:dyDescent="0.35"/>
    <row r="1439" ht="15.75" customHeight="1" x14ac:dyDescent="0.35"/>
    <row r="1440" ht="15.75" customHeight="1" x14ac:dyDescent="0.35"/>
    <row r="1441" ht="15.75" customHeight="1" x14ac:dyDescent="0.35"/>
    <row r="1442" ht="15.75" customHeight="1" x14ac:dyDescent="0.35"/>
    <row r="1443" ht="15.75" customHeight="1" x14ac:dyDescent="0.35"/>
    <row r="1444" ht="15.75" customHeight="1" x14ac:dyDescent="0.35"/>
    <row r="1445" ht="15.75" customHeight="1" x14ac:dyDescent="0.35"/>
    <row r="1446" ht="15.75" customHeight="1" x14ac:dyDescent="0.35"/>
    <row r="1447" ht="15.75" customHeight="1" x14ac:dyDescent="0.35"/>
    <row r="1448" ht="15.75" customHeight="1" x14ac:dyDescent="0.35"/>
    <row r="1449" ht="15.75" customHeight="1" x14ac:dyDescent="0.35"/>
    <row r="1450" ht="15.75" customHeight="1" x14ac:dyDescent="0.35"/>
    <row r="1451" ht="15.75" customHeight="1" x14ac:dyDescent="0.35"/>
    <row r="1452" ht="15.75" customHeight="1" x14ac:dyDescent="0.35"/>
    <row r="1453" ht="15.75" customHeight="1" x14ac:dyDescent="0.35"/>
    <row r="1454" ht="15.75" customHeight="1" x14ac:dyDescent="0.35"/>
    <row r="1455" ht="15.75" customHeight="1" x14ac:dyDescent="0.35"/>
    <row r="1456" ht="15.75" customHeight="1" x14ac:dyDescent="0.35"/>
    <row r="1457" ht="15.75" customHeight="1" x14ac:dyDescent="0.35"/>
    <row r="1458" ht="15.75" customHeight="1" x14ac:dyDescent="0.35"/>
    <row r="1459" ht="15.75" customHeight="1" x14ac:dyDescent="0.35"/>
    <row r="1460" ht="15.75" customHeight="1" x14ac:dyDescent="0.35"/>
    <row r="1461" ht="15.75" customHeight="1" x14ac:dyDescent="0.35"/>
    <row r="1462" ht="15.75" customHeight="1" x14ac:dyDescent="0.35"/>
    <row r="1463" ht="15.75" customHeight="1" x14ac:dyDescent="0.35"/>
    <row r="1464" ht="15.75" customHeight="1" x14ac:dyDescent="0.35"/>
    <row r="1465" ht="15.75" customHeight="1" x14ac:dyDescent="0.35"/>
    <row r="1466" ht="15.75" customHeight="1" x14ac:dyDescent="0.35"/>
    <row r="1467" ht="15.75" customHeight="1" x14ac:dyDescent="0.35"/>
    <row r="1468" ht="15.75" customHeight="1" x14ac:dyDescent="0.35"/>
    <row r="1469" ht="15.75" customHeight="1" x14ac:dyDescent="0.35"/>
    <row r="1470" ht="15.75" customHeight="1" x14ac:dyDescent="0.35"/>
    <row r="1471" ht="15.75" customHeight="1" x14ac:dyDescent="0.35"/>
    <row r="1472" ht="15.75" customHeight="1" x14ac:dyDescent="0.35"/>
    <row r="1473" ht="15.75" customHeight="1" x14ac:dyDescent="0.35"/>
    <row r="1474" ht="15.75" customHeight="1" x14ac:dyDescent="0.35"/>
    <row r="1475" ht="15.75" customHeight="1" x14ac:dyDescent="0.35"/>
    <row r="1476" ht="15.75" customHeight="1" x14ac:dyDescent="0.35"/>
    <row r="1477" ht="15.75" customHeight="1" x14ac:dyDescent="0.35"/>
    <row r="1478" ht="15.75" customHeight="1" x14ac:dyDescent="0.35"/>
    <row r="1479" ht="15.75" customHeight="1" x14ac:dyDescent="0.35"/>
    <row r="1480" ht="15.75" customHeight="1" x14ac:dyDescent="0.35"/>
    <row r="1481" ht="15.75" customHeight="1" x14ac:dyDescent="0.35"/>
    <row r="1482" ht="15.75" customHeight="1" x14ac:dyDescent="0.35"/>
    <row r="1483" ht="15.75" customHeight="1" x14ac:dyDescent="0.35"/>
    <row r="1484" ht="15.75" customHeight="1" x14ac:dyDescent="0.35"/>
    <row r="1485" ht="15.75" customHeight="1" x14ac:dyDescent="0.35"/>
    <row r="1486" ht="15.75" customHeight="1" x14ac:dyDescent="0.35"/>
    <row r="1487" ht="15.75" customHeight="1" x14ac:dyDescent="0.35"/>
    <row r="1488" ht="15.75" customHeight="1" x14ac:dyDescent="0.35"/>
    <row r="1489" ht="15.75" customHeight="1" x14ac:dyDescent="0.35"/>
    <row r="1490" ht="15.75" customHeight="1" x14ac:dyDescent="0.35"/>
    <row r="1491" ht="15.75" customHeight="1" x14ac:dyDescent="0.35"/>
    <row r="1492" ht="15.75" customHeight="1" x14ac:dyDescent="0.35"/>
    <row r="1493" ht="15.75" customHeight="1" x14ac:dyDescent="0.35"/>
    <row r="1494" ht="15.75" customHeight="1" x14ac:dyDescent="0.35"/>
    <row r="1495" ht="15.75" customHeight="1" x14ac:dyDescent="0.35"/>
    <row r="1496" ht="15.75" customHeight="1" x14ac:dyDescent="0.35"/>
    <row r="1497" ht="15.75" customHeight="1" x14ac:dyDescent="0.35"/>
    <row r="1498" ht="15.75" customHeight="1" x14ac:dyDescent="0.35"/>
    <row r="1499" ht="15.75" customHeight="1" x14ac:dyDescent="0.35"/>
    <row r="1500" ht="15.75" customHeight="1" x14ac:dyDescent="0.35"/>
    <row r="1501" ht="15.75" customHeight="1" x14ac:dyDescent="0.35"/>
    <row r="1502" ht="15.75" customHeight="1" x14ac:dyDescent="0.35"/>
    <row r="1503" ht="15.75" customHeight="1" x14ac:dyDescent="0.35"/>
    <row r="1504" ht="15.75" customHeight="1" x14ac:dyDescent="0.35"/>
    <row r="1505" ht="15.75" customHeight="1" x14ac:dyDescent="0.35"/>
    <row r="1506" ht="15.75" customHeight="1" x14ac:dyDescent="0.35"/>
    <row r="1507" ht="15.75" customHeight="1" x14ac:dyDescent="0.35"/>
    <row r="1508" ht="15.75" customHeight="1" x14ac:dyDescent="0.35"/>
    <row r="1509" ht="15.75" customHeight="1" x14ac:dyDescent="0.35"/>
    <row r="1510" ht="15.75" customHeight="1" x14ac:dyDescent="0.35"/>
    <row r="1511" ht="15.75" customHeight="1" x14ac:dyDescent="0.35"/>
    <row r="1512" ht="15.75" customHeight="1" x14ac:dyDescent="0.35"/>
    <row r="1513" ht="15.75" customHeight="1" x14ac:dyDescent="0.35"/>
    <row r="1514" ht="15.75" customHeight="1" x14ac:dyDescent="0.35"/>
    <row r="1515" ht="15.75" customHeight="1" x14ac:dyDescent="0.35"/>
    <row r="1516" ht="15.75" customHeight="1" x14ac:dyDescent="0.35"/>
    <row r="1517" ht="15.75" customHeight="1" x14ac:dyDescent="0.35"/>
    <row r="1518" ht="15.75" customHeight="1" x14ac:dyDescent="0.35"/>
    <row r="1519" ht="15.75" customHeight="1" x14ac:dyDescent="0.35"/>
    <row r="1520" ht="15.75" customHeight="1" x14ac:dyDescent="0.35"/>
    <row r="1521" ht="15.75" customHeight="1" x14ac:dyDescent="0.35"/>
    <row r="1522" ht="15.75" customHeight="1" x14ac:dyDescent="0.35"/>
    <row r="1523" ht="15.75" customHeight="1" x14ac:dyDescent="0.35"/>
    <row r="1524" ht="15.75" customHeight="1" x14ac:dyDescent="0.35"/>
    <row r="1525" ht="15.75" customHeight="1" x14ac:dyDescent="0.35"/>
    <row r="1526" ht="15.75" customHeight="1" x14ac:dyDescent="0.35"/>
    <row r="1527" ht="15.75" customHeight="1" x14ac:dyDescent="0.35"/>
    <row r="1528" ht="15.75" customHeight="1" x14ac:dyDescent="0.35"/>
    <row r="1529" ht="15.75" customHeight="1" x14ac:dyDescent="0.35"/>
    <row r="1530" ht="15.75" customHeight="1" x14ac:dyDescent="0.35"/>
    <row r="1531" ht="15.75" customHeight="1" x14ac:dyDescent="0.35"/>
    <row r="1532" ht="15.75" customHeight="1" x14ac:dyDescent="0.35"/>
    <row r="1533" ht="15.75" customHeight="1" x14ac:dyDescent="0.35"/>
    <row r="1534" ht="15.75" customHeight="1" x14ac:dyDescent="0.35"/>
    <row r="1535" ht="15.75" customHeight="1" x14ac:dyDescent="0.35"/>
    <row r="1536" ht="15.75" customHeight="1" x14ac:dyDescent="0.35"/>
    <row r="1537" ht="15.75" customHeight="1" x14ac:dyDescent="0.35"/>
    <row r="1538" ht="15.75" customHeight="1" x14ac:dyDescent="0.35"/>
    <row r="1539" ht="15.75" customHeight="1" x14ac:dyDescent="0.35"/>
    <row r="1540" ht="15.75" customHeight="1" x14ac:dyDescent="0.35"/>
    <row r="1541" ht="15.75" customHeight="1" x14ac:dyDescent="0.35"/>
    <row r="1542" ht="15.75" customHeight="1" x14ac:dyDescent="0.35"/>
    <row r="1543" ht="15.75" customHeight="1" x14ac:dyDescent="0.35"/>
    <row r="1544" ht="15.75" customHeight="1" x14ac:dyDescent="0.35"/>
    <row r="1545" ht="15.75" customHeight="1" x14ac:dyDescent="0.35"/>
    <row r="1546" ht="15.75" customHeight="1" x14ac:dyDescent="0.35"/>
    <row r="1547" ht="15.75" customHeight="1" x14ac:dyDescent="0.35"/>
    <row r="1548" ht="15.75" customHeight="1" x14ac:dyDescent="0.35"/>
    <row r="1549" ht="15.75" customHeight="1" x14ac:dyDescent="0.35"/>
    <row r="1550" ht="15.75" customHeight="1" x14ac:dyDescent="0.35"/>
    <row r="1551" ht="15.75" customHeight="1" x14ac:dyDescent="0.35"/>
    <row r="1552" ht="15.75" customHeight="1" x14ac:dyDescent="0.35"/>
    <row r="1553" ht="15.75" customHeight="1" x14ac:dyDescent="0.35"/>
    <row r="1554" ht="15.75" customHeight="1" x14ac:dyDescent="0.35"/>
    <row r="1555" ht="15.75" customHeight="1" x14ac:dyDescent="0.35"/>
    <row r="1556" ht="15.75" customHeight="1" x14ac:dyDescent="0.35"/>
    <row r="1557" ht="15.75" customHeight="1" x14ac:dyDescent="0.35"/>
    <row r="1558" ht="15.75" customHeight="1" x14ac:dyDescent="0.35"/>
    <row r="1559" ht="15.75" customHeight="1" x14ac:dyDescent="0.35"/>
    <row r="1560" ht="15.75" customHeight="1" x14ac:dyDescent="0.35"/>
    <row r="1561" ht="15.75" customHeight="1" x14ac:dyDescent="0.35"/>
    <row r="1562" ht="15.75" customHeight="1" x14ac:dyDescent="0.35"/>
    <row r="1563" ht="15.75" customHeight="1" x14ac:dyDescent="0.35"/>
    <row r="1564" ht="15.75" customHeight="1" x14ac:dyDescent="0.35"/>
    <row r="1565" ht="15.75" customHeight="1" x14ac:dyDescent="0.35"/>
    <row r="1566" ht="15.75" customHeight="1" x14ac:dyDescent="0.35"/>
    <row r="1567" ht="15.75" customHeight="1" x14ac:dyDescent="0.35"/>
    <row r="1568" ht="15.75" customHeight="1" x14ac:dyDescent="0.35"/>
    <row r="1569" ht="15.75" customHeight="1" x14ac:dyDescent="0.35"/>
    <row r="1570" ht="15.75" customHeight="1" x14ac:dyDescent="0.35"/>
    <row r="1571" ht="15.75" customHeight="1" x14ac:dyDescent="0.35"/>
    <row r="1572" ht="15.75" customHeight="1" x14ac:dyDescent="0.35"/>
    <row r="1573" ht="15.75" customHeight="1" x14ac:dyDescent="0.35"/>
    <row r="1574" ht="15.75" customHeight="1" x14ac:dyDescent="0.35"/>
    <row r="1575" ht="15.75" customHeight="1" x14ac:dyDescent="0.35"/>
    <row r="1576" ht="15.75" customHeight="1" x14ac:dyDescent="0.35"/>
    <row r="1577" ht="15.75" customHeight="1" x14ac:dyDescent="0.35"/>
    <row r="1578" ht="15.75" customHeight="1" x14ac:dyDescent="0.35"/>
    <row r="1579" ht="15.75" customHeight="1" x14ac:dyDescent="0.35"/>
    <row r="1580" ht="15.75" customHeight="1" x14ac:dyDescent="0.35"/>
    <row r="1581" ht="15.75" customHeight="1" x14ac:dyDescent="0.35"/>
    <row r="1582" ht="15.75" customHeight="1" x14ac:dyDescent="0.35"/>
    <row r="1583" ht="15.75" customHeight="1" x14ac:dyDescent="0.35"/>
    <row r="1584" ht="15.75" customHeight="1" x14ac:dyDescent="0.35"/>
    <row r="1585" ht="15.75" customHeight="1" x14ac:dyDescent="0.35"/>
    <row r="1586" ht="15.75" customHeight="1" x14ac:dyDescent="0.35"/>
    <row r="1587" ht="15.75" customHeight="1" x14ac:dyDescent="0.35"/>
    <row r="1588" ht="15.75" customHeight="1" x14ac:dyDescent="0.35"/>
    <row r="1589" ht="15.75" customHeight="1" x14ac:dyDescent="0.35"/>
    <row r="1590" ht="15.75" customHeight="1" x14ac:dyDescent="0.35"/>
    <row r="1591" ht="15.75" customHeight="1" x14ac:dyDescent="0.35"/>
    <row r="1592" ht="15.75" customHeight="1" x14ac:dyDescent="0.35"/>
    <row r="1593" ht="15.75" customHeight="1" x14ac:dyDescent="0.35"/>
    <row r="1594" ht="15.75" customHeight="1" x14ac:dyDescent="0.35"/>
    <row r="1595" ht="15.75" customHeight="1" x14ac:dyDescent="0.35"/>
    <row r="1596" ht="15.75" customHeight="1" x14ac:dyDescent="0.35"/>
    <row r="1597" ht="15.75" customHeight="1" x14ac:dyDescent="0.35"/>
    <row r="1598" ht="15.75" customHeight="1" x14ac:dyDescent="0.35"/>
    <row r="1599" ht="15.75" customHeight="1" x14ac:dyDescent="0.35"/>
    <row r="1600" ht="15.75" customHeight="1" x14ac:dyDescent="0.35"/>
    <row r="1601" ht="15.75" customHeight="1" x14ac:dyDescent="0.35"/>
    <row r="1602" ht="15.75" customHeight="1" x14ac:dyDescent="0.35"/>
    <row r="1603" ht="15.75" customHeight="1" x14ac:dyDescent="0.35"/>
    <row r="1604" ht="15.75" customHeight="1" x14ac:dyDescent="0.35"/>
    <row r="1605" ht="15.75" customHeight="1" x14ac:dyDescent="0.35"/>
    <row r="1606" ht="15.75" customHeight="1" x14ac:dyDescent="0.35"/>
    <row r="1607" ht="15.75" customHeight="1" x14ac:dyDescent="0.35"/>
    <row r="1608" ht="15.75" customHeight="1" x14ac:dyDescent="0.35"/>
    <row r="1609" ht="15.75" customHeight="1" x14ac:dyDescent="0.35"/>
    <row r="1610" ht="15.75" customHeight="1" x14ac:dyDescent="0.35"/>
    <row r="1611" ht="15.75" customHeight="1" x14ac:dyDescent="0.35"/>
    <row r="1612" ht="15.75" customHeight="1" x14ac:dyDescent="0.35"/>
    <row r="1613" ht="15.75" customHeight="1" x14ac:dyDescent="0.35"/>
    <row r="1614" ht="15.75" customHeight="1" x14ac:dyDescent="0.35"/>
    <row r="1615" ht="15.75" customHeight="1" x14ac:dyDescent="0.35"/>
    <row r="1616" ht="15.75" customHeight="1" x14ac:dyDescent="0.35"/>
    <row r="1617" ht="15.75" customHeight="1" x14ac:dyDescent="0.35"/>
    <row r="1618" ht="15.75" customHeight="1" x14ac:dyDescent="0.35"/>
    <row r="1619" ht="15.75" customHeight="1" x14ac:dyDescent="0.35"/>
    <row r="1620" ht="15.75" customHeight="1" x14ac:dyDescent="0.35"/>
    <row r="1621" ht="15.75" customHeight="1" x14ac:dyDescent="0.35"/>
    <row r="1622" ht="15.75" customHeight="1" x14ac:dyDescent="0.35"/>
    <row r="1623" ht="15.75" customHeight="1" x14ac:dyDescent="0.35"/>
    <row r="1624" ht="15.75" customHeight="1" x14ac:dyDescent="0.35"/>
    <row r="1625" ht="15.75" customHeight="1" x14ac:dyDescent="0.35"/>
    <row r="1626" ht="15.75" customHeight="1" x14ac:dyDescent="0.35"/>
    <row r="1627" ht="15.75" customHeight="1" x14ac:dyDescent="0.35"/>
    <row r="1628" ht="15.75" customHeight="1" x14ac:dyDescent="0.35"/>
    <row r="1629" ht="15.75" customHeight="1" x14ac:dyDescent="0.35"/>
    <row r="1630" ht="15.75" customHeight="1" x14ac:dyDescent="0.35"/>
    <row r="1631" ht="15.75" customHeight="1" x14ac:dyDescent="0.35"/>
    <row r="1632" ht="15.75" customHeight="1" x14ac:dyDescent="0.35"/>
    <row r="1633" ht="15.75" customHeight="1" x14ac:dyDescent="0.35"/>
    <row r="1634" ht="15.75" customHeight="1" x14ac:dyDescent="0.35"/>
    <row r="1635" ht="15.75" customHeight="1" x14ac:dyDescent="0.35"/>
    <row r="1636" ht="15.75" customHeight="1" x14ac:dyDescent="0.35"/>
    <row r="1637" ht="15.75" customHeight="1" x14ac:dyDescent="0.35"/>
    <row r="1638" ht="15.75" customHeight="1" x14ac:dyDescent="0.35"/>
    <row r="1639" ht="15.75" customHeight="1" x14ac:dyDescent="0.35"/>
    <row r="1640" ht="15.75" customHeight="1" x14ac:dyDescent="0.35"/>
    <row r="1641" ht="15.75" customHeight="1" x14ac:dyDescent="0.35"/>
    <row r="1642" ht="15.75" customHeight="1" x14ac:dyDescent="0.35"/>
    <row r="1643" ht="15.75" customHeight="1" x14ac:dyDescent="0.35"/>
    <row r="1644" ht="15.75" customHeight="1" x14ac:dyDescent="0.35"/>
    <row r="1645" ht="15.75" customHeight="1" x14ac:dyDescent="0.35"/>
    <row r="1646" ht="15.75" customHeight="1" x14ac:dyDescent="0.35"/>
    <row r="1647" ht="15.75" customHeight="1" x14ac:dyDescent="0.35"/>
    <row r="1648" ht="15.75" customHeight="1" x14ac:dyDescent="0.35"/>
    <row r="1649" ht="15.75" customHeight="1" x14ac:dyDescent="0.35"/>
    <row r="1650" ht="15.75" customHeight="1" x14ac:dyDescent="0.35"/>
    <row r="1651" ht="15.75" customHeight="1" x14ac:dyDescent="0.35"/>
    <row r="1652" ht="15.75" customHeight="1" x14ac:dyDescent="0.35"/>
    <row r="1653" ht="15.75" customHeight="1" x14ac:dyDescent="0.35"/>
    <row r="1654" ht="15.75" customHeight="1" x14ac:dyDescent="0.35"/>
    <row r="1655" ht="15.75" customHeight="1" x14ac:dyDescent="0.35"/>
    <row r="1656" ht="15.75" customHeight="1" x14ac:dyDescent="0.35"/>
    <row r="1657" ht="15.75" customHeight="1" x14ac:dyDescent="0.35"/>
    <row r="1658" ht="15.75" customHeight="1" x14ac:dyDescent="0.35"/>
    <row r="1659" ht="15.75" customHeight="1" x14ac:dyDescent="0.35"/>
    <row r="1660" ht="15.75" customHeight="1" x14ac:dyDescent="0.35"/>
    <row r="1661" ht="15.75" customHeight="1" x14ac:dyDescent="0.35"/>
    <row r="1662" ht="15.75" customHeight="1" x14ac:dyDescent="0.35"/>
    <row r="1663" ht="15.75" customHeight="1" x14ac:dyDescent="0.35"/>
    <row r="1664" ht="15.75" customHeight="1" x14ac:dyDescent="0.35"/>
    <row r="1665" ht="15.75" customHeight="1" x14ac:dyDescent="0.35"/>
    <row r="1666" ht="15.75" customHeight="1" x14ac:dyDescent="0.35"/>
    <row r="1667" ht="15.75" customHeight="1" x14ac:dyDescent="0.35"/>
    <row r="1668" ht="15.75" customHeight="1" x14ac:dyDescent="0.35"/>
    <row r="1669" ht="15.75" customHeight="1" x14ac:dyDescent="0.35"/>
    <row r="1670" ht="15.75" customHeight="1" x14ac:dyDescent="0.35"/>
    <row r="1671" ht="15.75" customHeight="1" x14ac:dyDescent="0.35"/>
    <row r="1672" ht="15.75" customHeight="1" x14ac:dyDescent="0.35"/>
    <row r="1673" ht="15.75" customHeight="1" x14ac:dyDescent="0.35"/>
    <row r="1674" ht="15.75" customHeight="1" x14ac:dyDescent="0.35"/>
    <row r="1675" ht="15.75" customHeight="1" x14ac:dyDescent="0.35"/>
    <row r="1676" ht="15.75" customHeight="1" x14ac:dyDescent="0.35"/>
    <row r="1677" ht="15.75" customHeight="1" x14ac:dyDescent="0.35"/>
    <row r="1678" ht="15.75" customHeight="1" x14ac:dyDescent="0.35"/>
    <row r="1679" ht="15.75" customHeight="1" x14ac:dyDescent="0.35"/>
    <row r="1680" ht="15.75" customHeight="1" x14ac:dyDescent="0.35"/>
    <row r="1681" ht="15.75" customHeight="1" x14ac:dyDescent="0.35"/>
    <row r="1682" ht="15.75" customHeight="1" x14ac:dyDescent="0.35"/>
    <row r="1683" ht="15.75" customHeight="1" x14ac:dyDescent="0.35"/>
    <row r="1684" ht="15.75" customHeight="1" x14ac:dyDescent="0.35"/>
    <row r="1685" ht="15.75" customHeight="1" x14ac:dyDescent="0.35"/>
    <row r="1686" ht="15.75" customHeight="1" x14ac:dyDescent="0.35"/>
    <row r="1687" ht="15.75" customHeight="1" x14ac:dyDescent="0.35"/>
    <row r="1688" ht="15.75" customHeight="1" x14ac:dyDescent="0.35"/>
    <row r="1689" ht="15.75" customHeight="1" x14ac:dyDescent="0.35"/>
    <row r="1690" ht="15.75" customHeight="1" x14ac:dyDescent="0.35"/>
    <row r="1691" ht="15.75" customHeight="1" x14ac:dyDescent="0.35"/>
    <row r="1692" ht="15.75" customHeight="1" x14ac:dyDescent="0.35"/>
    <row r="1693" ht="15.75" customHeight="1" x14ac:dyDescent="0.35"/>
    <row r="1694" ht="15.75" customHeight="1" x14ac:dyDescent="0.35"/>
    <row r="1695" ht="15.75" customHeight="1" x14ac:dyDescent="0.35"/>
    <row r="1696" ht="15.75" customHeight="1" x14ac:dyDescent="0.35"/>
    <row r="1697" ht="15.75" customHeight="1" x14ac:dyDescent="0.35"/>
    <row r="1698" ht="15.75" customHeight="1" x14ac:dyDescent="0.35"/>
    <row r="1699" ht="15.75" customHeight="1" x14ac:dyDescent="0.35"/>
    <row r="1700" ht="15.75" customHeight="1" x14ac:dyDescent="0.35"/>
    <row r="1701" ht="15.75" customHeight="1" x14ac:dyDescent="0.35"/>
    <row r="1702" ht="15.75" customHeight="1" x14ac:dyDescent="0.35"/>
    <row r="1703" ht="15.75" customHeight="1" x14ac:dyDescent="0.35"/>
    <row r="1704" ht="15.75" customHeight="1" x14ac:dyDescent="0.35"/>
    <row r="1705" ht="15.75" customHeight="1" x14ac:dyDescent="0.35"/>
    <row r="1706" ht="15.75" customHeight="1" x14ac:dyDescent="0.35"/>
    <row r="1707" ht="15.75" customHeight="1" x14ac:dyDescent="0.35"/>
    <row r="1708" ht="15.75" customHeight="1" x14ac:dyDescent="0.35"/>
    <row r="1709" ht="15.75" customHeight="1" x14ac:dyDescent="0.35"/>
    <row r="1710" ht="15.75" customHeight="1" x14ac:dyDescent="0.35"/>
    <row r="1711" ht="15.75" customHeight="1" x14ac:dyDescent="0.35"/>
    <row r="1712" ht="15.75" customHeight="1" x14ac:dyDescent="0.35"/>
    <row r="1713" ht="15.75" customHeight="1" x14ac:dyDescent="0.35"/>
    <row r="1714" ht="15.75" customHeight="1" x14ac:dyDescent="0.35"/>
    <row r="1715" ht="15.75" customHeight="1" x14ac:dyDescent="0.35"/>
    <row r="1716" ht="15.75" customHeight="1" x14ac:dyDescent="0.35"/>
    <row r="1717" ht="15.75" customHeight="1" x14ac:dyDescent="0.35"/>
    <row r="1718" ht="15.75" customHeight="1" x14ac:dyDescent="0.35"/>
    <row r="1719" ht="15.75" customHeight="1" x14ac:dyDescent="0.35"/>
    <row r="1720" ht="15.75" customHeight="1" x14ac:dyDescent="0.35"/>
    <row r="1721" ht="15.75" customHeight="1" x14ac:dyDescent="0.35"/>
    <row r="1722" ht="15.75" customHeight="1" x14ac:dyDescent="0.35"/>
    <row r="1723" ht="15.75" customHeight="1" x14ac:dyDescent="0.35"/>
    <row r="1724" ht="15.75" customHeight="1" x14ac:dyDescent="0.35"/>
    <row r="1725" ht="15.75" customHeight="1" x14ac:dyDescent="0.35"/>
    <row r="1726" ht="15.75" customHeight="1" x14ac:dyDescent="0.35"/>
    <row r="1727" ht="15.75" customHeight="1" x14ac:dyDescent="0.35"/>
    <row r="1728" ht="15.75" customHeight="1" x14ac:dyDescent="0.35"/>
    <row r="1729" ht="15.75" customHeight="1" x14ac:dyDescent="0.35"/>
    <row r="1730" ht="15.75" customHeight="1" x14ac:dyDescent="0.35"/>
    <row r="1731" ht="15.75" customHeight="1" x14ac:dyDescent="0.35"/>
    <row r="1732" ht="15.75" customHeight="1" x14ac:dyDescent="0.35"/>
    <row r="1733" ht="15.75" customHeight="1" x14ac:dyDescent="0.35"/>
    <row r="1734" ht="15.75" customHeight="1" x14ac:dyDescent="0.35"/>
    <row r="1735" ht="15.75" customHeight="1" x14ac:dyDescent="0.35"/>
    <row r="1736" ht="15.75" customHeight="1" x14ac:dyDescent="0.35"/>
    <row r="1737" ht="15.75" customHeight="1" x14ac:dyDescent="0.35"/>
    <row r="1738" ht="15.75" customHeight="1" x14ac:dyDescent="0.35"/>
    <row r="1739" ht="15.75" customHeight="1" x14ac:dyDescent="0.35"/>
    <row r="1740" ht="15.75" customHeight="1" x14ac:dyDescent="0.35"/>
    <row r="1741" ht="15.75" customHeight="1" x14ac:dyDescent="0.35"/>
    <row r="1742" ht="15.75" customHeight="1" x14ac:dyDescent="0.35"/>
    <row r="1743" ht="15.75" customHeight="1" x14ac:dyDescent="0.35"/>
    <row r="1744" ht="15.75" customHeight="1" x14ac:dyDescent="0.35"/>
    <row r="1745" ht="15.75" customHeight="1" x14ac:dyDescent="0.35"/>
    <row r="1746" ht="15.75" customHeight="1" x14ac:dyDescent="0.35"/>
    <row r="1747" ht="15.75" customHeight="1" x14ac:dyDescent="0.35"/>
    <row r="1748" ht="15.75" customHeight="1" x14ac:dyDescent="0.35"/>
    <row r="1749" ht="15.75" customHeight="1" x14ac:dyDescent="0.35"/>
    <row r="1750" ht="15.75" customHeight="1" x14ac:dyDescent="0.35"/>
    <row r="1751" ht="15.75" customHeight="1" x14ac:dyDescent="0.35"/>
    <row r="1752" ht="15.75" customHeight="1" x14ac:dyDescent="0.35"/>
    <row r="1753" ht="15.75" customHeight="1" x14ac:dyDescent="0.35"/>
    <row r="1754" ht="15.75" customHeight="1" x14ac:dyDescent="0.35"/>
    <row r="1755" ht="15.75" customHeight="1" x14ac:dyDescent="0.35"/>
    <row r="1756" ht="15.75" customHeight="1" x14ac:dyDescent="0.35"/>
    <row r="1757" ht="15.75" customHeight="1" x14ac:dyDescent="0.35"/>
    <row r="1758" ht="15.75" customHeight="1" x14ac:dyDescent="0.35"/>
    <row r="1759" ht="15.75" customHeight="1" x14ac:dyDescent="0.35"/>
    <row r="1760" ht="15.75" customHeight="1" x14ac:dyDescent="0.35"/>
    <row r="1761" ht="15.75" customHeight="1" x14ac:dyDescent="0.35"/>
    <row r="1762" ht="15.75" customHeight="1" x14ac:dyDescent="0.35"/>
    <row r="1763" ht="15.75" customHeight="1" x14ac:dyDescent="0.35"/>
    <row r="1764" ht="15.75" customHeight="1" x14ac:dyDescent="0.35"/>
    <row r="1765" ht="15.75" customHeight="1" x14ac:dyDescent="0.35"/>
    <row r="1766" ht="15.75" customHeight="1" x14ac:dyDescent="0.35"/>
    <row r="1767" ht="15.75" customHeight="1" x14ac:dyDescent="0.35"/>
    <row r="1768" ht="15.75" customHeight="1" x14ac:dyDescent="0.35"/>
    <row r="1769" ht="15.75" customHeight="1" x14ac:dyDescent="0.35"/>
    <row r="1770" ht="15.75" customHeight="1" x14ac:dyDescent="0.35"/>
    <row r="1771" ht="15.75" customHeight="1" x14ac:dyDescent="0.35"/>
    <row r="1772" ht="15.75" customHeight="1" x14ac:dyDescent="0.35"/>
    <row r="1773" ht="15.75" customHeight="1" x14ac:dyDescent="0.35"/>
    <row r="1774" ht="15.75" customHeight="1" x14ac:dyDescent="0.35"/>
    <row r="1775" ht="15.75" customHeight="1" x14ac:dyDescent="0.35"/>
    <row r="1776" ht="15.75" customHeight="1" x14ac:dyDescent="0.35"/>
    <row r="1777" ht="15.75" customHeight="1" x14ac:dyDescent="0.35"/>
    <row r="1778" ht="15.75" customHeight="1" x14ac:dyDescent="0.35"/>
    <row r="1779" ht="15.75" customHeight="1" x14ac:dyDescent="0.35"/>
    <row r="1780" ht="15.75" customHeight="1" x14ac:dyDescent="0.35"/>
    <row r="1781" ht="15.75" customHeight="1" x14ac:dyDescent="0.35"/>
    <row r="1782" ht="15.75" customHeight="1" x14ac:dyDescent="0.35"/>
    <row r="1783" ht="15.75" customHeight="1" x14ac:dyDescent="0.35"/>
    <row r="1784" ht="15.75" customHeight="1" x14ac:dyDescent="0.35"/>
    <row r="1785" ht="15.75" customHeight="1" x14ac:dyDescent="0.35"/>
    <row r="1786" ht="15.75" customHeight="1" x14ac:dyDescent="0.35"/>
    <row r="1787" ht="15.75" customHeight="1" x14ac:dyDescent="0.35"/>
    <row r="1788" ht="15.75" customHeight="1" x14ac:dyDescent="0.35"/>
    <row r="1789" ht="15.75" customHeight="1" x14ac:dyDescent="0.35"/>
    <row r="1790" ht="15.75" customHeight="1" x14ac:dyDescent="0.35"/>
    <row r="1791" ht="15.75" customHeight="1" x14ac:dyDescent="0.35"/>
    <row r="1792" ht="15.75" customHeight="1" x14ac:dyDescent="0.35"/>
    <row r="1793" ht="15.75" customHeight="1" x14ac:dyDescent="0.35"/>
    <row r="1794" ht="15.75" customHeight="1" x14ac:dyDescent="0.35"/>
    <row r="1795" ht="15.75" customHeight="1" x14ac:dyDescent="0.35"/>
    <row r="1796" ht="15.75" customHeight="1" x14ac:dyDescent="0.35"/>
    <row r="1797" ht="15.75" customHeight="1" x14ac:dyDescent="0.35"/>
    <row r="1798" ht="15.75" customHeight="1" x14ac:dyDescent="0.35"/>
    <row r="1799" ht="15.75" customHeight="1" x14ac:dyDescent="0.35"/>
    <row r="1800" ht="15.75" customHeight="1" x14ac:dyDescent="0.35"/>
    <row r="1801" ht="15.75" customHeight="1" x14ac:dyDescent="0.35"/>
    <row r="1802" ht="15.75" customHeight="1" x14ac:dyDescent="0.35"/>
    <row r="1803" ht="15.75" customHeight="1" x14ac:dyDescent="0.35"/>
    <row r="1804" ht="15.75" customHeight="1" x14ac:dyDescent="0.35"/>
    <row r="1805" ht="15.75" customHeight="1" x14ac:dyDescent="0.35"/>
    <row r="1806" ht="15.75" customHeight="1" x14ac:dyDescent="0.35"/>
    <row r="1807" ht="15.75" customHeight="1" x14ac:dyDescent="0.35"/>
    <row r="1808" ht="15.75" customHeight="1" x14ac:dyDescent="0.35"/>
    <row r="1809" ht="15.75" customHeight="1" x14ac:dyDescent="0.35"/>
    <row r="1810" ht="15.75" customHeight="1" x14ac:dyDescent="0.35"/>
    <row r="1811" ht="15.75" customHeight="1" x14ac:dyDescent="0.35"/>
    <row r="1812" ht="15.75" customHeight="1" x14ac:dyDescent="0.35"/>
    <row r="1813" ht="15.75" customHeight="1" x14ac:dyDescent="0.35"/>
    <row r="1814" ht="15.75" customHeight="1" x14ac:dyDescent="0.35"/>
    <row r="1815" ht="15.75" customHeight="1" x14ac:dyDescent="0.35"/>
    <row r="1816" ht="15.75" customHeight="1" x14ac:dyDescent="0.35"/>
    <row r="1817" ht="15.75" customHeight="1" x14ac:dyDescent="0.35"/>
    <row r="1818" ht="15.75" customHeight="1" x14ac:dyDescent="0.35"/>
    <row r="1819" ht="15.75" customHeight="1" x14ac:dyDescent="0.35"/>
    <row r="1820" ht="15.75" customHeight="1" x14ac:dyDescent="0.35"/>
    <row r="1821" ht="15.75" customHeight="1" x14ac:dyDescent="0.35"/>
    <row r="1822" ht="15.75" customHeight="1" x14ac:dyDescent="0.35"/>
    <row r="1823" ht="15.75" customHeight="1" x14ac:dyDescent="0.35"/>
    <row r="1824" ht="15.75" customHeight="1" x14ac:dyDescent="0.35"/>
    <row r="1825" ht="15.75" customHeight="1" x14ac:dyDescent="0.35"/>
    <row r="1826" ht="15.75" customHeight="1" x14ac:dyDescent="0.35"/>
    <row r="1827" ht="15.75" customHeight="1" x14ac:dyDescent="0.35"/>
    <row r="1828" ht="15.75" customHeight="1" x14ac:dyDescent="0.35"/>
    <row r="1829" ht="15.75" customHeight="1" x14ac:dyDescent="0.35"/>
    <row r="1830" ht="15.75" customHeight="1" x14ac:dyDescent="0.35"/>
    <row r="1831" ht="15.75" customHeight="1" x14ac:dyDescent="0.35"/>
    <row r="1832" ht="15.75" customHeight="1" x14ac:dyDescent="0.35"/>
    <row r="1833" ht="15.75" customHeight="1" x14ac:dyDescent="0.35"/>
    <row r="1834" ht="15.75" customHeight="1" x14ac:dyDescent="0.35"/>
    <row r="1835" ht="15.75" customHeight="1" x14ac:dyDescent="0.35"/>
    <row r="1836" ht="15.75" customHeight="1" x14ac:dyDescent="0.35"/>
    <row r="1837" ht="15.75" customHeight="1" x14ac:dyDescent="0.35"/>
    <row r="1838" ht="15.75" customHeight="1" x14ac:dyDescent="0.35"/>
    <row r="1839" ht="15.75" customHeight="1" x14ac:dyDescent="0.35"/>
    <row r="1840" ht="15.75" customHeight="1" x14ac:dyDescent="0.35"/>
    <row r="1841" ht="15.75" customHeight="1" x14ac:dyDescent="0.35"/>
    <row r="1842" ht="15.75" customHeight="1" x14ac:dyDescent="0.35"/>
    <row r="1843" ht="15.75" customHeight="1" x14ac:dyDescent="0.35"/>
    <row r="1844" ht="15.75" customHeight="1" x14ac:dyDescent="0.35"/>
    <row r="1845" ht="15.75" customHeight="1" x14ac:dyDescent="0.35"/>
    <row r="1846" ht="15.75" customHeight="1" x14ac:dyDescent="0.35"/>
    <row r="1847" ht="15.75" customHeight="1" x14ac:dyDescent="0.35"/>
    <row r="1848" ht="15.75" customHeight="1" x14ac:dyDescent="0.35"/>
    <row r="1849" ht="15.75" customHeight="1" x14ac:dyDescent="0.35"/>
    <row r="1850" ht="15.75" customHeight="1" x14ac:dyDescent="0.35"/>
    <row r="1851" ht="15.75" customHeight="1" x14ac:dyDescent="0.35"/>
    <row r="1852" ht="15.75" customHeight="1" x14ac:dyDescent="0.35"/>
    <row r="1853" ht="15.75" customHeight="1" x14ac:dyDescent="0.35"/>
    <row r="1854" ht="15.75" customHeight="1" x14ac:dyDescent="0.35"/>
    <row r="1855" ht="15.75" customHeight="1" x14ac:dyDescent="0.35"/>
    <row r="1856" ht="15.75" customHeight="1" x14ac:dyDescent="0.35"/>
    <row r="1857" ht="15.75" customHeight="1" x14ac:dyDescent="0.35"/>
    <row r="1858" ht="15.75" customHeight="1" x14ac:dyDescent="0.35"/>
    <row r="1859" ht="15.75" customHeight="1" x14ac:dyDescent="0.35"/>
    <row r="1860" ht="15.75" customHeight="1" x14ac:dyDescent="0.35"/>
    <row r="1861" ht="15.75" customHeight="1" x14ac:dyDescent="0.35"/>
    <row r="1862" ht="15.75" customHeight="1" x14ac:dyDescent="0.35"/>
    <row r="1863" ht="15.75" customHeight="1" x14ac:dyDescent="0.35"/>
    <row r="1864" ht="15.75" customHeight="1" x14ac:dyDescent="0.35"/>
    <row r="1865" ht="15.75" customHeight="1" x14ac:dyDescent="0.35"/>
    <row r="1866" ht="15.75" customHeight="1" x14ac:dyDescent="0.35"/>
    <row r="1867" ht="15.75" customHeight="1" x14ac:dyDescent="0.35"/>
    <row r="1868" ht="15.75" customHeight="1" x14ac:dyDescent="0.35"/>
    <row r="1869" ht="15.75" customHeight="1" x14ac:dyDescent="0.35"/>
    <row r="1870" ht="15.75" customHeight="1" x14ac:dyDescent="0.35"/>
    <row r="1871" ht="15.75" customHeight="1" x14ac:dyDescent="0.35"/>
    <row r="1872" ht="15.75" customHeight="1" x14ac:dyDescent="0.35"/>
    <row r="1873" ht="15.75" customHeight="1" x14ac:dyDescent="0.35"/>
    <row r="1874" ht="15.75" customHeight="1" x14ac:dyDescent="0.35"/>
    <row r="1875" ht="15.75" customHeight="1" x14ac:dyDescent="0.35"/>
    <row r="1876" ht="15.75" customHeight="1" x14ac:dyDescent="0.35"/>
    <row r="1877" ht="15.75" customHeight="1" x14ac:dyDescent="0.35"/>
    <row r="1878" ht="15.75" customHeight="1" x14ac:dyDescent="0.35"/>
    <row r="1879" ht="15.75" customHeight="1" x14ac:dyDescent="0.35"/>
    <row r="1880" ht="15.75" customHeight="1" x14ac:dyDescent="0.35"/>
    <row r="1881" ht="15.75" customHeight="1" x14ac:dyDescent="0.35"/>
    <row r="1882" ht="15.75" customHeight="1" x14ac:dyDescent="0.35"/>
    <row r="1883" ht="15.75" customHeight="1" x14ac:dyDescent="0.35"/>
    <row r="1884" ht="15.75" customHeight="1" x14ac:dyDescent="0.35"/>
    <row r="1885" ht="15.75" customHeight="1" x14ac:dyDescent="0.35"/>
    <row r="1886" ht="15.75" customHeight="1" x14ac:dyDescent="0.35"/>
    <row r="1887" ht="15.75" customHeight="1" x14ac:dyDescent="0.35"/>
    <row r="1888" ht="15.75" customHeight="1" x14ac:dyDescent="0.35"/>
    <row r="1889" ht="15.75" customHeight="1" x14ac:dyDescent="0.35"/>
    <row r="1890" ht="15.75" customHeight="1" x14ac:dyDescent="0.35"/>
    <row r="1891" ht="15.75" customHeight="1" x14ac:dyDescent="0.35"/>
    <row r="1892" ht="15.75" customHeight="1" x14ac:dyDescent="0.35"/>
    <row r="1893" ht="15.75" customHeight="1" x14ac:dyDescent="0.35"/>
    <row r="1894" ht="15.75" customHeight="1" x14ac:dyDescent="0.35"/>
    <row r="1895" ht="15.75" customHeight="1" x14ac:dyDescent="0.35"/>
    <row r="1896" ht="15.75" customHeight="1" x14ac:dyDescent="0.35"/>
    <row r="1897" ht="15.75" customHeight="1" x14ac:dyDescent="0.35"/>
    <row r="1898" ht="15.75" customHeight="1" x14ac:dyDescent="0.35"/>
    <row r="1899" ht="15.75" customHeight="1" x14ac:dyDescent="0.35"/>
    <row r="1900" ht="15.75" customHeight="1" x14ac:dyDescent="0.35"/>
    <row r="1901" ht="15.75" customHeight="1" x14ac:dyDescent="0.35"/>
    <row r="1902" ht="15.75" customHeight="1" x14ac:dyDescent="0.35"/>
    <row r="1903" ht="15.75" customHeight="1" x14ac:dyDescent="0.35"/>
    <row r="1904" ht="15.75" customHeight="1" x14ac:dyDescent="0.35"/>
    <row r="1905" ht="15.75" customHeight="1" x14ac:dyDescent="0.35"/>
    <row r="1906" ht="15.75" customHeight="1" x14ac:dyDescent="0.35"/>
    <row r="1907" ht="15.75" customHeight="1" x14ac:dyDescent="0.35"/>
    <row r="1908" ht="15.75" customHeight="1" x14ac:dyDescent="0.35"/>
    <row r="1909" ht="15.75" customHeight="1" x14ac:dyDescent="0.35"/>
    <row r="1910" ht="15.75" customHeight="1" x14ac:dyDescent="0.35"/>
    <row r="1911" ht="15.75" customHeight="1" x14ac:dyDescent="0.35"/>
    <row r="1912" ht="15.75" customHeight="1" x14ac:dyDescent="0.35"/>
    <row r="1913" ht="15.75" customHeight="1" x14ac:dyDescent="0.35"/>
    <row r="1914" ht="15.75" customHeight="1" x14ac:dyDescent="0.35"/>
    <row r="1915" ht="15.75" customHeight="1" x14ac:dyDescent="0.35"/>
    <row r="1916" ht="15.75" customHeight="1" x14ac:dyDescent="0.35"/>
    <row r="1917" ht="15.75" customHeight="1" x14ac:dyDescent="0.35"/>
    <row r="1918" ht="15.75" customHeight="1" x14ac:dyDescent="0.35"/>
    <row r="1919" ht="15.75" customHeight="1" x14ac:dyDescent="0.35"/>
    <row r="1920" ht="15.75" customHeight="1" x14ac:dyDescent="0.35"/>
    <row r="1921" ht="15.75" customHeight="1" x14ac:dyDescent="0.35"/>
    <row r="1922" ht="15.75" customHeight="1" x14ac:dyDescent="0.35"/>
    <row r="1923" ht="15.75" customHeight="1" x14ac:dyDescent="0.35"/>
    <row r="1924" ht="15.75" customHeight="1" x14ac:dyDescent="0.35"/>
    <row r="1925" ht="15.75" customHeight="1" x14ac:dyDescent="0.35"/>
    <row r="1926" ht="15.75" customHeight="1" x14ac:dyDescent="0.35"/>
    <row r="1927" ht="15.75" customHeight="1" x14ac:dyDescent="0.35"/>
    <row r="1928" ht="15.75" customHeight="1" x14ac:dyDescent="0.35"/>
    <row r="1929" ht="15.75" customHeight="1" x14ac:dyDescent="0.35"/>
    <row r="1930" ht="15.75" customHeight="1" x14ac:dyDescent="0.35"/>
    <row r="1931" ht="15.75" customHeight="1" x14ac:dyDescent="0.35"/>
    <row r="1932" ht="15.75" customHeight="1" x14ac:dyDescent="0.35"/>
    <row r="1933" ht="15.75" customHeight="1" x14ac:dyDescent="0.35"/>
    <row r="1934" ht="15.75" customHeight="1" x14ac:dyDescent="0.35"/>
    <row r="1935" ht="15.75" customHeight="1" x14ac:dyDescent="0.35"/>
    <row r="1936" ht="15.75" customHeight="1" x14ac:dyDescent="0.35"/>
    <row r="1937" ht="15.75" customHeight="1" x14ac:dyDescent="0.35"/>
    <row r="1938" ht="15.75" customHeight="1" x14ac:dyDescent="0.35"/>
    <row r="1939" ht="15.75" customHeight="1" x14ac:dyDescent="0.35"/>
    <row r="1940" ht="15.75" customHeight="1" x14ac:dyDescent="0.35"/>
    <row r="1941" ht="15.75" customHeight="1" x14ac:dyDescent="0.35"/>
    <row r="1942" ht="15.75" customHeight="1" x14ac:dyDescent="0.35"/>
    <row r="1943" ht="15.75" customHeight="1" x14ac:dyDescent="0.35"/>
    <row r="1944" ht="15.75" customHeight="1" x14ac:dyDescent="0.35"/>
    <row r="1945" ht="15.75" customHeight="1" x14ac:dyDescent="0.35"/>
    <row r="1946" ht="15.75" customHeight="1" x14ac:dyDescent="0.35"/>
    <row r="1947" ht="15.75" customHeight="1" x14ac:dyDescent="0.35"/>
    <row r="1948" ht="15.75" customHeight="1" x14ac:dyDescent="0.35"/>
    <row r="1949" ht="15.75" customHeight="1" x14ac:dyDescent="0.35"/>
    <row r="1950" ht="15.75" customHeight="1" x14ac:dyDescent="0.35"/>
    <row r="1951" ht="15.75" customHeight="1" x14ac:dyDescent="0.35"/>
    <row r="1952" ht="15.75" customHeight="1" x14ac:dyDescent="0.35"/>
    <row r="1953" ht="15.75" customHeight="1" x14ac:dyDescent="0.35"/>
    <row r="1954" ht="15.75" customHeight="1" x14ac:dyDescent="0.35"/>
    <row r="1955" ht="15.75" customHeight="1" x14ac:dyDescent="0.35"/>
    <row r="1956" ht="15.75" customHeight="1" x14ac:dyDescent="0.35"/>
    <row r="1957" ht="15.75" customHeight="1" x14ac:dyDescent="0.35"/>
    <row r="1958" ht="15.75" customHeight="1" x14ac:dyDescent="0.35"/>
    <row r="1959" ht="15.75" customHeight="1" x14ac:dyDescent="0.35"/>
    <row r="1960" ht="15.75" customHeight="1" x14ac:dyDescent="0.35"/>
    <row r="1961" ht="15.75" customHeight="1" x14ac:dyDescent="0.35"/>
    <row r="1962" ht="15.75" customHeight="1" x14ac:dyDescent="0.35"/>
    <row r="1963" ht="15.75" customHeight="1" x14ac:dyDescent="0.35"/>
    <row r="1964" ht="15.75" customHeight="1" x14ac:dyDescent="0.35"/>
    <row r="1965" ht="15.75" customHeight="1" x14ac:dyDescent="0.35"/>
    <row r="1966" ht="15.75" customHeight="1" x14ac:dyDescent="0.35"/>
    <row r="1967" ht="15.75" customHeight="1" x14ac:dyDescent="0.35"/>
    <row r="1968" ht="15.75" customHeight="1" x14ac:dyDescent="0.35"/>
    <row r="1969" ht="15.75" customHeight="1" x14ac:dyDescent="0.35"/>
    <row r="1970" ht="15.75" customHeight="1" x14ac:dyDescent="0.35"/>
    <row r="1971" ht="15.75" customHeight="1" x14ac:dyDescent="0.35"/>
    <row r="1972" ht="15.75" customHeight="1" x14ac:dyDescent="0.35"/>
    <row r="1973" ht="15.75" customHeight="1" x14ac:dyDescent="0.35"/>
    <row r="1974" ht="15.75" customHeight="1" x14ac:dyDescent="0.35"/>
    <row r="1975" ht="15.75" customHeight="1" x14ac:dyDescent="0.35"/>
    <row r="1976" ht="15.75" customHeight="1" x14ac:dyDescent="0.35"/>
    <row r="1977" ht="15.75" customHeight="1" x14ac:dyDescent="0.35"/>
    <row r="1978" ht="15.75" customHeight="1" x14ac:dyDescent="0.35"/>
    <row r="1979" ht="15.75" customHeight="1" x14ac:dyDescent="0.35"/>
    <row r="1980" ht="15.75" customHeight="1" x14ac:dyDescent="0.35"/>
    <row r="1981" ht="15.75" customHeight="1" x14ac:dyDescent="0.35"/>
    <row r="1982" ht="15.75" customHeight="1" x14ac:dyDescent="0.35"/>
    <row r="1983" ht="15.75" customHeight="1" x14ac:dyDescent="0.35"/>
    <row r="1984" ht="15.75" customHeight="1" x14ac:dyDescent="0.35"/>
    <row r="1985" ht="15.75" customHeight="1" x14ac:dyDescent="0.35"/>
    <row r="1986" ht="15.75" customHeight="1" x14ac:dyDescent="0.35"/>
    <row r="1987" ht="15.75" customHeight="1" x14ac:dyDescent="0.35"/>
    <row r="1988" ht="15.75" customHeight="1" x14ac:dyDescent="0.35"/>
    <row r="1989" ht="15.75" customHeight="1" x14ac:dyDescent="0.35"/>
    <row r="1990" ht="15.75" customHeight="1" x14ac:dyDescent="0.35"/>
    <row r="1991" ht="15.75" customHeight="1" x14ac:dyDescent="0.35"/>
    <row r="1992" ht="15.75" customHeight="1" x14ac:dyDescent="0.35"/>
    <row r="1993" ht="15.75" customHeight="1" x14ac:dyDescent="0.35"/>
    <row r="1994" ht="15.75" customHeight="1" x14ac:dyDescent="0.35"/>
    <row r="1995" ht="15.75" customHeight="1" x14ac:dyDescent="0.35"/>
    <row r="1996" ht="15.75" customHeight="1" x14ac:dyDescent="0.35"/>
    <row r="1997" ht="15.75" customHeight="1" x14ac:dyDescent="0.35"/>
    <row r="1998" ht="15.75" customHeight="1" x14ac:dyDescent="0.35"/>
    <row r="1999" ht="15.75" customHeight="1" x14ac:dyDescent="0.35"/>
    <row r="2000" ht="15.75" customHeight="1" x14ac:dyDescent="0.35"/>
    <row r="2001" ht="15.75" customHeight="1" x14ac:dyDescent="0.35"/>
  </sheetData>
  <phoneticPr fontId="4" type="noConversion"/>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FFE1D-7B8D-4C6D-86F5-2575EFD1B38C}">
  <dimension ref="A1:AE2001"/>
  <sheetViews>
    <sheetView topLeftCell="Q1" zoomScaleNormal="100" workbookViewId="0">
      <selection activeCell="Y1" sqref="Y1:Y1048576"/>
    </sheetView>
  </sheetViews>
  <sheetFormatPr defaultColWidth="14.453125" defaultRowHeight="15" customHeight="1" x14ac:dyDescent="0.35"/>
  <cols>
    <col min="1" max="1" width="10.26953125" customWidth="1"/>
    <col min="2" max="2" width="13.7265625" customWidth="1"/>
    <col min="3" max="3" width="14.7265625" bestFit="1" customWidth="1"/>
    <col min="4" max="4" width="14.7265625" customWidth="1"/>
    <col min="5" max="5" width="16" bestFit="1" customWidth="1"/>
    <col min="6" max="6" width="15.7265625" bestFit="1" customWidth="1"/>
    <col min="7" max="7" width="15" customWidth="1"/>
    <col min="8" max="8" width="16.7265625" bestFit="1" customWidth="1"/>
    <col min="9" max="16" width="15" customWidth="1"/>
    <col min="17" max="17" width="21.81640625" bestFit="1" customWidth="1"/>
    <col min="18" max="18" width="15.6328125" customWidth="1"/>
    <col min="19" max="19" width="18.08984375" customWidth="1"/>
    <col min="20" max="20" width="18.81640625" bestFit="1" customWidth="1"/>
    <col min="21" max="21" width="18.81640625" customWidth="1"/>
    <col min="22" max="26" width="15.26953125" customWidth="1"/>
    <col min="27" max="27" width="20.90625" bestFit="1" customWidth="1"/>
    <col min="28" max="28" width="15.7265625" bestFit="1" customWidth="1"/>
    <col min="29" max="29" width="22.26953125" bestFit="1" customWidth="1"/>
    <col min="30" max="30" width="19.453125" customWidth="1"/>
    <col min="31" max="31" width="18.08984375" bestFit="1" customWidth="1"/>
    <col min="32" max="42" width="8.7265625" customWidth="1"/>
  </cols>
  <sheetData>
    <row r="1" spans="1:31" ht="14.5" x14ac:dyDescent="0.35">
      <c r="A1" s="2" t="s">
        <v>0</v>
      </c>
      <c r="B1" s="2" t="s">
        <v>1079</v>
      </c>
      <c r="C1" s="2" t="s">
        <v>1080</v>
      </c>
      <c r="D1" s="2" t="s">
        <v>3</v>
      </c>
      <c r="E1" s="6" t="s">
        <v>1372</v>
      </c>
      <c r="F1" s="6" t="s">
        <v>1099</v>
      </c>
      <c r="G1" s="6" t="s">
        <v>1371</v>
      </c>
      <c r="H1" s="6" t="s">
        <v>1370</v>
      </c>
      <c r="I1" s="6" t="s">
        <v>1148</v>
      </c>
      <c r="J1" s="6" t="s">
        <v>1112</v>
      </c>
      <c r="K1" s="6" t="s">
        <v>1149</v>
      </c>
      <c r="L1" s="6" t="s">
        <v>1145</v>
      </c>
      <c r="M1" s="6" t="s">
        <v>1150</v>
      </c>
      <c r="N1" s="6" t="s">
        <v>1113</v>
      </c>
      <c r="O1" s="6" t="s">
        <v>1151</v>
      </c>
      <c r="P1" s="6" t="s">
        <v>1152</v>
      </c>
      <c r="Q1" s="6" t="s">
        <v>1373</v>
      </c>
      <c r="R1" s="2" t="s">
        <v>1081</v>
      </c>
      <c r="S1" s="2" t="s">
        <v>1082</v>
      </c>
      <c r="T1" s="2" t="s">
        <v>1087</v>
      </c>
      <c r="U1" s="2" t="s">
        <v>1374</v>
      </c>
      <c r="V1" s="2" t="s">
        <v>7</v>
      </c>
      <c r="W1" s="2" t="s">
        <v>1377</v>
      </c>
      <c r="X1" s="2" t="s">
        <v>1376</v>
      </c>
      <c r="Y1" s="2" t="s">
        <v>1375</v>
      </c>
      <c r="Z1" s="2" t="s">
        <v>1378</v>
      </c>
      <c r="AA1" s="2" t="s">
        <v>1090</v>
      </c>
      <c r="AB1" s="2" t="s">
        <v>1092</v>
      </c>
      <c r="AC1" s="2" t="s">
        <v>1094</v>
      </c>
      <c r="AD1" s="2" t="s">
        <v>1095</v>
      </c>
      <c r="AE1" s="2" t="s">
        <v>1096</v>
      </c>
    </row>
    <row r="2" spans="1:31" ht="14.5" x14ac:dyDescent="0.35">
      <c r="A2" s="1" t="s">
        <v>13</v>
      </c>
      <c r="B2" s="1" t="s">
        <v>14</v>
      </c>
      <c r="C2" t="s">
        <v>1084</v>
      </c>
      <c r="D2" s="1" t="s">
        <v>15</v>
      </c>
      <c r="E2" s="5" t="s">
        <v>15</v>
      </c>
      <c r="F2" s="4" t="str">
        <f>IF(ISNUMBER(Table13[[#This Row],[Claim_Date2]]),"",Table13[[#This Row],[Claim_Date2]])</f>
        <v>Mar 13 2023</v>
      </c>
      <c r="G2" s="4" t="s">
        <v>15</v>
      </c>
      <c r="H2" s="4" t="str">
        <f>LEFT(Table13[[#This Row],[Values Col 1]],3)</f>
        <v>Mar</v>
      </c>
      <c r="I2" s="4" t="s">
        <v>1100</v>
      </c>
      <c r="J2" s="4" t="str">
        <f>MID(Table13[[#This Row],[Function Col]],5,2)</f>
        <v>13</v>
      </c>
      <c r="K2" s="4" t="s">
        <v>1114</v>
      </c>
      <c r="L2" s="4" t="str">
        <f>RIGHT(Table13[[#This Row],[Function Col]],4)</f>
        <v>2023</v>
      </c>
      <c r="M2" s="4" t="s">
        <v>1146</v>
      </c>
      <c r="N2" s="4" t="str">
        <f>IF(Table13[[#This Row],[Function Col5]]="","",_xlfn.CONCAT(Table13[[#This Row],[Day Col]],"/",Table13[[#This Row],[Month Col]],"/",Table13[[#This Row],[Year Col]]))</f>
        <v>13/Mar/2023</v>
      </c>
      <c r="O2" s="4" t="s">
        <v>1153</v>
      </c>
      <c r="P2" s="4" t="str">
        <f>IF(ISNUMBER(Table13[[#This Row],[Claim_Date2]]),Table13[[#This Row],[Claim_Date2]],Table13[[#This Row],[Function Col32]])</f>
        <v>13/Mar/2023</v>
      </c>
      <c r="Q2" s="4">
        <v>44998</v>
      </c>
      <c r="R2" s="1" t="s">
        <v>16</v>
      </c>
      <c r="S2" t="s">
        <v>1085</v>
      </c>
      <c r="T2" t="s">
        <v>1086</v>
      </c>
      <c r="V2" s="1">
        <v>-32</v>
      </c>
      <c r="W2" s="1">
        <f>IF(Table1[[#This Row],[Claim_Amount]]&lt;0,0,Table1[[#This Row],[Claim_Amount]])</f>
        <v>0</v>
      </c>
      <c r="X2" s="1" t="str">
        <f>IF(Table1[[#This Row],[Column1]]=0,"",Table1[[#This Row],[Column1]])</f>
        <v/>
      </c>
      <c r="Y2" s="1" t="s">
        <v>1098</v>
      </c>
      <c r="Z2" s="1">
        <v>2481</v>
      </c>
      <c r="AA2" s="1">
        <v>207.32</v>
      </c>
      <c r="AB2" s="1" t="s">
        <v>17</v>
      </c>
      <c r="AC2" s="1" t="s">
        <v>18</v>
      </c>
      <c r="AD2">
        <v>9</v>
      </c>
      <c r="AE2" s="3" t="s">
        <v>19</v>
      </c>
    </row>
    <row r="3" spans="1:31" ht="14.5" x14ac:dyDescent="0.35">
      <c r="A3" s="1" t="s">
        <v>20</v>
      </c>
      <c r="B3" t="s">
        <v>1083</v>
      </c>
      <c r="C3" t="s">
        <v>1084</v>
      </c>
      <c r="D3" s="1" t="s">
        <v>21</v>
      </c>
      <c r="E3" s="5">
        <v>45156</v>
      </c>
      <c r="F3" s="4" t="str">
        <f>IF(ISNUMBER(Table13[[#This Row],[Claim_Date2]]),"",Table13[[#This Row],[Claim_Date2]])</f>
        <v/>
      </c>
      <c r="G3" s="4" t="s">
        <v>1098</v>
      </c>
      <c r="H3" s="4" t="str">
        <f>LEFT(Table13[[#This Row],[Values Col 1]],3)</f>
        <v/>
      </c>
      <c r="I3" s="4" t="s">
        <v>1098</v>
      </c>
      <c r="J3" s="4" t="str">
        <f>MID(Table13[[#This Row],[Function Col]],5,2)</f>
        <v/>
      </c>
      <c r="K3" s="4" t="s">
        <v>1098</v>
      </c>
      <c r="L3" s="4" t="str">
        <f>RIGHT(Table13[[#This Row],[Function Col]],4)</f>
        <v/>
      </c>
      <c r="M3" s="4" t="s">
        <v>1098</v>
      </c>
      <c r="N3" s="4" t="str">
        <f>IF(Table13[[#This Row],[Function Col5]]="","",_xlfn.CONCAT(Table13[[#This Row],[Day Col]],"/",Table13[[#This Row],[Month Col]],"/",Table13[[#This Row],[Year Col]]))</f>
        <v/>
      </c>
      <c r="O3" s="4" t="s">
        <v>1098</v>
      </c>
      <c r="P3" s="4">
        <f>IF(ISNUMBER(Table13[[#This Row],[Claim_Date2]]),Table13[[#This Row],[Claim_Date2]],Table13[[#This Row],[Function Col32]])</f>
        <v>45156</v>
      </c>
      <c r="Q3" s="4">
        <v>45156</v>
      </c>
      <c r="R3" s="1" t="s">
        <v>85</v>
      </c>
      <c r="S3" s="1" t="s">
        <v>23</v>
      </c>
      <c r="T3" s="1" t="s">
        <v>24</v>
      </c>
      <c r="U3" s="1"/>
      <c r="W3">
        <f>IF(Table1[[#This Row],[Claim_Amount]]&lt;0,0,Table1[[#This Row],[Claim_Amount]])</f>
        <v>0</v>
      </c>
      <c r="X3" t="str">
        <f>IF(Table1[[#This Row],[Column1]]=0,"",Table1[[#This Row],[Column1]])</f>
        <v/>
      </c>
      <c r="Y3" t="s">
        <v>1098</v>
      </c>
      <c r="Z3">
        <v>2481</v>
      </c>
      <c r="AA3">
        <v>832</v>
      </c>
      <c r="AB3" s="1" t="s">
        <v>25</v>
      </c>
      <c r="AC3" s="1" t="s">
        <v>26</v>
      </c>
      <c r="AD3" s="1">
        <v>24</v>
      </c>
      <c r="AE3" s="3" t="s">
        <v>27</v>
      </c>
    </row>
    <row r="4" spans="1:31" ht="14.5" x14ac:dyDescent="0.35">
      <c r="A4" s="1" t="s">
        <v>28</v>
      </c>
      <c r="B4" t="s">
        <v>1083</v>
      </c>
      <c r="C4" t="s">
        <v>1084</v>
      </c>
      <c r="D4" s="1" t="s">
        <v>29</v>
      </c>
      <c r="E4" s="5">
        <v>45201</v>
      </c>
      <c r="F4" s="4" t="str">
        <f>IF(ISNUMBER(Table13[[#This Row],[Claim_Date2]]),"",Table13[[#This Row],[Claim_Date2]])</f>
        <v/>
      </c>
      <c r="G4" s="4" t="s">
        <v>1098</v>
      </c>
      <c r="H4" s="4" t="str">
        <f>LEFT(Table13[[#This Row],[Values Col 1]],3)</f>
        <v/>
      </c>
      <c r="I4" s="4" t="s">
        <v>1098</v>
      </c>
      <c r="J4" s="4" t="str">
        <f>MID(Table13[[#This Row],[Function Col]],5,2)</f>
        <v/>
      </c>
      <c r="K4" s="4" t="s">
        <v>1098</v>
      </c>
      <c r="L4" s="4" t="str">
        <f>RIGHT(Table13[[#This Row],[Function Col]],4)</f>
        <v/>
      </c>
      <c r="M4" s="4" t="s">
        <v>1098</v>
      </c>
      <c r="N4" s="4" t="str">
        <f>IF(Table13[[#This Row],[Function Col5]]="","",_xlfn.CONCAT(Table13[[#This Row],[Day Col]],"/",Table13[[#This Row],[Month Col]],"/",Table13[[#This Row],[Year Col]]))</f>
        <v/>
      </c>
      <c r="O4" s="4" t="s">
        <v>1098</v>
      </c>
      <c r="P4" s="4">
        <f>IF(ISNUMBER(Table13[[#This Row],[Claim_Date2]]),Table13[[#This Row],[Claim_Date2]],Table13[[#This Row],[Function Col32]])</f>
        <v>45201</v>
      </c>
      <c r="Q4" s="4">
        <v>45201</v>
      </c>
      <c r="R4" s="1" t="s">
        <v>30</v>
      </c>
      <c r="S4" s="1" t="s">
        <v>31</v>
      </c>
      <c r="T4" t="s">
        <v>1086</v>
      </c>
      <c r="W4">
        <f>IF(Table1[[#This Row],[Claim_Amount]]&lt;0,0,Table1[[#This Row],[Claim_Amount]])</f>
        <v>0</v>
      </c>
      <c r="X4" t="str">
        <f>IF(Table1[[#This Row],[Column1]]=0,"",Table1[[#This Row],[Column1]])</f>
        <v/>
      </c>
      <c r="Y4" t="s">
        <v>1098</v>
      </c>
      <c r="Z4">
        <v>2481</v>
      </c>
      <c r="AA4" s="1">
        <v>3537.63</v>
      </c>
      <c r="AB4" s="1" t="s">
        <v>17</v>
      </c>
      <c r="AC4" s="1" t="s">
        <v>32</v>
      </c>
      <c r="AD4" s="1">
        <v>5</v>
      </c>
      <c r="AE4" s="3" t="s">
        <v>19</v>
      </c>
    </row>
    <row r="5" spans="1:31" ht="14.5" x14ac:dyDescent="0.35">
      <c r="A5" s="1" t="s">
        <v>33</v>
      </c>
      <c r="B5" t="s">
        <v>1083</v>
      </c>
      <c r="C5" t="s">
        <v>1084</v>
      </c>
      <c r="D5" s="1" t="s">
        <v>34</v>
      </c>
      <c r="E5" s="5">
        <v>45010</v>
      </c>
      <c r="F5" s="4" t="str">
        <f>IF(ISNUMBER(Table13[[#This Row],[Claim_Date2]]),"",Table13[[#This Row],[Claim_Date2]])</f>
        <v/>
      </c>
      <c r="G5" s="4" t="s">
        <v>1098</v>
      </c>
      <c r="H5" s="4" t="str">
        <f>LEFT(Table13[[#This Row],[Values Col 1]],3)</f>
        <v/>
      </c>
      <c r="I5" s="4" t="s">
        <v>1098</v>
      </c>
      <c r="J5" s="4" t="str">
        <f>MID(Table13[[#This Row],[Function Col]],5,2)</f>
        <v/>
      </c>
      <c r="K5" s="4" t="s">
        <v>1098</v>
      </c>
      <c r="L5" s="4" t="str">
        <f>RIGHT(Table13[[#This Row],[Function Col]],4)</f>
        <v/>
      </c>
      <c r="M5" s="4" t="s">
        <v>1098</v>
      </c>
      <c r="N5" s="4" t="str">
        <f>IF(Table13[[#This Row],[Function Col5]]="","",_xlfn.CONCAT(Table13[[#This Row],[Day Col]],"/",Table13[[#This Row],[Month Col]],"/",Table13[[#This Row],[Year Col]]))</f>
        <v/>
      </c>
      <c r="O5" s="4" t="s">
        <v>1098</v>
      </c>
      <c r="P5" s="4">
        <f>IF(ISNUMBER(Table13[[#This Row],[Claim_Date2]]),Table13[[#This Row],[Claim_Date2]],Table13[[#This Row],[Function Col32]])</f>
        <v>45010</v>
      </c>
      <c r="Q5" s="4">
        <v>45010</v>
      </c>
      <c r="R5" s="1" t="s">
        <v>16</v>
      </c>
      <c r="S5" s="1" t="s">
        <v>31</v>
      </c>
      <c r="T5" t="s">
        <v>1086</v>
      </c>
      <c r="V5" s="1">
        <v>4686.4399999999996</v>
      </c>
      <c r="W5" s="1">
        <f>IF(Table1[[#This Row],[Claim_Amount]]&lt;0,0,Table1[[#This Row],[Claim_Amount]])</f>
        <v>4686.4399999999996</v>
      </c>
      <c r="X5" s="1">
        <f>IF(Table1[[#This Row],[Column1]]=0,"",Table1[[#This Row],[Column1]])</f>
        <v>4686.4399999999996</v>
      </c>
      <c r="Y5" s="1">
        <v>4686.4399999999996</v>
      </c>
      <c r="Z5" s="1">
        <v>4686.4399999999996</v>
      </c>
      <c r="AA5" s="1">
        <v>3065.2</v>
      </c>
      <c r="AB5" s="1" t="s">
        <v>1091</v>
      </c>
      <c r="AC5" s="1" t="s">
        <v>18</v>
      </c>
      <c r="AD5">
        <v>9</v>
      </c>
      <c r="AE5" s="3" t="s">
        <v>37</v>
      </c>
    </row>
    <row r="6" spans="1:31" ht="14.5" x14ac:dyDescent="0.35">
      <c r="A6" s="1" t="s">
        <v>38</v>
      </c>
      <c r="B6" t="s">
        <v>1083</v>
      </c>
      <c r="C6" s="1" t="s">
        <v>39</v>
      </c>
      <c r="D6" s="1" t="s">
        <v>40</v>
      </c>
      <c r="E6" s="5">
        <v>45277</v>
      </c>
      <c r="F6" s="4" t="str">
        <f>IF(ISNUMBER(Table13[[#This Row],[Claim_Date2]]),"",Table13[[#This Row],[Claim_Date2]])</f>
        <v/>
      </c>
      <c r="G6" s="4" t="s">
        <v>1098</v>
      </c>
      <c r="H6" s="4" t="str">
        <f>LEFT(Table13[[#This Row],[Values Col 1]],3)</f>
        <v/>
      </c>
      <c r="I6" s="4" t="s">
        <v>1098</v>
      </c>
      <c r="J6" s="4" t="str">
        <f>MID(Table13[[#This Row],[Function Col]],5,2)</f>
        <v/>
      </c>
      <c r="K6" s="4" t="s">
        <v>1098</v>
      </c>
      <c r="L6" s="4" t="str">
        <f>RIGHT(Table13[[#This Row],[Function Col]],4)</f>
        <v/>
      </c>
      <c r="M6" s="4" t="s">
        <v>1098</v>
      </c>
      <c r="N6" s="4" t="str">
        <f>IF(Table13[[#This Row],[Function Col5]]="","",_xlfn.CONCAT(Table13[[#This Row],[Day Col]],"/",Table13[[#This Row],[Month Col]],"/",Table13[[#This Row],[Year Col]]))</f>
        <v/>
      </c>
      <c r="O6" s="4" t="s">
        <v>1098</v>
      </c>
      <c r="P6" s="4">
        <f>IF(ISNUMBER(Table13[[#This Row],[Claim_Date2]]),Table13[[#This Row],[Claim_Date2]],Table13[[#This Row],[Function Col32]])</f>
        <v>45277</v>
      </c>
      <c r="Q6" s="4">
        <v>45277</v>
      </c>
      <c r="R6" s="1" t="s">
        <v>85</v>
      </c>
      <c r="S6" s="1" t="s">
        <v>23</v>
      </c>
      <c r="T6" s="1" t="s">
        <v>41</v>
      </c>
      <c r="U6" s="1"/>
      <c r="W6">
        <f>IF(Table1[[#This Row],[Claim_Amount]]&lt;0,0,Table1[[#This Row],[Claim_Amount]])</f>
        <v>0</v>
      </c>
      <c r="X6" t="str">
        <f>IF(Table1[[#This Row],[Column1]]=0,"",Table1[[#This Row],[Column1]])</f>
        <v/>
      </c>
      <c r="Y6" t="s">
        <v>1098</v>
      </c>
      <c r="Z6">
        <v>2481</v>
      </c>
      <c r="AA6">
        <v>832</v>
      </c>
      <c r="AB6" s="1" t="s">
        <v>42</v>
      </c>
      <c r="AC6" s="1" t="s">
        <v>18</v>
      </c>
      <c r="AD6">
        <v>9</v>
      </c>
      <c r="AE6" s="3" t="s">
        <v>37</v>
      </c>
    </row>
    <row r="7" spans="1:31" ht="14.5" x14ac:dyDescent="0.35">
      <c r="A7" s="1" t="s">
        <v>43</v>
      </c>
      <c r="B7" s="1" t="s">
        <v>44</v>
      </c>
      <c r="C7" s="1" t="s">
        <v>45</v>
      </c>
      <c r="D7" s="1" t="s">
        <v>46</v>
      </c>
      <c r="E7" s="5">
        <v>45214</v>
      </c>
      <c r="F7" s="4" t="str">
        <f>IF(ISNUMBER(Table13[[#This Row],[Claim_Date2]]),"",Table13[[#This Row],[Claim_Date2]])</f>
        <v/>
      </c>
      <c r="G7" s="4" t="s">
        <v>1098</v>
      </c>
      <c r="H7" s="4" t="str">
        <f>LEFT(Table13[[#This Row],[Values Col 1]],3)</f>
        <v/>
      </c>
      <c r="I7" s="4" t="s">
        <v>1098</v>
      </c>
      <c r="J7" s="4" t="str">
        <f>MID(Table13[[#This Row],[Function Col]],5,2)</f>
        <v/>
      </c>
      <c r="K7" s="4" t="s">
        <v>1098</v>
      </c>
      <c r="L7" s="4" t="str">
        <f>RIGHT(Table13[[#This Row],[Function Col]],4)</f>
        <v/>
      </c>
      <c r="M7" s="4" t="s">
        <v>1098</v>
      </c>
      <c r="N7" s="4" t="str">
        <f>IF(Table13[[#This Row],[Function Col5]]="","",_xlfn.CONCAT(Table13[[#This Row],[Day Col]],"/",Table13[[#This Row],[Month Col]],"/",Table13[[#This Row],[Year Col]]))</f>
        <v/>
      </c>
      <c r="O7" s="4" t="s">
        <v>1098</v>
      </c>
      <c r="P7" s="4">
        <f>IF(ISNUMBER(Table13[[#This Row],[Claim_Date2]]),Table13[[#This Row],[Claim_Date2]],Table13[[#This Row],[Function Col32]])</f>
        <v>45214</v>
      </c>
      <c r="Q7" s="4">
        <v>45214</v>
      </c>
      <c r="R7" s="1" t="s">
        <v>16</v>
      </c>
      <c r="S7" s="1" t="s">
        <v>47</v>
      </c>
      <c r="T7" s="1" t="s">
        <v>48</v>
      </c>
      <c r="U7" s="1"/>
      <c r="W7">
        <f>IF(Table1[[#This Row],[Claim_Amount]]&lt;0,0,Table1[[#This Row],[Claim_Amount]])</f>
        <v>0</v>
      </c>
      <c r="X7" t="str">
        <f>IF(Table1[[#This Row],[Column1]]=0,"",Table1[[#This Row],[Column1]])</f>
        <v/>
      </c>
      <c r="Y7" t="s">
        <v>1098</v>
      </c>
      <c r="Z7">
        <v>2481</v>
      </c>
      <c r="AA7" s="1">
        <v>1135.6400000000001</v>
      </c>
      <c r="AB7" s="1" t="s">
        <v>1091</v>
      </c>
      <c r="AC7" s="1" t="s">
        <v>1093</v>
      </c>
      <c r="AD7" s="1">
        <v>5</v>
      </c>
      <c r="AE7" s="3" t="s">
        <v>19</v>
      </c>
    </row>
    <row r="8" spans="1:31" ht="14.5" x14ac:dyDescent="0.35">
      <c r="A8" s="1" t="s">
        <v>50</v>
      </c>
      <c r="B8" s="1" t="s">
        <v>51</v>
      </c>
      <c r="C8" t="s">
        <v>1084</v>
      </c>
      <c r="D8" s="1" t="s">
        <v>52</v>
      </c>
      <c r="E8" s="5">
        <v>44959</v>
      </c>
      <c r="F8" s="4" t="str">
        <f>IF(ISNUMBER(Table13[[#This Row],[Claim_Date2]]),"",Table13[[#This Row],[Claim_Date2]])</f>
        <v/>
      </c>
      <c r="G8" s="4" t="s">
        <v>1098</v>
      </c>
      <c r="H8" s="4" t="str">
        <f>LEFT(Table13[[#This Row],[Values Col 1]],3)</f>
        <v/>
      </c>
      <c r="I8" s="4" t="s">
        <v>1098</v>
      </c>
      <c r="J8" s="4" t="str">
        <f>MID(Table13[[#This Row],[Function Col]],5,2)</f>
        <v/>
      </c>
      <c r="K8" s="4" t="s">
        <v>1098</v>
      </c>
      <c r="L8" s="4" t="str">
        <f>RIGHT(Table13[[#This Row],[Function Col]],4)</f>
        <v/>
      </c>
      <c r="M8" s="4" t="s">
        <v>1098</v>
      </c>
      <c r="N8" s="4" t="str">
        <f>IF(Table13[[#This Row],[Function Col5]]="","",_xlfn.CONCAT(Table13[[#This Row],[Day Col]],"/",Table13[[#This Row],[Month Col]],"/",Table13[[#This Row],[Year Col]]))</f>
        <v/>
      </c>
      <c r="O8" s="4" t="s">
        <v>1098</v>
      </c>
      <c r="P8" s="4">
        <f>IF(ISNUMBER(Table13[[#This Row],[Claim_Date2]]),Table13[[#This Row],[Claim_Date2]],Table13[[#This Row],[Function Col32]])</f>
        <v>44959</v>
      </c>
      <c r="Q8" s="4">
        <v>44959</v>
      </c>
      <c r="R8" s="1" t="s">
        <v>30</v>
      </c>
      <c r="S8" s="1" t="s">
        <v>53</v>
      </c>
      <c r="T8" s="1" t="s">
        <v>54</v>
      </c>
      <c r="U8" s="1"/>
      <c r="V8" s="1">
        <v>1294.5</v>
      </c>
      <c r="W8" s="1">
        <f>IF(Table1[[#This Row],[Claim_Amount]]&lt;0,0,Table1[[#This Row],[Claim_Amount]])</f>
        <v>1294.5</v>
      </c>
      <c r="X8" s="1">
        <f>IF(Table1[[#This Row],[Column1]]=0,"",Table1[[#This Row],[Column1]])</f>
        <v>1294.5</v>
      </c>
      <c r="Y8" s="1">
        <v>1294.5</v>
      </c>
      <c r="Z8" s="1">
        <v>1294.5</v>
      </c>
      <c r="AA8" s="1">
        <v>3417.4</v>
      </c>
      <c r="AB8" s="1" t="s">
        <v>1091</v>
      </c>
      <c r="AC8" s="1" t="s">
        <v>32</v>
      </c>
      <c r="AD8">
        <v>9</v>
      </c>
      <c r="AE8" s="3" t="s">
        <v>27</v>
      </c>
    </row>
    <row r="9" spans="1:31" ht="14.5" x14ac:dyDescent="0.35">
      <c r="A9" s="1" t="s">
        <v>55</v>
      </c>
      <c r="B9" t="s">
        <v>1083</v>
      </c>
      <c r="C9" t="s">
        <v>1084</v>
      </c>
      <c r="D9" s="1" t="s">
        <v>56</v>
      </c>
      <c r="E9" s="5">
        <v>44928</v>
      </c>
      <c r="F9" s="4" t="str">
        <f>IF(ISNUMBER(Table13[[#This Row],[Claim_Date2]]),"",Table13[[#This Row],[Claim_Date2]])</f>
        <v/>
      </c>
      <c r="G9" s="4" t="s">
        <v>1098</v>
      </c>
      <c r="H9" s="4" t="str">
        <f>LEFT(Table13[[#This Row],[Values Col 1]],3)</f>
        <v/>
      </c>
      <c r="I9" s="4" t="s">
        <v>1098</v>
      </c>
      <c r="J9" s="4" t="str">
        <f>MID(Table13[[#This Row],[Function Col]],5,2)</f>
        <v/>
      </c>
      <c r="K9" s="4" t="s">
        <v>1098</v>
      </c>
      <c r="L9" s="4" t="str">
        <f>RIGHT(Table13[[#This Row],[Function Col]],4)</f>
        <v/>
      </c>
      <c r="M9" s="4" t="s">
        <v>1098</v>
      </c>
      <c r="N9" s="4" t="str">
        <f>IF(Table13[[#This Row],[Function Col5]]="","",_xlfn.CONCAT(Table13[[#This Row],[Day Col]],"/",Table13[[#This Row],[Month Col]],"/",Table13[[#This Row],[Year Col]]))</f>
        <v/>
      </c>
      <c r="O9" s="4" t="s">
        <v>1098</v>
      </c>
      <c r="P9" s="4">
        <f>IF(ISNUMBER(Table13[[#This Row],[Claim_Date2]]),Table13[[#This Row],[Claim_Date2]],Table13[[#This Row],[Function Col32]])</f>
        <v>44928</v>
      </c>
      <c r="Q9" s="4">
        <v>44928</v>
      </c>
      <c r="R9" s="1" t="s">
        <v>30</v>
      </c>
      <c r="S9" s="1" t="s">
        <v>23</v>
      </c>
      <c r="T9" t="s">
        <v>1086</v>
      </c>
      <c r="W9">
        <f>IF(Table1[[#This Row],[Claim_Amount]]&lt;0,0,Table1[[#This Row],[Claim_Amount]])</f>
        <v>0</v>
      </c>
      <c r="X9" t="str">
        <f>IF(Table1[[#This Row],[Column1]]=0,"",Table1[[#This Row],[Column1]])</f>
        <v/>
      </c>
      <c r="Y9" t="s">
        <v>1098</v>
      </c>
      <c r="Z9">
        <v>2481</v>
      </c>
      <c r="AA9" s="1">
        <v>806.55</v>
      </c>
      <c r="AB9" s="1" t="s">
        <v>1091</v>
      </c>
      <c r="AC9" s="1" t="s">
        <v>57</v>
      </c>
      <c r="AD9" s="1">
        <v>58</v>
      </c>
      <c r="AE9" s="3" t="s">
        <v>1097</v>
      </c>
    </row>
    <row r="10" spans="1:31" ht="14.5" x14ac:dyDescent="0.35">
      <c r="A10" s="1" t="s">
        <v>58</v>
      </c>
      <c r="B10" s="1" t="s">
        <v>59</v>
      </c>
      <c r="C10" t="s">
        <v>1084</v>
      </c>
      <c r="D10" s="1" t="s">
        <v>60</v>
      </c>
      <c r="E10" s="5">
        <v>45084</v>
      </c>
      <c r="F10" s="4" t="str">
        <f>IF(ISNUMBER(Table13[[#This Row],[Claim_Date2]]),"",Table13[[#This Row],[Claim_Date2]])</f>
        <v/>
      </c>
      <c r="G10" s="4" t="s">
        <v>1098</v>
      </c>
      <c r="H10" s="4" t="str">
        <f>LEFT(Table13[[#This Row],[Values Col 1]],3)</f>
        <v/>
      </c>
      <c r="I10" s="4" t="s">
        <v>1098</v>
      </c>
      <c r="J10" s="4" t="str">
        <f>MID(Table13[[#This Row],[Function Col]],5,2)</f>
        <v/>
      </c>
      <c r="K10" s="4" t="s">
        <v>1098</v>
      </c>
      <c r="L10" s="4" t="str">
        <f>RIGHT(Table13[[#This Row],[Function Col]],4)</f>
        <v/>
      </c>
      <c r="M10" s="4" t="s">
        <v>1098</v>
      </c>
      <c r="N10" s="4" t="str">
        <f>IF(Table13[[#This Row],[Function Col5]]="","",_xlfn.CONCAT(Table13[[#This Row],[Day Col]],"/",Table13[[#This Row],[Month Col]],"/",Table13[[#This Row],[Year Col]]))</f>
        <v/>
      </c>
      <c r="O10" s="4" t="s">
        <v>1098</v>
      </c>
      <c r="P10" s="4">
        <f>IF(ISNUMBER(Table13[[#This Row],[Claim_Date2]]),Table13[[#This Row],[Claim_Date2]],Table13[[#This Row],[Function Col32]])</f>
        <v>45084</v>
      </c>
      <c r="Q10" s="4">
        <v>45084</v>
      </c>
      <c r="R10" s="1" t="s">
        <v>30</v>
      </c>
      <c r="S10" s="1" t="s">
        <v>23</v>
      </c>
      <c r="T10" s="1" t="s">
        <v>61</v>
      </c>
      <c r="U10" s="1"/>
      <c r="W10">
        <f>IF(Table1[[#This Row],[Claim_Amount]]&lt;0,0,Table1[[#This Row],[Claim_Amount]])</f>
        <v>0</v>
      </c>
      <c r="X10" t="str">
        <f>IF(Table1[[#This Row],[Column1]]=0,"",Table1[[#This Row],[Column1]])</f>
        <v/>
      </c>
      <c r="Y10" t="s">
        <v>1098</v>
      </c>
      <c r="Z10">
        <v>2481</v>
      </c>
      <c r="AA10">
        <v>832</v>
      </c>
      <c r="AB10" s="1" t="s">
        <v>1091</v>
      </c>
      <c r="AC10" s="1" t="s">
        <v>18</v>
      </c>
      <c r="AD10">
        <v>9</v>
      </c>
      <c r="AE10" s="3" t="s">
        <v>1097</v>
      </c>
    </row>
    <row r="11" spans="1:31" ht="14.5" x14ac:dyDescent="0.35">
      <c r="A11" s="1" t="s">
        <v>62</v>
      </c>
      <c r="B11" t="s">
        <v>1083</v>
      </c>
      <c r="C11" s="1" t="s">
        <v>63</v>
      </c>
      <c r="D11" s="1" t="s">
        <v>64</v>
      </c>
      <c r="E11" s="5" t="s">
        <v>64</v>
      </c>
      <c r="F11" s="4" t="str">
        <f>IF(ISNUMBER(Table13[[#This Row],[Claim_Date2]]),"",Table13[[#This Row],[Claim_Date2]])</f>
        <v>Jul 24 2023</v>
      </c>
      <c r="G11" s="4" t="s">
        <v>64</v>
      </c>
      <c r="H11" s="4" t="str">
        <f>LEFT(Table13[[#This Row],[Values Col 1]],3)</f>
        <v>Jul</v>
      </c>
      <c r="I11" s="4" t="s">
        <v>1101</v>
      </c>
      <c r="J11" s="4" t="str">
        <f>MID(Table13[[#This Row],[Function Col]],5,2)</f>
        <v>24</v>
      </c>
      <c r="K11" s="4" t="s">
        <v>1115</v>
      </c>
      <c r="L11" s="4" t="str">
        <f>RIGHT(Table13[[#This Row],[Function Col]],4)</f>
        <v>2023</v>
      </c>
      <c r="M11" s="4" t="s">
        <v>1146</v>
      </c>
      <c r="N11" s="4" t="str">
        <f>IF(Table13[[#This Row],[Function Col5]]="","",_xlfn.CONCAT(Table13[[#This Row],[Day Col]],"/",Table13[[#This Row],[Month Col]],"/",Table13[[#This Row],[Year Col]]))</f>
        <v>24/Jul/2023</v>
      </c>
      <c r="O11" s="4" t="s">
        <v>1154</v>
      </c>
      <c r="P11" s="4" t="str">
        <f>IF(ISNUMBER(Table13[[#This Row],[Claim_Date2]]),Table13[[#This Row],[Claim_Date2]],Table13[[#This Row],[Function Col32]])</f>
        <v>24/Jul/2023</v>
      </c>
      <c r="Q11" s="4">
        <v>45131</v>
      </c>
      <c r="R11" s="1" t="s">
        <v>16</v>
      </c>
      <c r="S11" s="1" t="s">
        <v>31</v>
      </c>
      <c r="T11" s="1" t="s">
        <v>48</v>
      </c>
      <c r="U11" s="1"/>
      <c r="V11" s="1">
        <v>4503.09</v>
      </c>
      <c r="W11" s="1">
        <f>IF(Table1[[#This Row],[Claim_Amount]]&lt;0,0,Table1[[#This Row],[Claim_Amount]])</f>
        <v>4503.09</v>
      </c>
      <c r="X11" s="1">
        <f>IF(Table1[[#This Row],[Column1]]=0,"",Table1[[#This Row],[Column1]])</f>
        <v>4503.09</v>
      </c>
      <c r="Y11" s="1">
        <v>4503.09</v>
      </c>
      <c r="Z11" s="1">
        <v>4503.09</v>
      </c>
      <c r="AA11" s="1">
        <v>1277.1300000000001</v>
      </c>
      <c r="AB11" s="1" t="s">
        <v>42</v>
      </c>
      <c r="AC11" s="1" t="s">
        <v>26</v>
      </c>
      <c r="AD11">
        <v>9</v>
      </c>
      <c r="AE11" s="3" t="s">
        <v>65</v>
      </c>
    </row>
    <row r="12" spans="1:31" ht="14.5" x14ac:dyDescent="0.35">
      <c r="A12" s="1" t="s">
        <v>66</v>
      </c>
      <c r="B12" s="1" t="s">
        <v>67</v>
      </c>
      <c r="C12" s="1" t="s">
        <v>68</v>
      </c>
      <c r="D12" s="1" t="s">
        <v>69</v>
      </c>
      <c r="E12" s="5">
        <v>44961</v>
      </c>
      <c r="F12" s="4" t="str">
        <f>IF(ISNUMBER(Table13[[#This Row],[Claim_Date2]]),"",Table13[[#This Row],[Claim_Date2]])</f>
        <v/>
      </c>
      <c r="G12" s="4" t="s">
        <v>1098</v>
      </c>
      <c r="H12" s="4" t="str">
        <f>LEFT(Table13[[#This Row],[Values Col 1]],3)</f>
        <v/>
      </c>
      <c r="I12" s="4" t="s">
        <v>1098</v>
      </c>
      <c r="J12" s="4" t="str">
        <f>MID(Table13[[#This Row],[Function Col]],5,2)</f>
        <v/>
      </c>
      <c r="K12" s="4" t="s">
        <v>1098</v>
      </c>
      <c r="L12" s="4" t="str">
        <f>RIGHT(Table13[[#This Row],[Function Col]],4)</f>
        <v/>
      </c>
      <c r="M12" s="4" t="s">
        <v>1098</v>
      </c>
      <c r="N12" s="4" t="str">
        <f>IF(Table13[[#This Row],[Function Col5]]="","",_xlfn.CONCAT(Table13[[#This Row],[Day Col]],"/",Table13[[#This Row],[Month Col]],"/",Table13[[#This Row],[Year Col]]))</f>
        <v/>
      </c>
      <c r="O12" s="4" t="s">
        <v>1098</v>
      </c>
      <c r="P12" s="4">
        <f>IF(ISNUMBER(Table13[[#This Row],[Claim_Date2]]),Table13[[#This Row],[Claim_Date2]],Table13[[#This Row],[Function Col32]])</f>
        <v>44961</v>
      </c>
      <c r="Q12" s="4">
        <v>44961</v>
      </c>
      <c r="R12" s="1" t="s">
        <v>16</v>
      </c>
      <c r="S12" s="1" t="s">
        <v>47</v>
      </c>
      <c r="T12" s="1" t="s">
        <v>24</v>
      </c>
      <c r="U12" s="1"/>
      <c r="W12">
        <f>IF(Table1[[#This Row],[Claim_Amount]]&lt;0,0,Table1[[#This Row],[Claim_Amount]])</f>
        <v>0</v>
      </c>
      <c r="X12" t="str">
        <f>IF(Table1[[#This Row],[Column1]]=0,"",Table1[[#This Row],[Column1]])</f>
        <v/>
      </c>
      <c r="Y12" t="s">
        <v>1098</v>
      </c>
      <c r="Z12">
        <v>2481</v>
      </c>
      <c r="AA12">
        <v>832</v>
      </c>
      <c r="AB12" s="1" t="s">
        <v>1091</v>
      </c>
      <c r="AC12" s="1" t="s">
        <v>57</v>
      </c>
      <c r="AD12" s="1">
        <v>30</v>
      </c>
      <c r="AE12" s="3" t="s">
        <v>37</v>
      </c>
    </row>
    <row r="13" spans="1:31" ht="14.5" x14ac:dyDescent="0.35">
      <c r="A13" s="1" t="s">
        <v>70</v>
      </c>
      <c r="B13" s="1" t="s">
        <v>71</v>
      </c>
      <c r="C13" t="s">
        <v>1084</v>
      </c>
      <c r="D13" s="1" t="s">
        <v>72</v>
      </c>
      <c r="E13" s="5">
        <v>45143</v>
      </c>
      <c r="F13" s="4" t="str">
        <f>IF(ISNUMBER(Table13[[#This Row],[Claim_Date2]]),"",Table13[[#This Row],[Claim_Date2]])</f>
        <v/>
      </c>
      <c r="G13" s="4" t="s">
        <v>1098</v>
      </c>
      <c r="H13" s="4" t="str">
        <f>LEFT(Table13[[#This Row],[Values Col 1]],3)</f>
        <v/>
      </c>
      <c r="I13" s="4" t="s">
        <v>1098</v>
      </c>
      <c r="J13" s="4" t="str">
        <f>MID(Table13[[#This Row],[Function Col]],5,2)</f>
        <v/>
      </c>
      <c r="K13" s="4" t="s">
        <v>1098</v>
      </c>
      <c r="L13" s="4" t="str">
        <f>RIGHT(Table13[[#This Row],[Function Col]],4)</f>
        <v/>
      </c>
      <c r="M13" s="4" t="s">
        <v>1098</v>
      </c>
      <c r="N13" s="4" t="str">
        <f>IF(Table13[[#This Row],[Function Col5]]="","",_xlfn.CONCAT(Table13[[#This Row],[Day Col]],"/",Table13[[#This Row],[Month Col]],"/",Table13[[#This Row],[Year Col]]))</f>
        <v/>
      </c>
      <c r="O13" s="4" t="s">
        <v>1098</v>
      </c>
      <c r="P13" s="4">
        <f>IF(ISNUMBER(Table13[[#This Row],[Claim_Date2]]),Table13[[#This Row],[Claim_Date2]],Table13[[#This Row],[Function Col32]])</f>
        <v>45143</v>
      </c>
      <c r="Q13" s="4">
        <v>45143</v>
      </c>
      <c r="R13" s="1" t="s">
        <v>85</v>
      </c>
      <c r="S13" t="s">
        <v>1085</v>
      </c>
      <c r="T13" s="1" t="s">
        <v>61</v>
      </c>
      <c r="U13" s="1"/>
      <c r="V13" s="1">
        <v>3383.15</v>
      </c>
      <c r="W13" s="1">
        <f>IF(Table1[[#This Row],[Claim_Amount]]&lt;0,0,Table1[[#This Row],[Claim_Amount]])</f>
        <v>3383.15</v>
      </c>
      <c r="X13" s="1">
        <f>IF(Table1[[#This Row],[Column1]]=0,"",Table1[[#This Row],[Column1]])</f>
        <v>3383.15</v>
      </c>
      <c r="Y13" s="1">
        <v>3383.15</v>
      </c>
      <c r="Z13" s="1">
        <v>3383.15</v>
      </c>
      <c r="AA13">
        <v>832</v>
      </c>
      <c r="AB13" s="1" t="s">
        <v>42</v>
      </c>
      <c r="AC13" s="1" t="s">
        <v>26</v>
      </c>
      <c r="AD13" s="1">
        <v>15</v>
      </c>
      <c r="AE13" s="3" t="s">
        <v>65</v>
      </c>
    </row>
    <row r="14" spans="1:31" ht="14.5" x14ac:dyDescent="0.35">
      <c r="A14" s="1" t="s">
        <v>73</v>
      </c>
      <c r="B14" s="1" t="s">
        <v>74</v>
      </c>
      <c r="C14" s="1" t="s">
        <v>75</v>
      </c>
      <c r="D14" s="1" t="s">
        <v>76</v>
      </c>
      <c r="E14" s="5">
        <v>45069</v>
      </c>
      <c r="F14" s="4" t="str">
        <f>IF(ISNUMBER(Table13[[#This Row],[Claim_Date2]]),"",Table13[[#This Row],[Claim_Date2]])</f>
        <v/>
      </c>
      <c r="G14" s="4" t="s">
        <v>1098</v>
      </c>
      <c r="H14" s="4" t="str">
        <f>LEFT(Table13[[#This Row],[Values Col 1]],3)</f>
        <v/>
      </c>
      <c r="I14" s="4" t="s">
        <v>1098</v>
      </c>
      <c r="J14" s="4" t="str">
        <f>MID(Table13[[#This Row],[Function Col]],5,2)</f>
        <v/>
      </c>
      <c r="K14" s="4" t="s">
        <v>1098</v>
      </c>
      <c r="L14" s="4" t="str">
        <f>RIGHT(Table13[[#This Row],[Function Col]],4)</f>
        <v/>
      </c>
      <c r="M14" s="4" t="s">
        <v>1098</v>
      </c>
      <c r="N14" s="4" t="str">
        <f>IF(Table13[[#This Row],[Function Col5]]="","",_xlfn.CONCAT(Table13[[#This Row],[Day Col]],"/",Table13[[#This Row],[Month Col]],"/",Table13[[#This Row],[Year Col]]))</f>
        <v/>
      </c>
      <c r="O14" s="4" t="s">
        <v>1098</v>
      </c>
      <c r="P14" s="4">
        <f>IF(ISNUMBER(Table13[[#This Row],[Claim_Date2]]),Table13[[#This Row],[Claim_Date2]],Table13[[#This Row],[Function Col32]])</f>
        <v>45069</v>
      </c>
      <c r="Q14" s="4">
        <v>45069</v>
      </c>
      <c r="R14" s="1" t="s">
        <v>77</v>
      </c>
      <c r="S14" s="1" t="s">
        <v>47</v>
      </c>
      <c r="T14" s="1" t="s">
        <v>61</v>
      </c>
      <c r="U14" s="1"/>
      <c r="V14" s="1">
        <v>300.41000000000003</v>
      </c>
      <c r="W14" s="1">
        <f>IF(Table1[[#This Row],[Claim_Amount]]&lt;0,0,Table1[[#This Row],[Claim_Amount]])</f>
        <v>300.41000000000003</v>
      </c>
      <c r="X14" s="1">
        <f>IF(Table1[[#This Row],[Column1]]=0,"",Table1[[#This Row],[Column1]])</f>
        <v>300.41000000000003</v>
      </c>
      <c r="Y14" s="1">
        <v>300.41000000000003</v>
      </c>
      <c r="Z14" s="1">
        <v>300.41000000000003</v>
      </c>
      <c r="AA14" s="1">
        <v>4846.53</v>
      </c>
      <c r="AB14" s="1" t="s">
        <v>17</v>
      </c>
      <c r="AC14" s="1" t="s">
        <v>1093</v>
      </c>
      <c r="AD14">
        <v>9</v>
      </c>
      <c r="AE14" s="3" t="s">
        <v>65</v>
      </c>
    </row>
    <row r="15" spans="1:31" ht="14.5" x14ac:dyDescent="0.35">
      <c r="A15" s="1" t="s">
        <v>78</v>
      </c>
      <c r="B15" s="1" t="s">
        <v>79</v>
      </c>
      <c r="C15" s="1" t="s">
        <v>80</v>
      </c>
      <c r="D15" s="1" t="s">
        <v>81</v>
      </c>
      <c r="E15" s="5">
        <v>45062</v>
      </c>
      <c r="F15" s="4" t="str">
        <f>IF(ISNUMBER(Table13[[#This Row],[Claim_Date2]]),"",Table13[[#This Row],[Claim_Date2]])</f>
        <v/>
      </c>
      <c r="G15" s="4" t="s">
        <v>1098</v>
      </c>
      <c r="H15" s="4" t="str">
        <f>LEFT(Table13[[#This Row],[Values Col 1]],3)</f>
        <v/>
      </c>
      <c r="I15" s="4" t="s">
        <v>1098</v>
      </c>
      <c r="J15" s="4" t="str">
        <f>MID(Table13[[#This Row],[Function Col]],5,2)</f>
        <v/>
      </c>
      <c r="K15" s="4" t="s">
        <v>1098</v>
      </c>
      <c r="L15" s="4" t="str">
        <f>RIGHT(Table13[[#This Row],[Function Col]],4)</f>
        <v/>
      </c>
      <c r="M15" s="4" t="s">
        <v>1098</v>
      </c>
      <c r="N15" s="4" t="str">
        <f>IF(Table13[[#This Row],[Function Col5]]="","",_xlfn.CONCAT(Table13[[#This Row],[Day Col]],"/",Table13[[#This Row],[Month Col]],"/",Table13[[#This Row],[Year Col]]))</f>
        <v/>
      </c>
      <c r="O15" s="4" t="s">
        <v>1098</v>
      </c>
      <c r="P15" s="4">
        <f>IF(ISNUMBER(Table13[[#This Row],[Claim_Date2]]),Table13[[#This Row],[Claim_Date2]],Table13[[#This Row],[Function Col32]])</f>
        <v>45062</v>
      </c>
      <c r="Q15" s="4">
        <v>45062</v>
      </c>
      <c r="R15" s="1" t="s">
        <v>77</v>
      </c>
      <c r="S15" t="s">
        <v>1085</v>
      </c>
      <c r="T15" t="s">
        <v>1086</v>
      </c>
      <c r="V15" s="1">
        <v>-152</v>
      </c>
      <c r="W15" s="1">
        <f>IF(Table1[[#This Row],[Claim_Amount]]&lt;0,0,Table1[[#This Row],[Claim_Amount]])</f>
        <v>0</v>
      </c>
      <c r="X15" s="1" t="str">
        <f>IF(Table1[[#This Row],[Column1]]=0,"",Table1[[#This Row],[Column1]])</f>
        <v/>
      </c>
      <c r="Y15" s="1" t="s">
        <v>1098</v>
      </c>
      <c r="Z15" s="1">
        <v>2481</v>
      </c>
      <c r="AA15">
        <v>832</v>
      </c>
      <c r="AB15" s="1" t="s">
        <v>17</v>
      </c>
      <c r="AC15" s="1" t="s">
        <v>26</v>
      </c>
      <c r="AD15">
        <v>9</v>
      </c>
      <c r="AE15" s="3" t="s">
        <v>1097</v>
      </c>
    </row>
    <row r="16" spans="1:31" ht="14.5" x14ac:dyDescent="0.35">
      <c r="A16" s="1" t="s">
        <v>82</v>
      </c>
      <c r="B16" t="s">
        <v>1083</v>
      </c>
      <c r="C16" s="1" t="s">
        <v>83</v>
      </c>
      <c r="D16" s="1" t="s">
        <v>84</v>
      </c>
      <c r="E16" s="5" t="s">
        <v>84</v>
      </c>
      <c r="F16" s="4" t="str">
        <f>IF(ISNUMBER(Table13[[#This Row],[Claim_Date2]]),"",Table13[[#This Row],[Claim_Date2]])</f>
        <v>Sep 15 2023</v>
      </c>
      <c r="G16" s="4" t="s">
        <v>84</v>
      </c>
      <c r="H16" s="4" t="str">
        <f>LEFT(Table13[[#This Row],[Values Col 1]],3)</f>
        <v>Sep</v>
      </c>
      <c r="I16" s="4" t="s">
        <v>1102</v>
      </c>
      <c r="J16" s="4" t="str">
        <f>MID(Table13[[#This Row],[Function Col]],5,2)</f>
        <v>15</v>
      </c>
      <c r="K16" s="4" t="s">
        <v>1116</v>
      </c>
      <c r="L16" s="4" t="str">
        <f>RIGHT(Table13[[#This Row],[Function Col]],4)</f>
        <v>2023</v>
      </c>
      <c r="M16" s="4" t="s">
        <v>1146</v>
      </c>
      <c r="N16" s="4" t="str">
        <f>IF(Table13[[#This Row],[Function Col5]]="","",_xlfn.CONCAT(Table13[[#This Row],[Day Col]],"/",Table13[[#This Row],[Month Col]],"/",Table13[[#This Row],[Year Col]]))</f>
        <v>15/Sep/2023</v>
      </c>
      <c r="O16" s="4" t="s">
        <v>1155</v>
      </c>
      <c r="P16" s="4" t="str">
        <f>IF(ISNUMBER(Table13[[#This Row],[Claim_Date2]]),Table13[[#This Row],[Claim_Date2]],Table13[[#This Row],[Function Col32]])</f>
        <v>15/Sep/2023</v>
      </c>
      <c r="Q16" s="4">
        <v>45184</v>
      </c>
      <c r="R16" s="1" t="s">
        <v>85</v>
      </c>
      <c r="S16" s="1" t="s">
        <v>23</v>
      </c>
      <c r="T16" s="1" t="s">
        <v>54</v>
      </c>
      <c r="U16" s="1"/>
      <c r="V16" s="1">
        <v>446.55</v>
      </c>
      <c r="W16" s="1">
        <f>IF(Table1[[#This Row],[Claim_Amount]]&lt;0,0,Table1[[#This Row],[Claim_Amount]])</f>
        <v>446.55</v>
      </c>
      <c r="X16" s="1">
        <f>IF(Table1[[#This Row],[Column1]]=0,"",Table1[[#This Row],[Column1]])</f>
        <v>446.55</v>
      </c>
      <c r="Y16" s="1">
        <v>446.55</v>
      </c>
      <c r="Z16" s="1">
        <v>446.55</v>
      </c>
      <c r="AA16">
        <v>832</v>
      </c>
      <c r="AB16" s="1" t="s">
        <v>17</v>
      </c>
      <c r="AC16" s="1" t="s">
        <v>1093</v>
      </c>
      <c r="AD16">
        <v>9</v>
      </c>
      <c r="AE16" s="3" t="s">
        <v>65</v>
      </c>
    </row>
    <row r="17" spans="1:31" ht="14.5" x14ac:dyDescent="0.35">
      <c r="A17" s="1" t="s">
        <v>66</v>
      </c>
      <c r="B17" s="1" t="s">
        <v>86</v>
      </c>
      <c r="C17" s="1" t="s">
        <v>87</v>
      </c>
      <c r="D17" s="1" t="s">
        <v>88</v>
      </c>
      <c r="E17" s="5" t="s">
        <v>88</v>
      </c>
      <c r="F17" s="4" t="str">
        <f>IF(ISNUMBER(Table13[[#This Row],[Claim_Date2]]),"",Table13[[#This Row],[Claim_Date2]])</f>
        <v>Oct 26 2023</v>
      </c>
      <c r="G17" s="4" t="s">
        <v>88</v>
      </c>
      <c r="H17" s="4" t="str">
        <f>LEFT(Table13[[#This Row],[Values Col 1]],3)</f>
        <v>Oct</v>
      </c>
      <c r="I17" s="4" t="s">
        <v>1103</v>
      </c>
      <c r="J17" s="4" t="str">
        <f>MID(Table13[[#This Row],[Function Col]],5,2)</f>
        <v>26</v>
      </c>
      <c r="K17" s="4" t="s">
        <v>1117</v>
      </c>
      <c r="L17" s="4" t="str">
        <f>RIGHT(Table13[[#This Row],[Function Col]],4)</f>
        <v>2023</v>
      </c>
      <c r="M17" s="4" t="s">
        <v>1146</v>
      </c>
      <c r="N17" s="4" t="str">
        <f>IF(Table13[[#This Row],[Function Col5]]="","",_xlfn.CONCAT(Table13[[#This Row],[Day Col]],"/",Table13[[#This Row],[Month Col]],"/",Table13[[#This Row],[Year Col]]))</f>
        <v>26/Oct/2023</v>
      </c>
      <c r="O17" s="4" t="s">
        <v>1156</v>
      </c>
      <c r="P17" s="4" t="str">
        <f>IF(ISNUMBER(Table13[[#This Row],[Claim_Date2]]),Table13[[#This Row],[Claim_Date2]],Table13[[#This Row],[Function Col32]])</f>
        <v>26/Oct/2023</v>
      </c>
      <c r="Q17" s="4">
        <v>45225</v>
      </c>
      <c r="R17" s="1" t="s">
        <v>30</v>
      </c>
      <c r="S17" s="1" t="s">
        <v>31</v>
      </c>
      <c r="T17" s="1" t="s">
        <v>41</v>
      </c>
      <c r="U17" s="1"/>
      <c r="W17">
        <f>IF(Table1[[#This Row],[Claim_Amount]]&lt;0,0,Table1[[#This Row],[Claim_Amount]])</f>
        <v>0</v>
      </c>
      <c r="X17" t="str">
        <f>IF(Table1[[#This Row],[Column1]]=0,"",Table1[[#This Row],[Column1]])</f>
        <v/>
      </c>
      <c r="Y17" t="s">
        <v>1098</v>
      </c>
      <c r="Z17">
        <v>2481</v>
      </c>
      <c r="AA17">
        <v>832</v>
      </c>
      <c r="AB17" s="1" t="s">
        <v>17</v>
      </c>
      <c r="AC17" s="1" t="s">
        <v>32</v>
      </c>
      <c r="AD17">
        <v>9</v>
      </c>
      <c r="AE17" s="3" t="s">
        <v>19</v>
      </c>
    </row>
    <row r="18" spans="1:31" ht="14.5" x14ac:dyDescent="0.35">
      <c r="A18" s="1" t="s">
        <v>89</v>
      </c>
      <c r="B18" t="s">
        <v>1083</v>
      </c>
      <c r="C18" s="1" t="s">
        <v>90</v>
      </c>
      <c r="D18" s="1" t="s">
        <v>91</v>
      </c>
      <c r="E18" s="5" t="s">
        <v>91</v>
      </c>
      <c r="F18" s="4" t="str">
        <f>IF(ISNUMBER(Table13[[#This Row],[Claim_Date2]]),"",Table13[[#This Row],[Claim_Date2]])</f>
        <v>Apr 20 2023</v>
      </c>
      <c r="G18" s="4" t="s">
        <v>91</v>
      </c>
      <c r="H18" s="4" t="str">
        <f>LEFT(Table13[[#This Row],[Values Col 1]],3)</f>
        <v>Apr</v>
      </c>
      <c r="I18" s="4" t="s">
        <v>1104</v>
      </c>
      <c r="J18" s="4" t="str">
        <f>MID(Table13[[#This Row],[Function Col]],5,2)</f>
        <v>20</v>
      </c>
      <c r="K18" s="4" t="s">
        <v>1118</v>
      </c>
      <c r="L18" s="4" t="str">
        <f>RIGHT(Table13[[#This Row],[Function Col]],4)</f>
        <v>2023</v>
      </c>
      <c r="M18" s="4" t="s">
        <v>1146</v>
      </c>
      <c r="N18" s="4" t="str">
        <f>IF(Table13[[#This Row],[Function Col5]]="","",_xlfn.CONCAT(Table13[[#This Row],[Day Col]],"/",Table13[[#This Row],[Month Col]],"/",Table13[[#This Row],[Year Col]]))</f>
        <v>20/Apr/2023</v>
      </c>
      <c r="O18" s="4" t="s">
        <v>1157</v>
      </c>
      <c r="P18" s="4" t="str">
        <f>IF(ISNUMBER(Table13[[#This Row],[Claim_Date2]]),Table13[[#This Row],[Claim_Date2]],Table13[[#This Row],[Function Col32]])</f>
        <v>20/Apr/2023</v>
      </c>
      <c r="Q18" s="4">
        <v>45036</v>
      </c>
      <c r="R18" s="1" t="s">
        <v>92</v>
      </c>
      <c r="S18" s="1" t="s">
        <v>93</v>
      </c>
      <c r="T18" s="1" t="s">
        <v>41</v>
      </c>
      <c r="U18" s="1"/>
      <c r="W18">
        <f>IF(Table1[[#This Row],[Claim_Amount]]&lt;0,0,Table1[[#This Row],[Claim_Amount]])</f>
        <v>0</v>
      </c>
      <c r="X18" t="str">
        <f>IF(Table1[[#This Row],[Column1]]=0,"",Table1[[#This Row],[Column1]])</f>
        <v/>
      </c>
      <c r="Y18" t="s">
        <v>1098</v>
      </c>
      <c r="Z18">
        <v>2481</v>
      </c>
      <c r="AA18">
        <v>832</v>
      </c>
      <c r="AB18" s="1" t="s">
        <v>1091</v>
      </c>
      <c r="AC18" s="1" t="s">
        <v>32</v>
      </c>
      <c r="AD18">
        <v>9</v>
      </c>
      <c r="AE18" s="3" t="s">
        <v>1097</v>
      </c>
    </row>
    <row r="19" spans="1:31" ht="14.5" x14ac:dyDescent="0.35">
      <c r="A19" s="1" t="s">
        <v>89</v>
      </c>
      <c r="B19" t="s">
        <v>1083</v>
      </c>
      <c r="C19" s="1" t="s">
        <v>94</v>
      </c>
      <c r="D19" s="1" t="s">
        <v>95</v>
      </c>
      <c r="E19" s="5">
        <v>44995</v>
      </c>
      <c r="F19" s="4" t="str">
        <f>IF(ISNUMBER(Table13[[#This Row],[Claim_Date2]]),"",Table13[[#This Row],[Claim_Date2]])</f>
        <v/>
      </c>
      <c r="G19" s="4" t="s">
        <v>1098</v>
      </c>
      <c r="H19" s="4" t="str">
        <f>LEFT(Table13[[#This Row],[Values Col 1]],3)</f>
        <v/>
      </c>
      <c r="I19" s="4" t="s">
        <v>1098</v>
      </c>
      <c r="J19" s="4" t="str">
        <f>MID(Table13[[#This Row],[Function Col]],5,2)</f>
        <v/>
      </c>
      <c r="K19" s="4" t="s">
        <v>1098</v>
      </c>
      <c r="L19" s="4" t="str">
        <f>RIGHT(Table13[[#This Row],[Function Col]],4)</f>
        <v/>
      </c>
      <c r="M19" s="4" t="s">
        <v>1098</v>
      </c>
      <c r="N19" s="4" t="str">
        <f>IF(Table13[[#This Row],[Function Col5]]="","",_xlfn.CONCAT(Table13[[#This Row],[Day Col]],"/",Table13[[#This Row],[Month Col]],"/",Table13[[#This Row],[Year Col]]))</f>
        <v/>
      </c>
      <c r="O19" s="4" t="s">
        <v>1098</v>
      </c>
      <c r="P19" s="4">
        <f>IF(ISNUMBER(Table13[[#This Row],[Claim_Date2]]),Table13[[#This Row],[Claim_Date2]],Table13[[#This Row],[Function Col32]])</f>
        <v>44995</v>
      </c>
      <c r="Q19" s="4">
        <v>44995</v>
      </c>
      <c r="R19" s="1" t="s">
        <v>16</v>
      </c>
      <c r="S19" s="1" t="s">
        <v>47</v>
      </c>
      <c r="T19" s="1" t="s">
        <v>24</v>
      </c>
      <c r="U19" s="1"/>
      <c r="W19">
        <f>IF(Table1[[#This Row],[Claim_Amount]]&lt;0,0,Table1[[#This Row],[Claim_Amount]])</f>
        <v>0</v>
      </c>
      <c r="X19" t="str">
        <f>IF(Table1[[#This Row],[Column1]]=0,"",Table1[[#This Row],[Column1]])</f>
        <v/>
      </c>
      <c r="Y19" t="s">
        <v>1098</v>
      </c>
      <c r="Z19">
        <v>2481</v>
      </c>
      <c r="AA19" s="1">
        <v>3602.18</v>
      </c>
      <c r="AB19" s="1" t="s">
        <v>42</v>
      </c>
      <c r="AC19" s="1" t="s">
        <v>57</v>
      </c>
      <c r="AD19">
        <v>9</v>
      </c>
      <c r="AE19" s="3" t="s">
        <v>19</v>
      </c>
    </row>
    <row r="20" spans="1:31" ht="14.5" x14ac:dyDescent="0.35">
      <c r="A20" s="1" t="s">
        <v>96</v>
      </c>
      <c r="B20" t="s">
        <v>1083</v>
      </c>
      <c r="C20" s="1" t="s">
        <v>97</v>
      </c>
      <c r="D20" s="1" t="s">
        <v>98</v>
      </c>
      <c r="E20" s="5" t="s">
        <v>98</v>
      </c>
      <c r="F20" s="4" t="str">
        <f>IF(ISNUMBER(Table13[[#This Row],[Claim_Date2]]),"",Table13[[#This Row],[Claim_Date2]])</f>
        <v>Mar 08 2023</v>
      </c>
      <c r="G20" s="4" t="s">
        <v>98</v>
      </c>
      <c r="H20" s="4" t="str">
        <f>LEFT(Table13[[#This Row],[Values Col 1]],3)</f>
        <v>Mar</v>
      </c>
      <c r="I20" s="4" t="s">
        <v>1100</v>
      </c>
      <c r="J20" s="4" t="str">
        <f>MID(Table13[[#This Row],[Function Col]],5,2)</f>
        <v>08</v>
      </c>
      <c r="K20" s="4" t="s">
        <v>1119</v>
      </c>
      <c r="L20" s="4" t="str">
        <f>RIGHT(Table13[[#This Row],[Function Col]],4)</f>
        <v>2023</v>
      </c>
      <c r="M20" s="4" t="s">
        <v>1146</v>
      </c>
      <c r="N20" s="4" t="str">
        <f>IF(Table13[[#This Row],[Function Col5]]="","",_xlfn.CONCAT(Table13[[#This Row],[Day Col]],"/",Table13[[#This Row],[Month Col]],"/",Table13[[#This Row],[Year Col]]))</f>
        <v>08/Mar/2023</v>
      </c>
      <c r="O20" s="4" t="s">
        <v>1158</v>
      </c>
      <c r="P20" s="4" t="str">
        <f>IF(ISNUMBER(Table13[[#This Row],[Claim_Date2]]),Table13[[#This Row],[Claim_Date2]],Table13[[#This Row],[Function Col32]])</f>
        <v>08/Mar/2023</v>
      </c>
      <c r="Q20" s="4">
        <v>44993</v>
      </c>
      <c r="R20" s="1" t="s">
        <v>92</v>
      </c>
      <c r="S20" s="1" t="s">
        <v>93</v>
      </c>
      <c r="T20" t="s">
        <v>1086</v>
      </c>
      <c r="V20" s="1">
        <v>-190</v>
      </c>
      <c r="W20" s="1">
        <f>IF(Table1[[#This Row],[Claim_Amount]]&lt;0,0,Table1[[#This Row],[Claim_Amount]])</f>
        <v>0</v>
      </c>
      <c r="X20" s="1" t="str">
        <f>IF(Table1[[#This Row],[Column1]]=0,"",Table1[[#This Row],[Column1]])</f>
        <v/>
      </c>
      <c r="Y20" s="1" t="s">
        <v>1098</v>
      </c>
      <c r="Z20" s="1">
        <v>2481</v>
      </c>
      <c r="AA20" s="1">
        <v>2826.49</v>
      </c>
      <c r="AB20" s="1" t="s">
        <v>25</v>
      </c>
      <c r="AC20" s="1" t="s">
        <v>18</v>
      </c>
      <c r="AD20" s="1">
        <v>34</v>
      </c>
      <c r="AE20" s="3" t="s">
        <v>27</v>
      </c>
    </row>
    <row r="21" spans="1:31" ht="15.75" customHeight="1" x14ac:dyDescent="0.35">
      <c r="A21" s="1" t="s">
        <v>66</v>
      </c>
      <c r="B21" s="1" t="s">
        <v>99</v>
      </c>
      <c r="C21" s="1" t="s">
        <v>100</v>
      </c>
      <c r="D21" s="1" t="s">
        <v>101</v>
      </c>
      <c r="E21" s="5">
        <v>44948</v>
      </c>
      <c r="F21" s="4" t="str">
        <f>IF(ISNUMBER(Table13[[#This Row],[Claim_Date2]]),"",Table13[[#This Row],[Claim_Date2]])</f>
        <v/>
      </c>
      <c r="G21" s="4" t="s">
        <v>1098</v>
      </c>
      <c r="H21" s="4" t="str">
        <f>LEFT(Table13[[#This Row],[Values Col 1]],3)</f>
        <v/>
      </c>
      <c r="I21" s="4" t="s">
        <v>1098</v>
      </c>
      <c r="J21" s="4" t="str">
        <f>MID(Table13[[#This Row],[Function Col]],5,2)</f>
        <v/>
      </c>
      <c r="K21" s="4" t="s">
        <v>1098</v>
      </c>
      <c r="L21" s="4" t="str">
        <f>RIGHT(Table13[[#This Row],[Function Col]],4)</f>
        <v/>
      </c>
      <c r="M21" s="4" t="s">
        <v>1098</v>
      </c>
      <c r="N21" s="4" t="str">
        <f>IF(Table13[[#This Row],[Function Col5]]="","",_xlfn.CONCAT(Table13[[#This Row],[Day Col]],"/",Table13[[#This Row],[Month Col]],"/",Table13[[#This Row],[Year Col]]))</f>
        <v/>
      </c>
      <c r="O21" s="4" t="s">
        <v>1098</v>
      </c>
      <c r="P21" s="4">
        <f>IF(ISNUMBER(Table13[[#This Row],[Claim_Date2]]),Table13[[#This Row],[Claim_Date2]],Table13[[#This Row],[Function Col32]])</f>
        <v>44948</v>
      </c>
      <c r="Q21" s="4">
        <v>44948</v>
      </c>
      <c r="R21" s="1" t="s">
        <v>92</v>
      </c>
      <c r="S21" s="1" t="s">
        <v>93</v>
      </c>
      <c r="T21" t="s">
        <v>1086</v>
      </c>
      <c r="W21">
        <f>IF(Table1[[#This Row],[Claim_Amount]]&lt;0,0,Table1[[#This Row],[Claim_Amount]])</f>
        <v>0</v>
      </c>
      <c r="X21" t="str">
        <f>IF(Table1[[#This Row],[Column1]]=0,"",Table1[[#This Row],[Column1]])</f>
        <v/>
      </c>
      <c r="Y21" t="s">
        <v>1098</v>
      </c>
      <c r="Z21">
        <v>2481</v>
      </c>
      <c r="AA21">
        <v>832</v>
      </c>
      <c r="AB21" s="1" t="s">
        <v>1091</v>
      </c>
      <c r="AC21" s="1" t="s">
        <v>18</v>
      </c>
      <c r="AD21" s="1">
        <v>59</v>
      </c>
      <c r="AE21" s="3" t="s">
        <v>65</v>
      </c>
    </row>
    <row r="22" spans="1:31" ht="15.75" customHeight="1" x14ac:dyDescent="0.35">
      <c r="A22" s="1" t="s">
        <v>102</v>
      </c>
      <c r="B22" s="1" t="s">
        <v>103</v>
      </c>
      <c r="C22" t="s">
        <v>1084</v>
      </c>
      <c r="D22" s="1" t="s">
        <v>104</v>
      </c>
      <c r="E22" s="5">
        <v>45269</v>
      </c>
      <c r="F22" s="4" t="str">
        <f>IF(ISNUMBER(Table13[[#This Row],[Claim_Date2]]),"",Table13[[#This Row],[Claim_Date2]])</f>
        <v/>
      </c>
      <c r="G22" s="4" t="s">
        <v>1098</v>
      </c>
      <c r="H22" s="4" t="str">
        <f>LEFT(Table13[[#This Row],[Values Col 1]],3)</f>
        <v/>
      </c>
      <c r="I22" s="4" t="s">
        <v>1098</v>
      </c>
      <c r="J22" s="4" t="str">
        <f>MID(Table13[[#This Row],[Function Col]],5,2)</f>
        <v/>
      </c>
      <c r="K22" s="4" t="s">
        <v>1098</v>
      </c>
      <c r="L22" s="4" t="str">
        <f>RIGHT(Table13[[#This Row],[Function Col]],4)</f>
        <v/>
      </c>
      <c r="M22" s="4" t="s">
        <v>1098</v>
      </c>
      <c r="N22" s="4" t="str">
        <f>IF(Table13[[#This Row],[Function Col5]]="","",_xlfn.CONCAT(Table13[[#This Row],[Day Col]],"/",Table13[[#This Row],[Month Col]],"/",Table13[[#This Row],[Year Col]]))</f>
        <v/>
      </c>
      <c r="O22" s="4" t="s">
        <v>1098</v>
      </c>
      <c r="P22" s="4">
        <f>IF(ISNUMBER(Table13[[#This Row],[Claim_Date2]]),Table13[[#This Row],[Claim_Date2]],Table13[[#This Row],[Function Col32]])</f>
        <v>45269</v>
      </c>
      <c r="Q22" s="4">
        <v>45269</v>
      </c>
      <c r="R22" s="1" t="s">
        <v>85</v>
      </c>
      <c r="S22" t="s">
        <v>1085</v>
      </c>
      <c r="T22" s="1" t="s">
        <v>61</v>
      </c>
      <c r="U22" s="1"/>
      <c r="V22" s="1">
        <v>-19</v>
      </c>
      <c r="W22" s="1">
        <f>IF(Table1[[#This Row],[Claim_Amount]]&lt;0,0,Table1[[#This Row],[Claim_Amount]])</f>
        <v>0</v>
      </c>
      <c r="X22" s="1" t="str">
        <f>IF(Table1[[#This Row],[Column1]]=0,"",Table1[[#This Row],[Column1]])</f>
        <v/>
      </c>
      <c r="Y22" s="1" t="s">
        <v>1098</v>
      </c>
      <c r="Z22" s="1">
        <v>2481</v>
      </c>
      <c r="AA22">
        <v>832</v>
      </c>
      <c r="AB22" s="1" t="s">
        <v>42</v>
      </c>
      <c r="AC22" s="1" t="s">
        <v>32</v>
      </c>
      <c r="AD22" s="1">
        <v>52</v>
      </c>
      <c r="AE22" s="3" t="s">
        <v>65</v>
      </c>
    </row>
    <row r="23" spans="1:31" ht="15.75" customHeight="1" x14ac:dyDescent="0.35">
      <c r="A23" s="1" t="s">
        <v>105</v>
      </c>
      <c r="B23" s="1" t="s">
        <v>106</v>
      </c>
      <c r="C23" t="s">
        <v>1084</v>
      </c>
      <c r="D23" s="1" t="s">
        <v>107</v>
      </c>
      <c r="E23" s="5">
        <v>44962</v>
      </c>
      <c r="F23" s="4" t="str">
        <f>IF(ISNUMBER(Table13[[#This Row],[Claim_Date2]]),"",Table13[[#This Row],[Claim_Date2]])</f>
        <v/>
      </c>
      <c r="G23" s="4" t="s">
        <v>1098</v>
      </c>
      <c r="H23" s="4" t="str">
        <f>LEFT(Table13[[#This Row],[Values Col 1]],3)</f>
        <v/>
      </c>
      <c r="I23" s="4" t="s">
        <v>1098</v>
      </c>
      <c r="J23" s="4" t="str">
        <f>MID(Table13[[#This Row],[Function Col]],5,2)</f>
        <v/>
      </c>
      <c r="K23" s="4" t="s">
        <v>1098</v>
      </c>
      <c r="L23" s="4" t="str">
        <f>RIGHT(Table13[[#This Row],[Function Col]],4)</f>
        <v/>
      </c>
      <c r="M23" s="4" t="s">
        <v>1098</v>
      </c>
      <c r="N23" s="4" t="str">
        <f>IF(Table13[[#This Row],[Function Col5]]="","",_xlfn.CONCAT(Table13[[#This Row],[Day Col]],"/",Table13[[#This Row],[Month Col]],"/",Table13[[#This Row],[Year Col]]))</f>
        <v/>
      </c>
      <c r="O23" s="4" t="s">
        <v>1098</v>
      </c>
      <c r="P23" s="4">
        <f>IF(ISNUMBER(Table13[[#This Row],[Claim_Date2]]),Table13[[#This Row],[Claim_Date2]],Table13[[#This Row],[Function Col32]])</f>
        <v>44962</v>
      </c>
      <c r="Q23" s="4">
        <v>44962</v>
      </c>
      <c r="R23" s="1" t="s">
        <v>16</v>
      </c>
      <c r="S23" s="1" t="s">
        <v>47</v>
      </c>
      <c r="T23" s="1" t="s">
        <v>48</v>
      </c>
      <c r="U23" s="1"/>
      <c r="W23">
        <f>IF(Table1[[#This Row],[Claim_Amount]]&lt;0,0,Table1[[#This Row],[Claim_Amount]])</f>
        <v>0</v>
      </c>
      <c r="X23" t="str">
        <f>IF(Table1[[#This Row],[Column1]]=0,"",Table1[[#This Row],[Column1]])</f>
        <v/>
      </c>
      <c r="Y23" t="s">
        <v>1098</v>
      </c>
      <c r="Z23">
        <v>2481</v>
      </c>
      <c r="AA23" s="1">
        <v>4699.22</v>
      </c>
      <c r="AB23" s="1" t="s">
        <v>42</v>
      </c>
      <c r="AC23" s="1" t="s">
        <v>18</v>
      </c>
      <c r="AD23">
        <v>9</v>
      </c>
      <c r="AE23" s="3" t="s">
        <v>19</v>
      </c>
    </row>
    <row r="24" spans="1:31" ht="15.75" customHeight="1" x14ac:dyDescent="0.35">
      <c r="A24" s="1" t="s">
        <v>108</v>
      </c>
      <c r="B24" t="s">
        <v>1083</v>
      </c>
      <c r="C24" t="s">
        <v>1084</v>
      </c>
      <c r="D24" s="1" t="s">
        <v>109</v>
      </c>
      <c r="E24" s="5">
        <v>45150</v>
      </c>
      <c r="F24" s="4" t="str">
        <f>IF(ISNUMBER(Table13[[#This Row],[Claim_Date2]]),"",Table13[[#This Row],[Claim_Date2]])</f>
        <v/>
      </c>
      <c r="G24" s="4" t="s">
        <v>1098</v>
      </c>
      <c r="H24" s="4" t="str">
        <f>LEFT(Table13[[#This Row],[Values Col 1]],3)</f>
        <v/>
      </c>
      <c r="I24" s="4" t="s">
        <v>1098</v>
      </c>
      <c r="J24" s="4" t="str">
        <f>MID(Table13[[#This Row],[Function Col]],5,2)</f>
        <v/>
      </c>
      <c r="K24" s="4" t="s">
        <v>1098</v>
      </c>
      <c r="L24" s="4" t="str">
        <f>RIGHT(Table13[[#This Row],[Function Col]],4)</f>
        <v/>
      </c>
      <c r="M24" s="4" t="s">
        <v>1098</v>
      </c>
      <c r="N24" s="4" t="str">
        <f>IF(Table13[[#This Row],[Function Col5]]="","",_xlfn.CONCAT(Table13[[#This Row],[Day Col]],"/",Table13[[#This Row],[Month Col]],"/",Table13[[#This Row],[Year Col]]))</f>
        <v/>
      </c>
      <c r="O24" s="4" t="s">
        <v>1098</v>
      </c>
      <c r="P24" s="4">
        <f>IF(ISNUMBER(Table13[[#This Row],[Claim_Date2]]),Table13[[#This Row],[Claim_Date2]],Table13[[#This Row],[Function Col32]])</f>
        <v>45150</v>
      </c>
      <c r="Q24" s="4">
        <v>45150</v>
      </c>
      <c r="R24" s="1" t="s">
        <v>77</v>
      </c>
      <c r="S24" s="1" t="s">
        <v>47</v>
      </c>
      <c r="T24" s="1" t="s">
        <v>24</v>
      </c>
      <c r="U24" s="1"/>
      <c r="V24" s="1">
        <v>-191</v>
      </c>
      <c r="W24" s="1">
        <f>IF(Table1[[#This Row],[Claim_Amount]]&lt;0,0,Table1[[#This Row],[Claim_Amount]])</f>
        <v>0</v>
      </c>
      <c r="X24" s="1" t="str">
        <f>IF(Table1[[#This Row],[Column1]]=0,"",Table1[[#This Row],[Column1]])</f>
        <v/>
      </c>
      <c r="Y24" s="1" t="s">
        <v>1098</v>
      </c>
      <c r="Z24" s="1">
        <v>2481</v>
      </c>
      <c r="AA24">
        <v>832</v>
      </c>
      <c r="AB24" s="1" t="s">
        <v>17</v>
      </c>
      <c r="AC24" s="1" t="s">
        <v>32</v>
      </c>
      <c r="AD24" s="1">
        <v>27</v>
      </c>
      <c r="AE24" s="3" t="s">
        <v>27</v>
      </c>
    </row>
    <row r="25" spans="1:31" ht="15.75" customHeight="1" x14ac:dyDescent="0.35">
      <c r="A25" s="1" t="s">
        <v>110</v>
      </c>
      <c r="B25" t="s">
        <v>1083</v>
      </c>
      <c r="C25" t="s">
        <v>1084</v>
      </c>
      <c r="D25" s="1" t="s">
        <v>111</v>
      </c>
      <c r="E25" s="5">
        <v>45085</v>
      </c>
      <c r="F25" s="4" t="str">
        <f>IF(ISNUMBER(Table13[[#This Row],[Claim_Date2]]),"",Table13[[#This Row],[Claim_Date2]])</f>
        <v/>
      </c>
      <c r="G25" s="4" t="s">
        <v>1098</v>
      </c>
      <c r="H25" s="4" t="str">
        <f>LEFT(Table13[[#This Row],[Values Col 1]],3)</f>
        <v/>
      </c>
      <c r="I25" s="4" t="s">
        <v>1098</v>
      </c>
      <c r="J25" s="4" t="str">
        <f>MID(Table13[[#This Row],[Function Col]],5,2)</f>
        <v/>
      </c>
      <c r="K25" s="4" t="s">
        <v>1098</v>
      </c>
      <c r="L25" s="4" t="str">
        <f>RIGHT(Table13[[#This Row],[Function Col]],4)</f>
        <v/>
      </c>
      <c r="M25" s="4" t="s">
        <v>1098</v>
      </c>
      <c r="N25" s="4" t="str">
        <f>IF(Table13[[#This Row],[Function Col5]]="","",_xlfn.CONCAT(Table13[[#This Row],[Day Col]],"/",Table13[[#This Row],[Month Col]],"/",Table13[[#This Row],[Year Col]]))</f>
        <v/>
      </c>
      <c r="O25" s="4" t="s">
        <v>1098</v>
      </c>
      <c r="P25" s="4">
        <f>IF(ISNUMBER(Table13[[#This Row],[Claim_Date2]]),Table13[[#This Row],[Claim_Date2]],Table13[[#This Row],[Function Col32]])</f>
        <v>45085</v>
      </c>
      <c r="Q25" s="4">
        <v>45085</v>
      </c>
      <c r="R25" s="1" t="s">
        <v>92</v>
      </c>
      <c r="S25" s="1" t="s">
        <v>53</v>
      </c>
      <c r="T25" t="s">
        <v>1086</v>
      </c>
      <c r="W25">
        <f>IF(Table1[[#This Row],[Claim_Amount]]&lt;0,0,Table1[[#This Row],[Claim_Amount]])</f>
        <v>0</v>
      </c>
      <c r="X25" t="str">
        <f>IF(Table1[[#This Row],[Column1]]=0,"",Table1[[#This Row],[Column1]])</f>
        <v/>
      </c>
      <c r="Y25" t="s">
        <v>1098</v>
      </c>
      <c r="Z25">
        <v>2481</v>
      </c>
      <c r="AA25">
        <v>832</v>
      </c>
      <c r="AB25" s="1" t="s">
        <v>17</v>
      </c>
      <c r="AC25" s="1" t="s">
        <v>57</v>
      </c>
      <c r="AD25">
        <v>9</v>
      </c>
      <c r="AE25" s="3" t="s">
        <v>37</v>
      </c>
    </row>
    <row r="26" spans="1:31" ht="15.75" customHeight="1" x14ac:dyDescent="0.35">
      <c r="A26" s="1" t="s">
        <v>20</v>
      </c>
      <c r="B26" t="s">
        <v>1083</v>
      </c>
      <c r="C26" s="1" t="s">
        <v>112</v>
      </c>
      <c r="D26" s="1" t="s">
        <v>113</v>
      </c>
      <c r="E26" s="5" t="s">
        <v>113</v>
      </c>
      <c r="F26" s="4" t="str">
        <f>IF(ISNUMBER(Table13[[#This Row],[Claim_Date2]]),"",Table13[[#This Row],[Claim_Date2]])</f>
        <v>Nov 07 2023</v>
      </c>
      <c r="G26" s="4" t="s">
        <v>113</v>
      </c>
      <c r="H26" s="4" t="str">
        <f>LEFT(Table13[[#This Row],[Values Col 1]],3)</f>
        <v>Nov</v>
      </c>
      <c r="I26" s="4" t="s">
        <v>1105</v>
      </c>
      <c r="J26" s="4" t="str">
        <f>MID(Table13[[#This Row],[Function Col]],5,2)</f>
        <v>07</v>
      </c>
      <c r="K26" s="4" t="s">
        <v>1120</v>
      </c>
      <c r="L26" s="4" t="str">
        <f>RIGHT(Table13[[#This Row],[Function Col]],4)</f>
        <v>2023</v>
      </c>
      <c r="M26" s="4" t="s">
        <v>1146</v>
      </c>
      <c r="N26" s="4" t="str">
        <f>IF(Table13[[#This Row],[Function Col5]]="","",_xlfn.CONCAT(Table13[[#This Row],[Day Col]],"/",Table13[[#This Row],[Month Col]],"/",Table13[[#This Row],[Year Col]]))</f>
        <v>07/Nov/2023</v>
      </c>
      <c r="O26" s="4" t="s">
        <v>1159</v>
      </c>
      <c r="P26" s="4" t="str">
        <f>IF(ISNUMBER(Table13[[#This Row],[Claim_Date2]]),Table13[[#This Row],[Claim_Date2]],Table13[[#This Row],[Function Col32]])</f>
        <v>07/Nov/2023</v>
      </c>
      <c r="Q26" s="4">
        <v>45237</v>
      </c>
      <c r="R26" s="1" t="s">
        <v>92</v>
      </c>
      <c r="S26" s="1" t="s">
        <v>53</v>
      </c>
      <c r="T26" s="1" t="s">
        <v>48</v>
      </c>
      <c r="U26" s="1"/>
      <c r="V26" s="1">
        <v>-64</v>
      </c>
      <c r="W26" s="1">
        <f>IF(Table1[[#This Row],[Claim_Amount]]&lt;0,0,Table1[[#This Row],[Claim_Amount]])</f>
        <v>0</v>
      </c>
      <c r="X26" s="1" t="str">
        <f>IF(Table1[[#This Row],[Column1]]=0,"",Table1[[#This Row],[Column1]])</f>
        <v/>
      </c>
      <c r="Y26" s="1" t="s">
        <v>1098</v>
      </c>
      <c r="Z26" s="1">
        <v>2481</v>
      </c>
      <c r="AA26">
        <v>832</v>
      </c>
      <c r="AB26" s="1" t="s">
        <v>17</v>
      </c>
      <c r="AC26" s="1" t="s">
        <v>26</v>
      </c>
      <c r="AD26">
        <v>9</v>
      </c>
      <c r="AE26" s="3" t="s">
        <v>1097</v>
      </c>
    </row>
    <row r="27" spans="1:31" ht="15.75" customHeight="1" x14ac:dyDescent="0.35">
      <c r="A27" s="1" t="s">
        <v>114</v>
      </c>
      <c r="B27" s="1" t="s">
        <v>115</v>
      </c>
      <c r="C27" t="s">
        <v>1084</v>
      </c>
      <c r="D27" s="1" t="s">
        <v>116</v>
      </c>
      <c r="E27" s="5">
        <v>45042</v>
      </c>
      <c r="F27" s="4" t="str">
        <f>IF(ISNUMBER(Table13[[#This Row],[Claim_Date2]]),"",Table13[[#This Row],[Claim_Date2]])</f>
        <v/>
      </c>
      <c r="G27" s="4" t="s">
        <v>1098</v>
      </c>
      <c r="H27" s="4" t="str">
        <f>LEFT(Table13[[#This Row],[Values Col 1]],3)</f>
        <v/>
      </c>
      <c r="I27" s="4" t="s">
        <v>1098</v>
      </c>
      <c r="J27" s="4" t="str">
        <f>MID(Table13[[#This Row],[Function Col]],5,2)</f>
        <v/>
      </c>
      <c r="K27" s="4" t="s">
        <v>1098</v>
      </c>
      <c r="L27" s="4" t="str">
        <f>RIGHT(Table13[[#This Row],[Function Col]],4)</f>
        <v/>
      </c>
      <c r="M27" s="4" t="s">
        <v>1098</v>
      </c>
      <c r="N27" s="4" t="str">
        <f>IF(Table13[[#This Row],[Function Col5]]="","",_xlfn.CONCAT(Table13[[#This Row],[Day Col]],"/",Table13[[#This Row],[Month Col]],"/",Table13[[#This Row],[Year Col]]))</f>
        <v/>
      </c>
      <c r="O27" s="4" t="s">
        <v>1098</v>
      </c>
      <c r="P27" s="4">
        <f>IF(ISNUMBER(Table13[[#This Row],[Claim_Date2]]),Table13[[#This Row],[Claim_Date2]],Table13[[#This Row],[Function Col32]])</f>
        <v>45042</v>
      </c>
      <c r="Q27" s="4">
        <v>45042</v>
      </c>
      <c r="R27" s="1" t="s">
        <v>16</v>
      </c>
      <c r="S27" s="1" t="s">
        <v>93</v>
      </c>
      <c r="T27" s="1" t="s">
        <v>48</v>
      </c>
      <c r="U27" s="1"/>
      <c r="V27" s="1">
        <v>-28</v>
      </c>
      <c r="W27" s="1">
        <f>IF(Table1[[#This Row],[Claim_Amount]]&lt;0,0,Table1[[#This Row],[Claim_Amount]])</f>
        <v>0</v>
      </c>
      <c r="X27" s="1" t="str">
        <f>IF(Table1[[#This Row],[Column1]]=0,"",Table1[[#This Row],[Column1]])</f>
        <v/>
      </c>
      <c r="Y27" s="1" t="s">
        <v>1098</v>
      </c>
      <c r="Z27" s="1">
        <v>2481</v>
      </c>
      <c r="AA27">
        <v>832</v>
      </c>
      <c r="AB27" s="1" t="s">
        <v>1091</v>
      </c>
      <c r="AC27" s="1" t="s">
        <v>18</v>
      </c>
      <c r="AD27">
        <v>9</v>
      </c>
      <c r="AE27" s="3" t="s">
        <v>37</v>
      </c>
    </row>
    <row r="28" spans="1:31" ht="15.75" customHeight="1" x14ac:dyDescent="0.35">
      <c r="A28" s="1" t="s">
        <v>117</v>
      </c>
      <c r="B28" s="1" t="s">
        <v>118</v>
      </c>
      <c r="C28" s="1" t="s">
        <v>119</v>
      </c>
      <c r="D28" s="1" t="s">
        <v>120</v>
      </c>
      <c r="E28" s="5">
        <v>44981</v>
      </c>
      <c r="F28" s="4" t="str">
        <f>IF(ISNUMBER(Table13[[#This Row],[Claim_Date2]]),"",Table13[[#This Row],[Claim_Date2]])</f>
        <v/>
      </c>
      <c r="G28" s="4" t="s">
        <v>1098</v>
      </c>
      <c r="H28" s="4" t="str">
        <f>LEFT(Table13[[#This Row],[Values Col 1]],3)</f>
        <v/>
      </c>
      <c r="I28" s="4" t="s">
        <v>1098</v>
      </c>
      <c r="J28" s="4" t="str">
        <f>MID(Table13[[#This Row],[Function Col]],5,2)</f>
        <v/>
      </c>
      <c r="K28" s="4" t="s">
        <v>1098</v>
      </c>
      <c r="L28" s="4" t="str">
        <f>RIGHT(Table13[[#This Row],[Function Col]],4)</f>
        <v/>
      </c>
      <c r="M28" s="4" t="s">
        <v>1098</v>
      </c>
      <c r="N28" s="4" t="str">
        <f>IF(Table13[[#This Row],[Function Col5]]="","",_xlfn.CONCAT(Table13[[#This Row],[Day Col]],"/",Table13[[#This Row],[Month Col]],"/",Table13[[#This Row],[Year Col]]))</f>
        <v/>
      </c>
      <c r="O28" s="4" t="s">
        <v>1098</v>
      </c>
      <c r="P28" s="4">
        <f>IF(ISNUMBER(Table13[[#This Row],[Claim_Date2]]),Table13[[#This Row],[Claim_Date2]],Table13[[#This Row],[Function Col32]])</f>
        <v>44981</v>
      </c>
      <c r="Q28" s="4">
        <v>44981</v>
      </c>
      <c r="R28" s="1" t="s">
        <v>85</v>
      </c>
      <c r="S28" t="s">
        <v>1085</v>
      </c>
      <c r="T28" s="1" t="s">
        <v>54</v>
      </c>
      <c r="U28" s="1"/>
      <c r="W28">
        <f>IF(Table1[[#This Row],[Claim_Amount]]&lt;0,0,Table1[[#This Row],[Claim_Amount]])</f>
        <v>0</v>
      </c>
      <c r="X28" t="str">
        <f>IF(Table1[[#This Row],[Column1]]=0,"",Table1[[#This Row],[Column1]])</f>
        <v/>
      </c>
      <c r="Y28" t="s">
        <v>1098</v>
      </c>
      <c r="Z28">
        <v>2481</v>
      </c>
      <c r="AA28" s="1">
        <v>4591.4799999999996</v>
      </c>
      <c r="AB28" s="1" t="s">
        <v>25</v>
      </c>
      <c r="AC28" s="1" t="s">
        <v>18</v>
      </c>
      <c r="AD28">
        <v>9</v>
      </c>
      <c r="AE28" s="3" t="s">
        <v>1097</v>
      </c>
    </row>
    <row r="29" spans="1:31" ht="15.75" customHeight="1" x14ac:dyDescent="0.35">
      <c r="A29" s="1" t="s">
        <v>20</v>
      </c>
      <c r="B29" t="s">
        <v>1083</v>
      </c>
      <c r="C29" t="s">
        <v>1084</v>
      </c>
      <c r="D29" s="1" t="s">
        <v>122</v>
      </c>
      <c r="E29" s="5" t="s">
        <v>122</v>
      </c>
      <c r="F29" s="4" t="str">
        <f>IF(ISNUMBER(Table13[[#This Row],[Claim_Date2]]),"",Table13[[#This Row],[Claim_Date2]])</f>
        <v>Aug 07 2023</v>
      </c>
      <c r="G29" s="4" t="s">
        <v>122</v>
      </c>
      <c r="H29" s="4" t="str">
        <f>LEFT(Table13[[#This Row],[Values Col 1]],3)</f>
        <v>Aug</v>
      </c>
      <c r="I29" s="4" t="s">
        <v>1106</v>
      </c>
      <c r="J29" s="4" t="str">
        <f>MID(Table13[[#This Row],[Function Col]],5,2)</f>
        <v>07</v>
      </c>
      <c r="K29" s="4" t="s">
        <v>1120</v>
      </c>
      <c r="L29" s="4" t="str">
        <f>RIGHT(Table13[[#This Row],[Function Col]],4)</f>
        <v>2023</v>
      </c>
      <c r="M29" s="4" t="s">
        <v>1146</v>
      </c>
      <c r="N29" s="4" t="str">
        <f>IF(Table13[[#This Row],[Function Col5]]="","",_xlfn.CONCAT(Table13[[#This Row],[Day Col]],"/",Table13[[#This Row],[Month Col]],"/",Table13[[#This Row],[Year Col]]))</f>
        <v>07/Aug/2023</v>
      </c>
      <c r="O29" s="4" t="s">
        <v>1160</v>
      </c>
      <c r="P29" s="4" t="str">
        <f>IF(ISNUMBER(Table13[[#This Row],[Claim_Date2]]),Table13[[#This Row],[Claim_Date2]],Table13[[#This Row],[Function Col32]])</f>
        <v>07/Aug/2023</v>
      </c>
      <c r="Q29" s="4">
        <v>45145</v>
      </c>
      <c r="R29" s="1" t="s">
        <v>77</v>
      </c>
      <c r="S29" s="1" t="s">
        <v>93</v>
      </c>
      <c r="T29" t="s">
        <v>1086</v>
      </c>
      <c r="W29">
        <f>IF(Table1[[#This Row],[Claim_Amount]]&lt;0,0,Table1[[#This Row],[Claim_Amount]])</f>
        <v>0</v>
      </c>
      <c r="X29" t="str">
        <f>IF(Table1[[#This Row],[Column1]]=0,"",Table1[[#This Row],[Column1]])</f>
        <v/>
      </c>
      <c r="Y29" t="s">
        <v>1098</v>
      </c>
      <c r="Z29">
        <v>2481</v>
      </c>
      <c r="AA29">
        <v>832</v>
      </c>
      <c r="AB29" s="1" t="s">
        <v>42</v>
      </c>
      <c r="AC29" s="1" t="s">
        <v>57</v>
      </c>
      <c r="AD29">
        <v>9</v>
      </c>
      <c r="AE29" s="3" t="s">
        <v>65</v>
      </c>
    </row>
    <row r="30" spans="1:31" ht="15.75" customHeight="1" x14ac:dyDescent="0.35">
      <c r="A30" s="1" t="s">
        <v>38</v>
      </c>
      <c r="B30" s="1" t="s">
        <v>123</v>
      </c>
      <c r="C30" t="s">
        <v>1084</v>
      </c>
      <c r="D30" s="1" t="s">
        <v>124</v>
      </c>
      <c r="E30" s="5">
        <v>45066</v>
      </c>
      <c r="F30" s="4" t="str">
        <f>IF(ISNUMBER(Table13[[#This Row],[Claim_Date2]]),"",Table13[[#This Row],[Claim_Date2]])</f>
        <v/>
      </c>
      <c r="G30" s="4" t="s">
        <v>1098</v>
      </c>
      <c r="H30" s="4" t="str">
        <f>LEFT(Table13[[#This Row],[Values Col 1]],3)</f>
        <v/>
      </c>
      <c r="I30" s="4" t="s">
        <v>1098</v>
      </c>
      <c r="J30" s="4" t="str">
        <f>MID(Table13[[#This Row],[Function Col]],5,2)</f>
        <v/>
      </c>
      <c r="K30" s="4" t="s">
        <v>1098</v>
      </c>
      <c r="L30" s="4" t="str">
        <f>RIGHT(Table13[[#This Row],[Function Col]],4)</f>
        <v/>
      </c>
      <c r="M30" s="4" t="s">
        <v>1098</v>
      </c>
      <c r="N30" s="4" t="str">
        <f>IF(Table13[[#This Row],[Function Col5]]="","",_xlfn.CONCAT(Table13[[#This Row],[Day Col]],"/",Table13[[#This Row],[Month Col]],"/",Table13[[#This Row],[Year Col]]))</f>
        <v/>
      </c>
      <c r="O30" s="4" t="s">
        <v>1098</v>
      </c>
      <c r="P30" s="4">
        <f>IF(ISNUMBER(Table13[[#This Row],[Claim_Date2]]),Table13[[#This Row],[Claim_Date2]],Table13[[#This Row],[Function Col32]])</f>
        <v>45066</v>
      </c>
      <c r="Q30" s="4">
        <v>45066</v>
      </c>
      <c r="R30" s="1" t="s">
        <v>30</v>
      </c>
      <c r="S30" s="1" t="s">
        <v>23</v>
      </c>
      <c r="T30" s="1" t="s">
        <v>24</v>
      </c>
      <c r="U30" s="1"/>
      <c r="W30">
        <f>IF(Table1[[#This Row],[Claim_Amount]]&lt;0,0,Table1[[#This Row],[Claim_Amount]])</f>
        <v>0</v>
      </c>
      <c r="X30" t="str">
        <f>IF(Table1[[#This Row],[Column1]]=0,"",Table1[[#This Row],[Column1]])</f>
        <v/>
      </c>
      <c r="Y30" t="s">
        <v>1098</v>
      </c>
      <c r="Z30">
        <v>2481</v>
      </c>
      <c r="AA30" s="1">
        <v>3546.77</v>
      </c>
      <c r="AB30" s="1" t="s">
        <v>25</v>
      </c>
      <c r="AC30" s="1" t="s">
        <v>1093</v>
      </c>
      <c r="AD30">
        <v>9</v>
      </c>
      <c r="AE30" s="3" t="s">
        <v>37</v>
      </c>
    </row>
    <row r="31" spans="1:31" ht="15.75" customHeight="1" x14ac:dyDescent="0.35">
      <c r="A31" s="1" t="s">
        <v>70</v>
      </c>
      <c r="B31" s="1" t="s">
        <v>125</v>
      </c>
      <c r="C31" t="s">
        <v>1084</v>
      </c>
      <c r="D31" s="1" t="s">
        <v>126</v>
      </c>
      <c r="E31" s="5" t="s">
        <v>126</v>
      </c>
      <c r="F31" s="4" t="str">
        <f>IF(ISNUMBER(Table13[[#This Row],[Claim_Date2]]),"",Table13[[#This Row],[Claim_Date2]])</f>
        <v>Jan 11 2023</v>
      </c>
      <c r="G31" s="4" t="s">
        <v>126</v>
      </c>
      <c r="H31" s="4" t="str">
        <f>LEFT(Table13[[#This Row],[Values Col 1]],3)</f>
        <v>Jan</v>
      </c>
      <c r="I31" s="4" t="s">
        <v>1107</v>
      </c>
      <c r="J31" s="4" t="str">
        <f>MID(Table13[[#This Row],[Function Col]],5,2)</f>
        <v>11</v>
      </c>
      <c r="K31" s="4" t="s">
        <v>1121</v>
      </c>
      <c r="L31" s="4" t="str">
        <f>RIGHT(Table13[[#This Row],[Function Col]],4)</f>
        <v>2023</v>
      </c>
      <c r="M31" s="4" t="s">
        <v>1146</v>
      </c>
      <c r="N31" s="4" t="str">
        <f>IF(Table13[[#This Row],[Function Col5]]="","",_xlfn.CONCAT(Table13[[#This Row],[Day Col]],"/",Table13[[#This Row],[Month Col]],"/",Table13[[#This Row],[Year Col]]))</f>
        <v>11/Jan/2023</v>
      </c>
      <c r="O31" s="4" t="s">
        <v>1161</v>
      </c>
      <c r="P31" s="4" t="str">
        <f>IF(ISNUMBER(Table13[[#This Row],[Claim_Date2]]),Table13[[#This Row],[Claim_Date2]],Table13[[#This Row],[Function Col32]])</f>
        <v>11/Jan/2023</v>
      </c>
      <c r="Q31" s="4">
        <v>44937</v>
      </c>
      <c r="R31" s="1" t="s">
        <v>77</v>
      </c>
      <c r="S31" s="1" t="s">
        <v>53</v>
      </c>
      <c r="T31" s="1" t="s">
        <v>61</v>
      </c>
      <c r="U31" s="1"/>
      <c r="V31" s="1">
        <v>-86</v>
      </c>
      <c r="W31" s="1">
        <f>IF(Table1[[#This Row],[Claim_Amount]]&lt;0,0,Table1[[#This Row],[Claim_Amount]])</f>
        <v>0</v>
      </c>
      <c r="X31" s="1" t="str">
        <f>IF(Table1[[#This Row],[Column1]]=0,"",Table1[[#This Row],[Column1]])</f>
        <v/>
      </c>
      <c r="Y31" s="1" t="s">
        <v>1098</v>
      </c>
      <c r="Z31" s="1">
        <v>2481</v>
      </c>
      <c r="AA31">
        <v>832</v>
      </c>
      <c r="AB31" s="1" t="s">
        <v>1091</v>
      </c>
      <c r="AC31" s="1" t="s">
        <v>57</v>
      </c>
      <c r="AD31">
        <v>9</v>
      </c>
      <c r="AE31" s="3" t="s">
        <v>65</v>
      </c>
    </row>
    <row r="32" spans="1:31" ht="15.75" customHeight="1" x14ac:dyDescent="0.35">
      <c r="A32" s="1" t="s">
        <v>117</v>
      </c>
      <c r="B32" t="s">
        <v>1083</v>
      </c>
      <c r="C32" t="s">
        <v>1084</v>
      </c>
      <c r="D32" s="1" t="s">
        <v>127</v>
      </c>
      <c r="E32" s="5" t="s">
        <v>127</v>
      </c>
      <c r="F32" s="4" t="str">
        <f>IF(ISNUMBER(Table13[[#This Row],[Claim_Date2]]),"",Table13[[#This Row],[Claim_Date2]])</f>
        <v>Jun 22 2023</v>
      </c>
      <c r="G32" s="4" t="s">
        <v>127</v>
      </c>
      <c r="H32" s="4" t="str">
        <f>LEFT(Table13[[#This Row],[Values Col 1]],3)</f>
        <v>Jun</v>
      </c>
      <c r="I32" s="4" t="s">
        <v>1108</v>
      </c>
      <c r="J32" s="4" t="str">
        <f>MID(Table13[[#This Row],[Function Col]],5,2)</f>
        <v>22</v>
      </c>
      <c r="K32" s="4" t="s">
        <v>1122</v>
      </c>
      <c r="L32" s="4" t="str">
        <f>RIGHT(Table13[[#This Row],[Function Col]],4)</f>
        <v>2023</v>
      </c>
      <c r="M32" s="4" t="s">
        <v>1146</v>
      </c>
      <c r="N32" s="4" t="str">
        <f>IF(Table13[[#This Row],[Function Col5]]="","",_xlfn.CONCAT(Table13[[#This Row],[Day Col]],"/",Table13[[#This Row],[Month Col]],"/",Table13[[#This Row],[Year Col]]))</f>
        <v>22/Jun/2023</v>
      </c>
      <c r="O32" s="4" t="s">
        <v>1162</v>
      </c>
      <c r="P32" s="4" t="str">
        <f>IF(ISNUMBER(Table13[[#This Row],[Claim_Date2]]),Table13[[#This Row],[Claim_Date2]],Table13[[#This Row],[Function Col32]])</f>
        <v>22/Jun/2023</v>
      </c>
      <c r="Q32" s="4">
        <v>45099</v>
      </c>
      <c r="R32" s="1" t="s">
        <v>16</v>
      </c>
      <c r="S32" s="1" t="s">
        <v>53</v>
      </c>
      <c r="T32" t="s">
        <v>1086</v>
      </c>
      <c r="W32">
        <f>IF(Table1[[#This Row],[Claim_Amount]]&lt;0,0,Table1[[#This Row],[Claim_Amount]])</f>
        <v>0</v>
      </c>
      <c r="X32" t="str">
        <f>IF(Table1[[#This Row],[Column1]]=0,"",Table1[[#This Row],[Column1]])</f>
        <v/>
      </c>
      <c r="Y32" t="s">
        <v>1098</v>
      </c>
      <c r="Z32">
        <v>2481</v>
      </c>
      <c r="AA32">
        <v>832</v>
      </c>
      <c r="AB32" s="1" t="s">
        <v>25</v>
      </c>
      <c r="AC32" s="1" t="s">
        <v>1093</v>
      </c>
      <c r="AD32">
        <v>9</v>
      </c>
      <c r="AE32" s="3" t="s">
        <v>19</v>
      </c>
    </row>
    <row r="33" spans="1:31" ht="15.75" customHeight="1" x14ac:dyDescent="0.35">
      <c r="A33" s="1" t="s">
        <v>96</v>
      </c>
      <c r="B33" t="s">
        <v>1083</v>
      </c>
      <c r="C33" t="s">
        <v>1084</v>
      </c>
      <c r="D33" s="1" t="s">
        <v>128</v>
      </c>
      <c r="E33" s="5">
        <v>44952</v>
      </c>
      <c r="F33" s="4" t="str">
        <f>IF(ISNUMBER(Table13[[#This Row],[Claim_Date2]]),"",Table13[[#This Row],[Claim_Date2]])</f>
        <v/>
      </c>
      <c r="G33" s="4" t="s">
        <v>1098</v>
      </c>
      <c r="H33" s="4" t="str">
        <f>LEFT(Table13[[#This Row],[Values Col 1]],3)</f>
        <v/>
      </c>
      <c r="I33" s="4" t="s">
        <v>1098</v>
      </c>
      <c r="J33" s="4" t="str">
        <f>MID(Table13[[#This Row],[Function Col]],5,2)</f>
        <v/>
      </c>
      <c r="K33" s="4" t="s">
        <v>1098</v>
      </c>
      <c r="L33" s="4" t="str">
        <f>RIGHT(Table13[[#This Row],[Function Col]],4)</f>
        <v/>
      </c>
      <c r="M33" s="4" t="s">
        <v>1098</v>
      </c>
      <c r="N33" s="4" t="str">
        <f>IF(Table13[[#This Row],[Function Col5]]="","",_xlfn.CONCAT(Table13[[#This Row],[Day Col]],"/",Table13[[#This Row],[Month Col]],"/",Table13[[#This Row],[Year Col]]))</f>
        <v/>
      </c>
      <c r="O33" s="4" t="s">
        <v>1098</v>
      </c>
      <c r="P33" s="4">
        <f>IF(ISNUMBER(Table13[[#This Row],[Claim_Date2]]),Table13[[#This Row],[Claim_Date2]],Table13[[#This Row],[Function Col32]])</f>
        <v>44952</v>
      </c>
      <c r="Q33" s="4">
        <v>44952</v>
      </c>
      <c r="R33" s="1" t="s">
        <v>92</v>
      </c>
      <c r="S33" s="1" t="s">
        <v>93</v>
      </c>
      <c r="T33" s="1" t="s">
        <v>48</v>
      </c>
      <c r="U33" s="1"/>
      <c r="W33">
        <f>IF(Table1[[#This Row],[Claim_Amount]]&lt;0,0,Table1[[#This Row],[Claim_Amount]])</f>
        <v>0</v>
      </c>
      <c r="X33" t="str">
        <f>IF(Table1[[#This Row],[Column1]]=0,"",Table1[[#This Row],[Column1]])</f>
        <v/>
      </c>
      <c r="Y33" t="s">
        <v>1098</v>
      </c>
      <c r="Z33">
        <v>2481</v>
      </c>
      <c r="AA33">
        <v>832</v>
      </c>
      <c r="AB33" s="1" t="s">
        <v>42</v>
      </c>
      <c r="AC33" s="1" t="s">
        <v>26</v>
      </c>
      <c r="AD33" s="1">
        <v>30</v>
      </c>
      <c r="AE33" s="3" t="s">
        <v>1097</v>
      </c>
    </row>
    <row r="34" spans="1:31" ht="15.75" customHeight="1" x14ac:dyDescent="0.35">
      <c r="A34" s="1" t="s">
        <v>82</v>
      </c>
      <c r="B34" s="1" t="s">
        <v>129</v>
      </c>
      <c r="C34" s="1" t="s">
        <v>130</v>
      </c>
      <c r="D34" s="1" t="s">
        <v>131</v>
      </c>
      <c r="E34" s="5">
        <v>45260</v>
      </c>
      <c r="F34" s="4" t="str">
        <f>IF(ISNUMBER(Table13[[#This Row],[Claim_Date2]]),"",Table13[[#This Row],[Claim_Date2]])</f>
        <v/>
      </c>
      <c r="G34" s="4" t="s">
        <v>1098</v>
      </c>
      <c r="H34" s="4" t="str">
        <f>LEFT(Table13[[#This Row],[Values Col 1]],3)</f>
        <v/>
      </c>
      <c r="I34" s="4" t="s">
        <v>1098</v>
      </c>
      <c r="J34" s="4" t="str">
        <f>MID(Table13[[#This Row],[Function Col]],5,2)</f>
        <v/>
      </c>
      <c r="K34" s="4" t="s">
        <v>1098</v>
      </c>
      <c r="L34" s="4" t="str">
        <f>RIGHT(Table13[[#This Row],[Function Col]],4)</f>
        <v/>
      </c>
      <c r="M34" s="4" t="s">
        <v>1098</v>
      </c>
      <c r="N34" s="4" t="str">
        <f>IF(Table13[[#This Row],[Function Col5]]="","",_xlfn.CONCAT(Table13[[#This Row],[Day Col]],"/",Table13[[#This Row],[Month Col]],"/",Table13[[#This Row],[Year Col]]))</f>
        <v/>
      </c>
      <c r="O34" s="4" t="s">
        <v>1098</v>
      </c>
      <c r="P34" s="4">
        <f>IF(ISNUMBER(Table13[[#This Row],[Claim_Date2]]),Table13[[#This Row],[Claim_Date2]],Table13[[#This Row],[Function Col32]])</f>
        <v>45260</v>
      </c>
      <c r="Q34" s="4">
        <v>45260</v>
      </c>
      <c r="R34" s="1" t="s">
        <v>85</v>
      </c>
      <c r="S34" s="1" t="s">
        <v>23</v>
      </c>
      <c r="T34" s="1" t="s">
        <v>54</v>
      </c>
      <c r="U34" s="1"/>
      <c r="V34" s="1">
        <v>-42</v>
      </c>
      <c r="W34" s="1">
        <f>IF(Table1[[#This Row],[Claim_Amount]]&lt;0,0,Table1[[#This Row],[Claim_Amount]])</f>
        <v>0</v>
      </c>
      <c r="X34" s="1" t="str">
        <f>IF(Table1[[#This Row],[Column1]]=0,"",Table1[[#This Row],[Column1]])</f>
        <v/>
      </c>
      <c r="Y34" s="1" t="s">
        <v>1098</v>
      </c>
      <c r="Z34" s="1">
        <v>2481</v>
      </c>
      <c r="AA34">
        <v>832</v>
      </c>
      <c r="AB34" s="1" t="s">
        <v>17</v>
      </c>
      <c r="AC34" s="1" t="s">
        <v>1093</v>
      </c>
      <c r="AD34">
        <v>9</v>
      </c>
      <c r="AE34" s="3" t="s">
        <v>27</v>
      </c>
    </row>
    <row r="35" spans="1:31" ht="15.75" customHeight="1" x14ac:dyDescent="0.35">
      <c r="A35" s="1" t="s">
        <v>132</v>
      </c>
      <c r="B35" t="s">
        <v>1083</v>
      </c>
      <c r="C35" s="1" t="s">
        <v>133</v>
      </c>
      <c r="D35" s="1" t="s">
        <v>134</v>
      </c>
      <c r="E35" s="5" t="s">
        <v>134</v>
      </c>
      <c r="F35" s="4" t="str">
        <f>IF(ISNUMBER(Table13[[#This Row],[Claim_Date2]]),"",Table13[[#This Row],[Claim_Date2]])</f>
        <v>Feb 25 2023</v>
      </c>
      <c r="G35" s="4" t="s">
        <v>134</v>
      </c>
      <c r="H35" s="4" t="str">
        <f>LEFT(Table13[[#This Row],[Values Col 1]],3)</f>
        <v>Feb</v>
      </c>
      <c r="I35" s="4" t="s">
        <v>1109</v>
      </c>
      <c r="J35" s="4" t="str">
        <f>MID(Table13[[#This Row],[Function Col]],5,2)</f>
        <v>25</v>
      </c>
      <c r="K35" s="4" t="s">
        <v>1123</v>
      </c>
      <c r="L35" s="4" t="str">
        <f>RIGHT(Table13[[#This Row],[Function Col]],4)</f>
        <v>2023</v>
      </c>
      <c r="M35" s="4" t="s">
        <v>1146</v>
      </c>
      <c r="N35" s="4" t="str">
        <f>IF(Table13[[#This Row],[Function Col5]]="","",_xlfn.CONCAT(Table13[[#This Row],[Day Col]],"/",Table13[[#This Row],[Month Col]],"/",Table13[[#This Row],[Year Col]]))</f>
        <v>25/Feb/2023</v>
      </c>
      <c r="O35" s="4" t="s">
        <v>1163</v>
      </c>
      <c r="P35" s="4" t="str">
        <f>IF(ISNUMBER(Table13[[#This Row],[Claim_Date2]]),Table13[[#This Row],[Claim_Date2]],Table13[[#This Row],[Function Col32]])</f>
        <v>25/Feb/2023</v>
      </c>
      <c r="Q35" s="4">
        <v>44982</v>
      </c>
      <c r="R35" s="1" t="s">
        <v>16</v>
      </c>
      <c r="S35" s="1" t="s">
        <v>31</v>
      </c>
      <c r="T35" s="1" t="s">
        <v>54</v>
      </c>
      <c r="U35" s="1"/>
      <c r="V35" s="1">
        <v>-106</v>
      </c>
      <c r="W35" s="1">
        <f>IF(Table1[[#This Row],[Claim_Amount]]&lt;0,0,Table1[[#This Row],[Claim_Amount]])</f>
        <v>0</v>
      </c>
      <c r="X35" s="1" t="str">
        <f>IF(Table1[[#This Row],[Column1]]=0,"",Table1[[#This Row],[Column1]])</f>
        <v/>
      </c>
      <c r="Y35" s="1" t="s">
        <v>1098</v>
      </c>
      <c r="Z35" s="1">
        <v>2481</v>
      </c>
      <c r="AA35" s="1">
        <v>4710.28</v>
      </c>
      <c r="AB35" s="1" t="s">
        <v>25</v>
      </c>
      <c r="AC35" s="1" t="s">
        <v>57</v>
      </c>
      <c r="AD35">
        <v>9</v>
      </c>
      <c r="AE35" s="3" t="s">
        <v>65</v>
      </c>
    </row>
    <row r="36" spans="1:31" ht="15.75" customHeight="1" x14ac:dyDescent="0.35">
      <c r="A36" s="1" t="s">
        <v>108</v>
      </c>
      <c r="B36" t="s">
        <v>1083</v>
      </c>
      <c r="C36" s="1" t="s">
        <v>135</v>
      </c>
      <c r="D36" s="1" t="s">
        <v>136</v>
      </c>
      <c r="E36" s="5" t="s">
        <v>136</v>
      </c>
      <c r="F36" s="4" t="str">
        <f>IF(ISNUMBER(Table13[[#This Row],[Claim_Date2]]),"",Table13[[#This Row],[Claim_Date2]])</f>
        <v>Jun 27 2023</v>
      </c>
      <c r="G36" s="4" t="s">
        <v>136</v>
      </c>
      <c r="H36" s="4" t="str">
        <f>LEFT(Table13[[#This Row],[Values Col 1]],3)</f>
        <v>Jun</v>
      </c>
      <c r="I36" s="4" t="s">
        <v>1108</v>
      </c>
      <c r="J36" s="4" t="str">
        <f>MID(Table13[[#This Row],[Function Col]],5,2)</f>
        <v>27</v>
      </c>
      <c r="K36" s="4" t="s">
        <v>1124</v>
      </c>
      <c r="L36" s="4" t="str">
        <f>RIGHT(Table13[[#This Row],[Function Col]],4)</f>
        <v>2023</v>
      </c>
      <c r="M36" s="4" t="s">
        <v>1146</v>
      </c>
      <c r="N36" s="4" t="str">
        <f>IF(Table13[[#This Row],[Function Col5]]="","",_xlfn.CONCAT(Table13[[#This Row],[Day Col]],"/",Table13[[#This Row],[Month Col]],"/",Table13[[#This Row],[Year Col]]))</f>
        <v>27/Jun/2023</v>
      </c>
      <c r="O36" s="4" t="s">
        <v>1164</v>
      </c>
      <c r="P36" s="4" t="str">
        <f>IF(ISNUMBER(Table13[[#This Row],[Claim_Date2]]),Table13[[#This Row],[Claim_Date2]],Table13[[#This Row],[Function Col32]])</f>
        <v>27/Jun/2023</v>
      </c>
      <c r="Q36" s="4">
        <v>45104</v>
      </c>
      <c r="R36" s="1" t="s">
        <v>77</v>
      </c>
      <c r="S36" t="s">
        <v>1085</v>
      </c>
      <c r="T36" s="1" t="s">
        <v>41</v>
      </c>
      <c r="U36" s="1"/>
      <c r="W36">
        <f>IF(Table1[[#This Row],[Claim_Amount]]&lt;0,0,Table1[[#This Row],[Claim_Amount]])</f>
        <v>0</v>
      </c>
      <c r="X36" t="str">
        <f>IF(Table1[[#This Row],[Column1]]=0,"",Table1[[#This Row],[Column1]])</f>
        <v/>
      </c>
      <c r="Y36" t="s">
        <v>1098</v>
      </c>
      <c r="Z36">
        <v>2481</v>
      </c>
      <c r="AA36">
        <v>832</v>
      </c>
      <c r="AB36" s="1" t="s">
        <v>25</v>
      </c>
      <c r="AC36" s="1" t="s">
        <v>26</v>
      </c>
      <c r="AD36">
        <v>9</v>
      </c>
      <c r="AE36" s="3" t="s">
        <v>37</v>
      </c>
    </row>
    <row r="37" spans="1:31" ht="15.75" customHeight="1" x14ac:dyDescent="0.35">
      <c r="A37" s="1" t="s">
        <v>137</v>
      </c>
      <c r="B37" t="s">
        <v>1083</v>
      </c>
      <c r="C37" t="s">
        <v>1084</v>
      </c>
      <c r="D37" s="1" t="s">
        <v>138</v>
      </c>
      <c r="E37" s="5">
        <v>45202</v>
      </c>
      <c r="F37" s="4" t="str">
        <f>IF(ISNUMBER(Table13[[#This Row],[Claim_Date2]]),"",Table13[[#This Row],[Claim_Date2]])</f>
        <v/>
      </c>
      <c r="G37" s="4" t="s">
        <v>1098</v>
      </c>
      <c r="H37" s="4" t="str">
        <f>LEFT(Table13[[#This Row],[Values Col 1]],3)</f>
        <v/>
      </c>
      <c r="I37" s="4" t="s">
        <v>1098</v>
      </c>
      <c r="J37" s="4" t="str">
        <f>MID(Table13[[#This Row],[Function Col]],5,2)</f>
        <v/>
      </c>
      <c r="K37" s="4" t="s">
        <v>1098</v>
      </c>
      <c r="L37" s="4" t="str">
        <f>RIGHT(Table13[[#This Row],[Function Col]],4)</f>
        <v/>
      </c>
      <c r="M37" s="4" t="s">
        <v>1098</v>
      </c>
      <c r="N37" s="4" t="str">
        <f>IF(Table13[[#This Row],[Function Col5]]="","",_xlfn.CONCAT(Table13[[#This Row],[Day Col]],"/",Table13[[#This Row],[Month Col]],"/",Table13[[#This Row],[Year Col]]))</f>
        <v/>
      </c>
      <c r="O37" s="4" t="s">
        <v>1098</v>
      </c>
      <c r="P37" s="4">
        <f>IF(ISNUMBER(Table13[[#This Row],[Claim_Date2]]),Table13[[#This Row],[Claim_Date2]],Table13[[#This Row],[Function Col32]])</f>
        <v>45202</v>
      </c>
      <c r="Q37" s="4">
        <v>45202</v>
      </c>
      <c r="R37" s="1" t="s">
        <v>77</v>
      </c>
      <c r="S37" t="s">
        <v>1085</v>
      </c>
      <c r="T37" s="1" t="s">
        <v>54</v>
      </c>
      <c r="U37" s="1"/>
      <c r="V37" s="1">
        <v>1378.56</v>
      </c>
      <c r="W37" s="1">
        <f>IF(Table1[[#This Row],[Claim_Amount]]&lt;0,0,Table1[[#This Row],[Claim_Amount]])</f>
        <v>1378.56</v>
      </c>
      <c r="X37" s="1">
        <f>IF(Table1[[#This Row],[Column1]]=0,"",Table1[[#This Row],[Column1]])</f>
        <v>1378.56</v>
      </c>
      <c r="Y37" s="1">
        <v>1378.56</v>
      </c>
      <c r="Z37" s="1">
        <v>1378.56</v>
      </c>
      <c r="AA37">
        <v>832</v>
      </c>
      <c r="AB37" s="1" t="s">
        <v>17</v>
      </c>
      <c r="AC37" s="1" t="s">
        <v>1093</v>
      </c>
      <c r="AD37">
        <v>9</v>
      </c>
      <c r="AE37" s="3" t="s">
        <v>37</v>
      </c>
    </row>
    <row r="38" spans="1:31" ht="15.75" customHeight="1" x14ac:dyDescent="0.35">
      <c r="A38" s="1" t="s">
        <v>114</v>
      </c>
      <c r="B38" t="s">
        <v>1083</v>
      </c>
      <c r="C38" s="1" t="s">
        <v>139</v>
      </c>
      <c r="D38" s="1" t="s">
        <v>140</v>
      </c>
      <c r="E38" s="5">
        <v>45035</v>
      </c>
      <c r="F38" s="4" t="str">
        <f>IF(ISNUMBER(Table13[[#This Row],[Claim_Date2]]),"",Table13[[#This Row],[Claim_Date2]])</f>
        <v/>
      </c>
      <c r="G38" s="4" t="s">
        <v>1098</v>
      </c>
      <c r="H38" s="4" t="str">
        <f>LEFT(Table13[[#This Row],[Values Col 1]],3)</f>
        <v/>
      </c>
      <c r="I38" s="4" t="s">
        <v>1098</v>
      </c>
      <c r="J38" s="4" t="str">
        <f>MID(Table13[[#This Row],[Function Col]],5,2)</f>
        <v/>
      </c>
      <c r="K38" s="4" t="s">
        <v>1098</v>
      </c>
      <c r="L38" s="4" t="str">
        <f>RIGHT(Table13[[#This Row],[Function Col]],4)</f>
        <v/>
      </c>
      <c r="M38" s="4" t="s">
        <v>1098</v>
      </c>
      <c r="N38" s="4" t="str">
        <f>IF(Table13[[#This Row],[Function Col5]]="","",_xlfn.CONCAT(Table13[[#This Row],[Day Col]],"/",Table13[[#This Row],[Month Col]],"/",Table13[[#This Row],[Year Col]]))</f>
        <v/>
      </c>
      <c r="O38" s="4" t="s">
        <v>1098</v>
      </c>
      <c r="P38" s="4">
        <f>IF(ISNUMBER(Table13[[#This Row],[Claim_Date2]]),Table13[[#This Row],[Claim_Date2]],Table13[[#This Row],[Function Col32]])</f>
        <v>45035</v>
      </c>
      <c r="Q38" s="4">
        <v>45035</v>
      </c>
      <c r="R38" s="1" t="s">
        <v>92</v>
      </c>
      <c r="S38" s="1" t="s">
        <v>31</v>
      </c>
      <c r="T38" s="1" t="s">
        <v>54</v>
      </c>
      <c r="U38" s="1"/>
      <c r="V38" s="1">
        <v>3520.86</v>
      </c>
      <c r="W38" s="1">
        <f>IF(Table1[[#This Row],[Claim_Amount]]&lt;0,0,Table1[[#This Row],[Claim_Amount]])</f>
        <v>3520.86</v>
      </c>
      <c r="X38" s="1">
        <f>IF(Table1[[#This Row],[Column1]]=0,"",Table1[[#This Row],[Column1]])</f>
        <v>3520.86</v>
      </c>
      <c r="Y38" s="1">
        <v>3520.86</v>
      </c>
      <c r="Z38" s="1">
        <v>3520.86</v>
      </c>
      <c r="AA38" s="1">
        <v>2607.3000000000002</v>
      </c>
      <c r="AB38" s="1" t="s">
        <v>25</v>
      </c>
      <c r="AC38" s="1" t="s">
        <v>18</v>
      </c>
      <c r="AD38">
        <v>9</v>
      </c>
      <c r="AE38" s="3" t="s">
        <v>37</v>
      </c>
    </row>
    <row r="39" spans="1:31" ht="15.75" customHeight="1" x14ac:dyDescent="0.35">
      <c r="A39" s="1" t="s">
        <v>20</v>
      </c>
      <c r="B39" s="1" t="s">
        <v>141</v>
      </c>
      <c r="C39" t="s">
        <v>1084</v>
      </c>
      <c r="D39" s="1" t="s">
        <v>142</v>
      </c>
      <c r="E39" s="5">
        <v>45291</v>
      </c>
      <c r="F39" s="4" t="str">
        <f>IF(ISNUMBER(Table13[[#This Row],[Claim_Date2]]),"",Table13[[#This Row],[Claim_Date2]])</f>
        <v/>
      </c>
      <c r="G39" s="4" t="s">
        <v>1098</v>
      </c>
      <c r="H39" s="4" t="str">
        <f>LEFT(Table13[[#This Row],[Values Col 1]],3)</f>
        <v/>
      </c>
      <c r="I39" s="4" t="s">
        <v>1098</v>
      </c>
      <c r="J39" s="4" t="str">
        <f>MID(Table13[[#This Row],[Function Col]],5,2)</f>
        <v/>
      </c>
      <c r="K39" s="4" t="s">
        <v>1098</v>
      </c>
      <c r="L39" s="4" t="str">
        <f>RIGHT(Table13[[#This Row],[Function Col]],4)</f>
        <v/>
      </c>
      <c r="M39" s="4" t="s">
        <v>1098</v>
      </c>
      <c r="N39" s="4" t="str">
        <f>IF(Table13[[#This Row],[Function Col5]]="","",_xlfn.CONCAT(Table13[[#This Row],[Day Col]],"/",Table13[[#This Row],[Month Col]],"/",Table13[[#This Row],[Year Col]]))</f>
        <v/>
      </c>
      <c r="O39" s="4" t="s">
        <v>1098</v>
      </c>
      <c r="P39" s="4">
        <f>IF(ISNUMBER(Table13[[#This Row],[Claim_Date2]]),Table13[[#This Row],[Claim_Date2]],Table13[[#This Row],[Function Col32]])</f>
        <v>45291</v>
      </c>
      <c r="Q39" s="4">
        <v>45291</v>
      </c>
      <c r="R39" s="1" t="s">
        <v>85</v>
      </c>
      <c r="S39" s="1" t="s">
        <v>23</v>
      </c>
      <c r="T39" s="1" t="s">
        <v>61</v>
      </c>
      <c r="U39" s="1"/>
      <c r="W39">
        <f>IF(Table1[[#This Row],[Claim_Amount]]&lt;0,0,Table1[[#This Row],[Claim_Amount]])</f>
        <v>0</v>
      </c>
      <c r="X39" t="str">
        <f>IF(Table1[[#This Row],[Column1]]=0,"",Table1[[#This Row],[Column1]])</f>
        <v/>
      </c>
      <c r="Y39" t="s">
        <v>1098</v>
      </c>
      <c r="Z39">
        <v>2481</v>
      </c>
      <c r="AA39">
        <v>832</v>
      </c>
      <c r="AB39" s="1" t="s">
        <v>42</v>
      </c>
      <c r="AC39" s="1" t="s">
        <v>1093</v>
      </c>
      <c r="AD39">
        <v>9</v>
      </c>
      <c r="AE39" s="3" t="s">
        <v>27</v>
      </c>
    </row>
    <row r="40" spans="1:31" ht="15.75" customHeight="1" x14ac:dyDescent="0.35">
      <c r="A40" s="1" t="s">
        <v>62</v>
      </c>
      <c r="B40" t="s">
        <v>1083</v>
      </c>
      <c r="C40" t="s">
        <v>1084</v>
      </c>
      <c r="D40" s="1" t="s">
        <v>143</v>
      </c>
      <c r="E40" s="5">
        <v>45159</v>
      </c>
      <c r="F40" s="4" t="str">
        <f>IF(ISNUMBER(Table13[[#This Row],[Claim_Date2]]),"",Table13[[#This Row],[Claim_Date2]])</f>
        <v/>
      </c>
      <c r="G40" s="4" t="s">
        <v>1098</v>
      </c>
      <c r="H40" s="4" t="str">
        <f>LEFT(Table13[[#This Row],[Values Col 1]],3)</f>
        <v/>
      </c>
      <c r="I40" s="4" t="s">
        <v>1098</v>
      </c>
      <c r="J40" s="4" t="str">
        <f>MID(Table13[[#This Row],[Function Col]],5,2)</f>
        <v/>
      </c>
      <c r="K40" s="4" t="s">
        <v>1098</v>
      </c>
      <c r="L40" s="4" t="str">
        <f>RIGHT(Table13[[#This Row],[Function Col]],4)</f>
        <v/>
      </c>
      <c r="M40" s="4" t="s">
        <v>1098</v>
      </c>
      <c r="N40" s="4" t="str">
        <f>IF(Table13[[#This Row],[Function Col5]]="","",_xlfn.CONCAT(Table13[[#This Row],[Day Col]],"/",Table13[[#This Row],[Month Col]],"/",Table13[[#This Row],[Year Col]]))</f>
        <v/>
      </c>
      <c r="O40" s="4" t="s">
        <v>1098</v>
      </c>
      <c r="P40" s="4">
        <f>IF(ISNUMBER(Table13[[#This Row],[Claim_Date2]]),Table13[[#This Row],[Claim_Date2]],Table13[[#This Row],[Function Col32]])</f>
        <v>45159</v>
      </c>
      <c r="Q40" s="4">
        <v>45159</v>
      </c>
      <c r="R40" s="1" t="s">
        <v>92</v>
      </c>
      <c r="S40" s="1" t="s">
        <v>93</v>
      </c>
      <c r="T40" s="1" t="s">
        <v>61</v>
      </c>
      <c r="U40" s="1"/>
      <c r="V40" s="1">
        <v>3620.36</v>
      </c>
      <c r="W40" s="1">
        <f>IF(Table1[[#This Row],[Claim_Amount]]&lt;0,0,Table1[[#This Row],[Claim_Amount]])</f>
        <v>3620.36</v>
      </c>
      <c r="X40" s="1">
        <f>IF(Table1[[#This Row],[Column1]]=0,"",Table1[[#This Row],[Column1]])</f>
        <v>3620.36</v>
      </c>
      <c r="Y40" s="1">
        <v>3620.36</v>
      </c>
      <c r="Z40" s="1">
        <v>3620.36</v>
      </c>
      <c r="AA40">
        <v>832</v>
      </c>
      <c r="AB40" s="1" t="s">
        <v>17</v>
      </c>
      <c r="AC40" s="1" t="s">
        <v>18</v>
      </c>
      <c r="AD40">
        <v>9</v>
      </c>
      <c r="AE40" s="3" t="s">
        <v>37</v>
      </c>
    </row>
    <row r="41" spans="1:31" ht="15.75" customHeight="1" x14ac:dyDescent="0.35">
      <c r="A41" s="1" t="s">
        <v>38</v>
      </c>
      <c r="B41" t="s">
        <v>1083</v>
      </c>
      <c r="C41" t="s">
        <v>1084</v>
      </c>
      <c r="D41" s="1" t="s">
        <v>144</v>
      </c>
      <c r="E41" s="5">
        <v>44978</v>
      </c>
      <c r="F41" s="4" t="str">
        <f>IF(ISNUMBER(Table13[[#This Row],[Claim_Date2]]),"",Table13[[#This Row],[Claim_Date2]])</f>
        <v/>
      </c>
      <c r="G41" s="4" t="s">
        <v>1098</v>
      </c>
      <c r="H41" s="4" t="str">
        <f>LEFT(Table13[[#This Row],[Values Col 1]],3)</f>
        <v/>
      </c>
      <c r="I41" s="4" t="s">
        <v>1098</v>
      </c>
      <c r="J41" s="4" t="str">
        <f>MID(Table13[[#This Row],[Function Col]],5,2)</f>
        <v/>
      </c>
      <c r="K41" s="4" t="s">
        <v>1098</v>
      </c>
      <c r="L41" s="4" t="str">
        <f>RIGHT(Table13[[#This Row],[Function Col]],4)</f>
        <v/>
      </c>
      <c r="M41" s="4" t="s">
        <v>1098</v>
      </c>
      <c r="N41" s="4" t="str">
        <f>IF(Table13[[#This Row],[Function Col5]]="","",_xlfn.CONCAT(Table13[[#This Row],[Day Col]],"/",Table13[[#This Row],[Month Col]],"/",Table13[[#This Row],[Year Col]]))</f>
        <v/>
      </c>
      <c r="O41" s="4" t="s">
        <v>1098</v>
      </c>
      <c r="P41" s="4">
        <f>IF(ISNUMBER(Table13[[#This Row],[Claim_Date2]]),Table13[[#This Row],[Claim_Date2]],Table13[[#This Row],[Function Col32]])</f>
        <v>44978</v>
      </c>
      <c r="Q41" s="4">
        <v>44978</v>
      </c>
      <c r="R41" s="1" t="s">
        <v>92</v>
      </c>
      <c r="S41" s="1" t="s">
        <v>93</v>
      </c>
      <c r="T41" s="1" t="s">
        <v>41</v>
      </c>
      <c r="U41" s="1"/>
      <c r="W41">
        <f>IF(Table1[[#This Row],[Claim_Amount]]&lt;0,0,Table1[[#This Row],[Claim_Amount]])</f>
        <v>0</v>
      </c>
      <c r="X41" t="str">
        <f>IF(Table1[[#This Row],[Column1]]=0,"",Table1[[#This Row],[Column1]])</f>
        <v/>
      </c>
      <c r="Y41" t="s">
        <v>1098</v>
      </c>
      <c r="Z41">
        <v>2481</v>
      </c>
      <c r="AA41" s="1">
        <v>1407.84</v>
      </c>
      <c r="AB41" s="1" t="s">
        <v>1091</v>
      </c>
      <c r="AC41" s="1" t="s">
        <v>32</v>
      </c>
      <c r="AD41" s="1">
        <v>44</v>
      </c>
      <c r="AE41" s="3" t="s">
        <v>37</v>
      </c>
    </row>
    <row r="42" spans="1:31" ht="15.75" customHeight="1" x14ac:dyDescent="0.35">
      <c r="A42" s="1" t="s">
        <v>108</v>
      </c>
      <c r="B42" t="s">
        <v>1083</v>
      </c>
      <c r="C42" t="s">
        <v>1084</v>
      </c>
      <c r="D42" s="1" t="s">
        <v>145</v>
      </c>
      <c r="E42" s="5">
        <v>45172</v>
      </c>
      <c r="F42" s="4" t="str">
        <f>IF(ISNUMBER(Table13[[#This Row],[Claim_Date2]]),"",Table13[[#This Row],[Claim_Date2]])</f>
        <v/>
      </c>
      <c r="G42" s="4" t="s">
        <v>1098</v>
      </c>
      <c r="H42" s="4" t="str">
        <f>LEFT(Table13[[#This Row],[Values Col 1]],3)</f>
        <v/>
      </c>
      <c r="I42" s="4" t="s">
        <v>1098</v>
      </c>
      <c r="J42" s="4" t="str">
        <f>MID(Table13[[#This Row],[Function Col]],5,2)</f>
        <v/>
      </c>
      <c r="K42" s="4" t="s">
        <v>1098</v>
      </c>
      <c r="L42" s="4" t="str">
        <f>RIGHT(Table13[[#This Row],[Function Col]],4)</f>
        <v/>
      </c>
      <c r="M42" s="4" t="s">
        <v>1098</v>
      </c>
      <c r="N42" s="4" t="str">
        <f>IF(Table13[[#This Row],[Function Col5]]="","",_xlfn.CONCAT(Table13[[#This Row],[Day Col]],"/",Table13[[#This Row],[Month Col]],"/",Table13[[#This Row],[Year Col]]))</f>
        <v/>
      </c>
      <c r="O42" s="4" t="s">
        <v>1098</v>
      </c>
      <c r="P42" s="4">
        <f>IF(ISNUMBER(Table13[[#This Row],[Claim_Date2]]),Table13[[#This Row],[Claim_Date2]],Table13[[#This Row],[Function Col32]])</f>
        <v>45172</v>
      </c>
      <c r="Q42" s="4">
        <v>45172</v>
      </c>
      <c r="R42" s="1" t="s">
        <v>16</v>
      </c>
      <c r="S42" s="1" t="s">
        <v>31</v>
      </c>
      <c r="T42" s="1" t="s">
        <v>48</v>
      </c>
      <c r="U42" s="1"/>
      <c r="V42" s="1">
        <v>-26</v>
      </c>
      <c r="W42" s="1">
        <f>IF(Table1[[#This Row],[Claim_Amount]]&lt;0,0,Table1[[#This Row],[Claim_Amount]])</f>
        <v>0</v>
      </c>
      <c r="X42" s="1" t="str">
        <f>IF(Table1[[#This Row],[Column1]]=0,"",Table1[[#This Row],[Column1]])</f>
        <v/>
      </c>
      <c r="Y42" s="1" t="s">
        <v>1098</v>
      </c>
      <c r="Z42" s="1">
        <v>2481</v>
      </c>
      <c r="AA42">
        <v>832</v>
      </c>
      <c r="AB42" s="1" t="s">
        <v>25</v>
      </c>
      <c r="AC42" s="1" t="s">
        <v>18</v>
      </c>
      <c r="AD42">
        <v>9</v>
      </c>
      <c r="AE42" s="3" t="s">
        <v>27</v>
      </c>
    </row>
    <row r="43" spans="1:31" ht="15.75" customHeight="1" x14ac:dyDescent="0.35">
      <c r="A43" s="1" t="s">
        <v>96</v>
      </c>
      <c r="B43" s="1" t="s">
        <v>146</v>
      </c>
      <c r="C43" t="s">
        <v>1084</v>
      </c>
      <c r="D43" s="1" t="s">
        <v>147</v>
      </c>
      <c r="E43" s="5">
        <v>45237</v>
      </c>
      <c r="F43" s="4" t="str">
        <f>IF(ISNUMBER(Table13[[#This Row],[Claim_Date2]]),"",Table13[[#This Row],[Claim_Date2]])</f>
        <v/>
      </c>
      <c r="G43" s="4" t="s">
        <v>1098</v>
      </c>
      <c r="H43" s="4" t="str">
        <f>LEFT(Table13[[#This Row],[Values Col 1]],3)</f>
        <v/>
      </c>
      <c r="I43" s="4" t="s">
        <v>1098</v>
      </c>
      <c r="J43" s="4" t="str">
        <f>MID(Table13[[#This Row],[Function Col]],5,2)</f>
        <v/>
      </c>
      <c r="K43" s="4" t="s">
        <v>1098</v>
      </c>
      <c r="L43" s="4" t="str">
        <f>RIGHT(Table13[[#This Row],[Function Col]],4)</f>
        <v/>
      </c>
      <c r="M43" s="4" t="s">
        <v>1098</v>
      </c>
      <c r="N43" s="4" t="str">
        <f>IF(Table13[[#This Row],[Function Col5]]="","",_xlfn.CONCAT(Table13[[#This Row],[Day Col]],"/",Table13[[#This Row],[Month Col]],"/",Table13[[#This Row],[Year Col]]))</f>
        <v/>
      </c>
      <c r="O43" s="4" t="s">
        <v>1098</v>
      </c>
      <c r="P43" s="4">
        <f>IF(ISNUMBER(Table13[[#This Row],[Claim_Date2]]),Table13[[#This Row],[Claim_Date2]],Table13[[#This Row],[Function Col32]])</f>
        <v>45237</v>
      </c>
      <c r="Q43" s="4">
        <v>45237</v>
      </c>
      <c r="R43" s="1" t="s">
        <v>85</v>
      </c>
      <c r="S43" s="1" t="s">
        <v>47</v>
      </c>
      <c r="T43" s="1" t="s">
        <v>48</v>
      </c>
      <c r="U43" s="1"/>
      <c r="W43">
        <f>IF(Table1[[#This Row],[Claim_Amount]]&lt;0,0,Table1[[#This Row],[Claim_Amount]])</f>
        <v>0</v>
      </c>
      <c r="X43" t="str">
        <f>IF(Table1[[#This Row],[Column1]]=0,"",Table1[[#This Row],[Column1]])</f>
        <v/>
      </c>
      <c r="Y43" t="s">
        <v>1098</v>
      </c>
      <c r="Z43">
        <v>2481</v>
      </c>
      <c r="AA43">
        <v>832</v>
      </c>
      <c r="AB43" s="1" t="s">
        <v>42</v>
      </c>
      <c r="AC43" s="1" t="s">
        <v>57</v>
      </c>
      <c r="AD43" s="1">
        <v>39</v>
      </c>
      <c r="AE43" s="3" t="s">
        <v>1097</v>
      </c>
    </row>
    <row r="44" spans="1:31" ht="15.75" customHeight="1" x14ac:dyDescent="0.35">
      <c r="A44" s="1" t="s">
        <v>148</v>
      </c>
      <c r="B44" s="1" t="s">
        <v>149</v>
      </c>
      <c r="C44" s="1" t="s">
        <v>150</v>
      </c>
      <c r="D44" s="1" t="s">
        <v>151</v>
      </c>
      <c r="E44" s="5">
        <v>45062</v>
      </c>
      <c r="F44" s="4" t="str">
        <f>IF(ISNUMBER(Table13[[#This Row],[Claim_Date2]]),"",Table13[[#This Row],[Claim_Date2]])</f>
        <v/>
      </c>
      <c r="G44" s="4" t="s">
        <v>1098</v>
      </c>
      <c r="H44" s="4" t="str">
        <f>LEFT(Table13[[#This Row],[Values Col 1]],3)</f>
        <v/>
      </c>
      <c r="I44" s="4" t="s">
        <v>1098</v>
      </c>
      <c r="J44" s="4" t="str">
        <f>MID(Table13[[#This Row],[Function Col]],5,2)</f>
        <v/>
      </c>
      <c r="K44" s="4" t="s">
        <v>1098</v>
      </c>
      <c r="L44" s="4" t="str">
        <f>RIGHT(Table13[[#This Row],[Function Col]],4)</f>
        <v/>
      </c>
      <c r="M44" s="4" t="s">
        <v>1098</v>
      </c>
      <c r="N44" s="4" t="str">
        <f>IF(Table13[[#This Row],[Function Col5]]="","",_xlfn.CONCAT(Table13[[#This Row],[Day Col]],"/",Table13[[#This Row],[Month Col]],"/",Table13[[#This Row],[Year Col]]))</f>
        <v/>
      </c>
      <c r="O44" s="4" t="s">
        <v>1098</v>
      </c>
      <c r="P44" s="4">
        <f>IF(ISNUMBER(Table13[[#This Row],[Claim_Date2]]),Table13[[#This Row],[Claim_Date2]],Table13[[#This Row],[Function Col32]])</f>
        <v>45062</v>
      </c>
      <c r="Q44" s="4">
        <v>45062</v>
      </c>
      <c r="R44" s="1" t="s">
        <v>85</v>
      </c>
      <c r="S44" s="1" t="s">
        <v>93</v>
      </c>
      <c r="T44" s="1" t="s">
        <v>54</v>
      </c>
      <c r="U44" s="1"/>
      <c r="V44" s="1">
        <v>-10</v>
      </c>
      <c r="W44" s="1">
        <f>IF(Table1[[#This Row],[Claim_Amount]]&lt;0,0,Table1[[#This Row],[Claim_Amount]])</f>
        <v>0</v>
      </c>
      <c r="X44" s="1" t="str">
        <f>IF(Table1[[#This Row],[Column1]]=0,"",Table1[[#This Row],[Column1]])</f>
        <v/>
      </c>
      <c r="Y44" s="1" t="s">
        <v>1098</v>
      </c>
      <c r="Z44" s="1">
        <v>2481</v>
      </c>
      <c r="AA44">
        <v>832</v>
      </c>
      <c r="AB44" s="1" t="s">
        <v>25</v>
      </c>
      <c r="AC44" s="1" t="s">
        <v>32</v>
      </c>
      <c r="AD44" s="1">
        <v>2</v>
      </c>
      <c r="AE44" s="3" t="s">
        <v>27</v>
      </c>
    </row>
    <row r="45" spans="1:31" ht="15.75" customHeight="1" x14ac:dyDescent="0.35">
      <c r="A45" s="1" t="s">
        <v>137</v>
      </c>
      <c r="B45" t="s">
        <v>1083</v>
      </c>
      <c r="C45" s="1" t="s">
        <v>152</v>
      </c>
      <c r="D45" s="1" t="s">
        <v>153</v>
      </c>
      <c r="E45" s="5" t="s">
        <v>153</v>
      </c>
      <c r="F45" s="4" t="str">
        <f>IF(ISNUMBER(Table13[[#This Row],[Claim_Date2]]),"",Table13[[#This Row],[Claim_Date2]])</f>
        <v>May 16 2023</v>
      </c>
      <c r="G45" s="4" t="s">
        <v>153</v>
      </c>
      <c r="H45" s="4" t="str">
        <f>LEFT(Table13[[#This Row],[Values Col 1]],3)</f>
        <v>May</v>
      </c>
      <c r="I45" s="4" t="s">
        <v>1110</v>
      </c>
      <c r="J45" s="4" t="str">
        <f>MID(Table13[[#This Row],[Function Col]],5,2)</f>
        <v>16</v>
      </c>
      <c r="K45" s="4" t="s">
        <v>1125</v>
      </c>
      <c r="L45" s="4" t="str">
        <f>RIGHT(Table13[[#This Row],[Function Col]],4)</f>
        <v>2023</v>
      </c>
      <c r="M45" s="4" t="s">
        <v>1146</v>
      </c>
      <c r="N45" s="4" t="str">
        <f>IF(Table13[[#This Row],[Function Col5]]="","",_xlfn.CONCAT(Table13[[#This Row],[Day Col]],"/",Table13[[#This Row],[Month Col]],"/",Table13[[#This Row],[Year Col]]))</f>
        <v>16/May/2023</v>
      </c>
      <c r="O45" s="4" t="s">
        <v>1165</v>
      </c>
      <c r="P45" s="4" t="str">
        <f>IF(ISNUMBER(Table13[[#This Row],[Claim_Date2]]),Table13[[#This Row],[Claim_Date2]],Table13[[#This Row],[Function Col32]])</f>
        <v>16/May/2023</v>
      </c>
      <c r="Q45" s="4">
        <v>45062</v>
      </c>
      <c r="R45" s="1" t="s">
        <v>30</v>
      </c>
      <c r="S45" t="s">
        <v>1085</v>
      </c>
      <c r="T45" s="1" t="s">
        <v>24</v>
      </c>
      <c r="U45" s="1"/>
      <c r="W45">
        <f>IF(Table1[[#This Row],[Claim_Amount]]&lt;0,0,Table1[[#This Row],[Claim_Amount]])</f>
        <v>0</v>
      </c>
      <c r="X45" t="str">
        <f>IF(Table1[[#This Row],[Column1]]=0,"",Table1[[#This Row],[Column1]])</f>
        <v/>
      </c>
      <c r="Y45" t="s">
        <v>1098</v>
      </c>
      <c r="Z45">
        <v>2481</v>
      </c>
      <c r="AA45">
        <v>832</v>
      </c>
      <c r="AB45" s="1" t="s">
        <v>17</v>
      </c>
      <c r="AC45" s="1" t="s">
        <v>26</v>
      </c>
      <c r="AD45" s="1">
        <v>3</v>
      </c>
      <c r="AE45" s="3" t="s">
        <v>27</v>
      </c>
    </row>
    <row r="46" spans="1:31" ht="15.75" customHeight="1" x14ac:dyDescent="0.35">
      <c r="A46" s="1" t="s">
        <v>154</v>
      </c>
      <c r="B46" t="s">
        <v>1083</v>
      </c>
      <c r="C46" t="s">
        <v>1084</v>
      </c>
      <c r="D46" s="1" t="s">
        <v>155</v>
      </c>
      <c r="E46" s="5">
        <v>45166</v>
      </c>
      <c r="F46" s="4" t="str">
        <f>IF(ISNUMBER(Table13[[#This Row],[Claim_Date2]]),"",Table13[[#This Row],[Claim_Date2]])</f>
        <v/>
      </c>
      <c r="G46" s="4" t="s">
        <v>1098</v>
      </c>
      <c r="H46" s="4" t="str">
        <f>LEFT(Table13[[#This Row],[Values Col 1]],3)</f>
        <v/>
      </c>
      <c r="I46" s="4" t="s">
        <v>1098</v>
      </c>
      <c r="J46" s="4" t="str">
        <f>MID(Table13[[#This Row],[Function Col]],5,2)</f>
        <v/>
      </c>
      <c r="K46" s="4" t="s">
        <v>1098</v>
      </c>
      <c r="L46" s="4" t="str">
        <f>RIGHT(Table13[[#This Row],[Function Col]],4)</f>
        <v/>
      </c>
      <c r="M46" s="4" t="s">
        <v>1098</v>
      </c>
      <c r="N46" s="4" t="str">
        <f>IF(Table13[[#This Row],[Function Col5]]="","",_xlfn.CONCAT(Table13[[#This Row],[Day Col]],"/",Table13[[#This Row],[Month Col]],"/",Table13[[#This Row],[Year Col]]))</f>
        <v/>
      </c>
      <c r="O46" s="4" t="s">
        <v>1098</v>
      </c>
      <c r="P46" s="4">
        <f>IF(ISNUMBER(Table13[[#This Row],[Claim_Date2]]),Table13[[#This Row],[Claim_Date2]],Table13[[#This Row],[Function Col32]])</f>
        <v>45166</v>
      </c>
      <c r="Q46" s="4">
        <v>45166</v>
      </c>
      <c r="R46" s="1" t="s">
        <v>16</v>
      </c>
      <c r="S46" s="1" t="s">
        <v>53</v>
      </c>
      <c r="T46" s="1" t="s">
        <v>41</v>
      </c>
      <c r="U46" s="1"/>
      <c r="V46" s="1">
        <v>-136</v>
      </c>
      <c r="W46" s="1">
        <f>IF(Table1[[#This Row],[Claim_Amount]]&lt;0,0,Table1[[#This Row],[Claim_Amount]])</f>
        <v>0</v>
      </c>
      <c r="X46" s="1" t="str">
        <f>IF(Table1[[#This Row],[Column1]]=0,"",Table1[[#This Row],[Column1]])</f>
        <v/>
      </c>
      <c r="Y46" s="1" t="s">
        <v>1098</v>
      </c>
      <c r="Z46" s="1">
        <v>2481</v>
      </c>
      <c r="AA46" s="1">
        <v>448.19</v>
      </c>
      <c r="AB46" s="1" t="s">
        <v>25</v>
      </c>
      <c r="AC46" s="1" t="s">
        <v>32</v>
      </c>
      <c r="AD46">
        <v>9</v>
      </c>
      <c r="AE46" s="3" t="s">
        <v>19</v>
      </c>
    </row>
    <row r="47" spans="1:31" ht="15.75" customHeight="1" x14ac:dyDescent="0.35">
      <c r="A47" s="1" t="s">
        <v>96</v>
      </c>
      <c r="B47" t="s">
        <v>1083</v>
      </c>
      <c r="C47" s="1" t="s">
        <v>156</v>
      </c>
      <c r="D47" s="1" t="s">
        <v>157</v>
      </c>
      <c r="E47" s="5">
        <v>45271</v>
      </c>
      <c r="F47" s="4" t="str">
        <f>IF(ISNUMBER(Table13[[#This Row],[Claim_Date2]]),"",Table13[[#This Row],[Claim_Date2]])</f>
        <v/>
      </c>
      <c r="G47" s="4" t="s">
        <v>1098</v>
      </c>
      <c r="H47" s="4" t="str">
        <f>LEFT(Table13[[#This Row],[Values Col 1]],3)</f>
        <v/>
      </c>
      <c r="I47" s="4" t="s">
        <v>1098</v>
      </c>
      <c r="J47" s="4" t="str">
        <f>MID(Table13[[#This Row],[Function Col]],5,2)</f>
        <v/>
      </c>
      <c r="K47" s="4" t="s">
        <v>1098</v>
      </c>
      <c r="L47" s="4" t="str">
        <f>RIGHT(Table13[[#This Row],[Function Col]],4)</f>
        <v/>
      </c>
      <c r="M47" s="4" t="s">
        <v>1098</v>
      </c>
      <c r="N47" s="4" t="str">
        <f>IF(Table13[[#This Row],[Function Col5]]="","",_xlfn.CONCAT(Table13[[#This Row],[Day Col]],"/",Table13[[#This Row],[Month Col]],"/",Table13[[#This Row],[Year Col]]))</f>
        <v/>
      </c>
      <c r="O47" s="4" t="s">
        <v>1098</v>
      </c>
      <c r="P47" s="4">
        <f>IF(ISNUMBER(Table13[[#This Row],[Claim_Date2]]),Table13[[#This Row],[Claim_Date2]],Table13[[#This Row],[Function Col32]])</f>
        <v>45271</v>
      </c>
      <c r="Q47" s="4">
        <v>45271</v>
      </c>
      <c r="R47" s="1" t="s">
        <v>85</v>
      </c>
      <c r="S47" s="1" t="s">
        <v>93</v>
      </c>
      <c r="T47" s="1" t="s">
        <v>48</v>
      </c>
      <c r="U47" s="1"/>
      <c r="W47">
        <f>IF(Table1[[#This Row],[Claim_Amount]]&lt;0,0,Table1[[#This Row],[Claim_Amount]])</f>
        <v>0</v>
      </c>
      <c r="X47" t="str">
        <f>IF(Table1[[#This Row],[Column1]]=0,"",Table1[[#This Row],[Column1]])</f>
        <v/>
      </c>
      <c r="Y47" t="s">
        <v>1098</v>
      </c>
      <c r="Z47">
        <v>2481</v>
      </c>
      <c r="AA47">
        <v>832</v>
      </c>
      <c r="AB47" s="1" t="s">
        <v>25</v>
      </c>
      <c r="AC47" s="1" t="s">
        <v>1093</v>
      </c>
      <c r="AD47">
        <v>9</v>
      </c>
      <c r="AE47" s="3" t="s">
        <v>27</v>
      </c>
    </row>
    <row r="48" spans="1:31" ht="15.75" customHeight="1" x14ac:dyDescent="0.35">
      <c r="A48" s="1" t="s">
        <v>70</v>
      </c>
      <c r="B48" t="s">
        <v>1083</v>
      </c>
      <c r="C48" s="1" t="s">
        <v>158</v>
      </c>
      <c r="D48" s="1" t="s">
        <v>159</v>
      </c>
      <c r="E48" s="5" t="s">
        <v>159</v>
      </c>
      <c r="F48" s="4" t="str">
        <f>IF(ISNUMBER(Table13[[#This Row],[Claim_Date2]]),"",Table13[[#This Row],[Claim_Date2]])</f>
        <v>Jul 30 2023</v>
      </c>
      <c r="G48" s="4" t="s">
        <v>159</v>
      </c>
      <c r="H48" s="4" t="str">
        <f>LEFT(Table13[[#This Row],[Values Col 1]],3)</f>
        <v>Jul</v>
      </c>
      <c r="I48" s="4" t="s">
        <v>1101</v>
      </c>
      <c r="J48" s="4" t="str">
        <f>MID(Table13[[#This Row],[Function Col]],5,2)</f>
        <v>30</v>
      </c>
      <c r="K48" s="4" t="s">
        <v>1126</v>
      </c>
      <c r="L48" s="4" t="str">
        <f>RIGHT(Table13[[#This Row],[Function Col]],4)</f>
        <v>2023</v>
      </c>
      <c r="M48" s="4" t="s">
        <v>1146</v>
      </c>
      <c r="N48" s="4" t="str">
        <f>IF(Table13[[#This Row],[Function Col5]]="","",_xlfn.CONCAT(Table13[[#This Row],[Day Col]],"/",Table13[[#This Row],[Month Col]],"/",Table13[[#This Row],[Year Col]]))</f>
        <v>30/Jul/2023</v>
      </c>
      <c r="O48" s="4" t="s">
        <v>1166</v>
      </c>
      <c r="P48" s="4" t="str">
        <f>IF(ISNUMBER(Table13[[#This Row],[Claim_Date2]]),Table13[[#This Row],[Claim_Date2]],Table13[[#This Row],[Function Col32]])</f>
        <v>30/Jul/2023</v>
      </c>
      <c r="Q48" s="4">
        <v>45137</v>
      </c>
      <c r="R48" s="1" t="s">
        <v>77</v>
      </c>
      <c r="S48" s="1" t="s">
        <v>31</v>
      </c>
      <c r="T48" t="s">
        <v>1086</v>
      </c>
      <c r="V48" s="1">
        <v>4728.71</v>
      </c>
      <c r="W48" s="1">
        <f>IF(Table1[[#This Row],[Claim_Amount]]&lt;0,0,Table1[[#This Row],[Claim_Amount]])</f>
        <v>4728.71</v>
      </c>
      <c r="X48" s="1">
        <f>IF(Table1[[#This Row],[Column1]]=0,"",Table1[[#This Row],[Column1]])</f>
        <v>4728.71</v>
      </c>
      <c r="Y48" s="1">
        <v>4728.71</v>
      </c>
      <c r="Z48" s="1">
        <v>4728.71</v>
      </c>
      <c r="AA48">
        <v>832</v>
      </c>
      <c r="AB48" s="1" t="s">
        <v>42</v>
      </c>
      <c r="AC48" s="1" t="s">
        <v>32</v>
      </c>
      <c r="AD48">
        <v>9</v>
      </c>
      <c r="AE48" s="3" t="s">
        <v>1097</v>
      </c>
    </row>
    <row r="49" spans="1:31" ht="15.75" customHeight="1" x14ac:dyDescent="0.35">
      <c r="A49" s="1" t="s">
        <v>89</v>
      </c>
      <c r="B49" t="s">
        <v>1083</v>
      </c>
      <c r="C49" t="s">
        <v>1084</v>
      </c>
      <c r="D49" s="1" t="s">
        <v>160</v>
      </c>
      <c r="E49" s="5">
        <v>45023</v>
      </c>
      <c r="F49" s="4" t="str">
        <f>IF(ISNUMBER(Table13[[#This Row],[Claim_Date2]]),"",Table13[[#This Row],[Claim_Date2]])</f>
        <v/>
      </c>
      <c r="G49" s="4" t="s">
        <v>1098</v>
      </c>
      <c r="H49" s="4" t="str">
        <f>LEFT(Table13[[#This Row],[Values Col 1]],3)</f>
        <v/>
      </c>
      <c r="I49" s="4" t="s">
        <v>1098</v>
      </c>
      <c r="J49" s="4" t="str">
        <f>MID(Table13[[#This Row],[Function Col]],5,2)</f>
        <v/>
      </c>
      <c r="K49" s="4" t="s">
        <v>1098</v>
      </c>
      <c r="L49" s="4" t="str">
        <f>RIGHT(Table13[[#This Row],[Function Col]],4)</f>
        <v/>
      </c>
      <c r="M49" s="4" t="s">
        <v>1098</v>
      </c>
      <c r="N49" s="4" t="str">
        <f>IF(Table13[[#This Row],[Function Col5]]="","",_xlfn.CONCAT(Table13[[#This Row],[Day Col]],"/",Table13[[#This Row],[Month Col]],"/",Table13[[#This Row],[Year Col]]))</f>
        <v/>
      </c>
      <c r="O49" s="4" t="s">
        <v>1098</v>
      </c>
      <c r="P49" s="4">
        <f>IF(ISNUMBER(Table13[[#This Row],[Claim_Date2]]),Table13[[#This Row],[Claim_Date2]],Table13[[#This Row],[Function Col32]])</f>
        <v>45023</v>
      </c>
      <c r="Q49" s="4">
        <v>45023</v>
      </c>
      <c r="R49" s="1" t="s">
        <v>30</v>
      </c>
      <c r="S49" s="1" t="s">
        <v>53</v>
      </c>
      <c r="T49" t="s">
        <v>1086</v>
      </c>
      <c r="W49">
        <f>IF(Table1[[#This Row],[Claim_Amount]]&lt;0,0,Table1[[#This Row],[Claim_Amount]])</f>
        <v>0</v>
      </c>
      <c r="X49" t="str">
        <f>IF(Table1[[#This Row],[Column1]]=0,"",Table1[[#This Row],[Column1]])</f>
        <v/>
      </c>
      <c r="Y49" t="s">
        <v>1098</v>
      </c>
      <c r="Z49">
        <v>2481</v>
      </c>
      <c r="AA49" s="1">
        <v>1371.93</v>
      </c>
      <c r="AB49" s="1" t="s">
        <v>42</v>
      </c>
      <c r="AC49" s="1" t="s">
        <v>1093</v>
      </c>
      <c r="AD49">
        <v>9</v>
      </c>
      <c r="AE49" s="3" t="s">
        <v>37</v>
      </c>
    </row>
    <row r="50" spans="1:31" ht="15.75" customHeight="1" x14ac:dyDescent="0.35">
      <c r="A50" s="1" t="s">
        <v>55</v>
      </c>
      <c r="B50" t="s">
        <v>1083</v>
      </c>
      <c r="C50" s="1" t="s">
        <v>161</v>
      </c>
      <c r="D50" s="1" t="s">
        <v>162</v>
      </c>
      <c r="E50" s="5" t="s">
        <v>162</v>
      </c>
      <c r="F50" s="4" t="str">
        <f>IF(ISNUMBER(Table13[[#This Row],[Claim_Date2]]),"",Table13[[#This Row],[Claim_Date2]])</f>
        <v>Jun 09 2023</v>
      </c>
      <c r="G50" s="4" t="s">
        <v>162</v>
      </c>
      <c r="H50" s="4" t="str">
        <f>LEFT(Table13[[#This Row],[Values Col 1]],3)</f>
        <v>Jun</v>
      </c>
      <c r="I50" s="4" t="s">
        <v>1108</v>
      </c>
      <c r="J50" s="4" t="str">
        <f>MID(Table13[[#This Row],[Function Col]],5,2)</f>
        <v>09</v>
      </c>
      <c r="K50" s="4" t="s">
        <v>1127</v>
      </c>
      <c r="L50" s="4" t="str">
        <f>RIGHT(Table13[[#This Row],[Function Col]],4)</f>
        <v>2023</v>
      </c>
      <c r="M50" s="4" t="s">
        <v>1146</v>
      </c>
      <c r="N50" s="4" t="str">
        <f>IF(Table13[[#This Row],[Function Col5]]="","",_xlfn.CONCAT(Table13[[#This Row],[Day Col]],"/",Table13[[#This Row],[Month Col]],"/",Table13[[#This Row],[Year Col]]))</f>
        <v>09/Jun/2023</v>
      </c>
      <c r="O50" s="4" t="s">
        <v>1167</v>
      </c>
      <c r="P50" s="4" t="str">
        <f>IF(ISNUMBER(Table13[[#This Row],[Claim_Date2]]),Table13[[#This Row],[Claim_Date2]],Table13[[#This Row],[Function Col32]])</f>
        <v>09/Jun/2023</v>
      </c>
      <c r="Q50" s="4">
        <v>45086</v>
      </c>
      <c r="R50" s="1" t="s">
        <v>16</v>
      </c>
      <c r="S50" s="1" t="s">
        <v>47</v>
      </c>
      <c r="T50" s="1" t="s">
        <v>48</v>
      </c>
      <c r="U50" s="1"/>
      <c r="V50" s="1">
        <v>-39</v>
      </c>
      <c r="W50" s="1">
        <f>IF(Table1[[#This Row],[Claim_Amount]]&lt;0,0,Table1[[#This Row],[Claim_Amount]])</f>
        <v>0</v>
      </c>
      <c r="X50" s="1" t="str">
        <f>IF(Table1[[#This Row],[Column1]]=0,"",Table1[[#This Row],[Column1]])</f>
        <v/>
      </c>
      <c r="Y50" s="1" t="s">
        <v>1098</v>
      </c>
      <c r="Z50" s="1">
        <v>2481</v>
      </c>
      <c r="AA50">
        <v>832</v>
      </c>
      <c r="AB50" s="1" t="s">
        <v>17</v>
      </c>
      <c r="AC50" s="1" t="s">
        <v>1093</v>
      </c>
      <c r="AD50">
        <v>9</v>
      </c>
      <c r="AE50" s="3" t="s">
        <v>27</v>
      </c>
    </row>
    <row r="51" spans="1:31" ht="15.75" customHeight="1" x14ac:dyDescent="0.35">
      <c r="A51" s="1" t="s">
        <v>163</v>
      </c>
      <c r="B51" t="s">
        <v>1083</v>
      </c>
      <c r="C51" t="s">
        <v>1084</v>
      </c>
      <c r="D51" s="1" t="s">
        <v>164</v>
      </c>
      <c r="E51" s="5" t="s">
        <v>164</v>
      </c>
      <c r="F51" s="4" t="str">
        <f>IF(ISNUMBER(Table13[[#This Row],[Claim_Date2]]),"",Table13[[#This Row],[Claim_Date2]])</f>
        <v>Aug 22 2023</v>
      </c>
      <c r="G51" s="4" t="s">
        <v>164</v>
      </c>
      <c r="H51" s="4" t="str">
        <f>LEFT(Table13[[#This Row],[Values Col 1]],3)</f>
        <v>Aug</v>
      </c>
      <c r="I51" s="4" t="s">
        <v>1106</v>
      </c>
      <c r="J51" s="4" t="str">
        <f>MID(Table13[[#This Row],[Function Col]],5,2)</f>
        <v>22</v>
      </c>
      <c r="K51" s="4" t="s">
        <v>1122</v>
      </c>
      <c r="L51" s="4" t="str">
        <f>RIGHT(Table13[[#This Row],[Function Col]],4)</f>
        <v>2023</v>
      </c>
      <c r="M51" s="4" t="s">
        <v>1146</v>
      </c>
      <c r="N51" s="4" t="str">
        <f>IF(Table13[[#This Row],[Function Col5]]="","",_xlfn.CONCAT(Table13[[#This Row],[Day Col]],"/",Table13[[#This Row],[Month Col]],"/",Table13[[#This Row],[Year Col]]))</f>
        <v>22/Aug/2023</v>
      </c>
      <c r="O51" s="4" t="s">
        <v>1168</v>
      </c>
      <c r="P51" s="4" t="str">
        <f>IF(ISNUMBER(Table13[[#This Row],[Claim_Date2]]),Table13[[#This Row],[Claim_Date2]],Table13[[#This Row],[Function Col32]])</f>
        <v>22/Aug/2023</v>
      </c>
      <c r="Q51" s="4">
        <v>45160</v>
      </c>
      <c r="R51" s="1" t="s">
        <v>85</v>
      </c>
      <c r="S51" s="1" t="s">
        <v>53</v>
      </c>
      <c r="T51" s="1" t="s">
        <v>24</v>
      </c>
      <c r="U51" s="1"/>
      <c r="W51">
        <f>IF(Table1[[#This Row],[Claim_Amount]]&lt;0,0,Table1[[#This Row],[Claim_Amount]])</f>
        <v>0</v>
      </c>
      <c r="X51" t="str">
        <f>IF(Table1[[#This Row],[Column1]]=0,"",Table1[[#This Row],[Column1]])</f>
        <v/>
      </c>
      <c r="Y51" t="s">
        <v>1098</v>
      </c>
      <c r="Z51">
        <v>2481</v>
      </c>
      <c r="AA51">
        <v>832</v>
      </c>
      <c r="AB51" s="1" t="s">
        <v>25</v>
      </c>
      <c r="AC51" s="1" t="s">
        <v>32</v>
      </c>
      <c r="AD51">
        <v>9</v>
      </c>
      <c r="AE51" s="3" t="s">
        <v>27</v>
      </c>
    </row>
    <row r="52" spans="1:31" ht="15.75" customHeight="1" x14ac:dyDescent="0.35">
      <c r="A52" s="1" t="s">
        <v>89</v>
      </c>
      <c r="B52" t="s">
        <v>1083</v>
      </c>
      <c r="C52" t="s">
        <v>1084</v>
      </c>
      <c r="D52" s="1" t="s">
        <v>165</v>
      </c>
      <c r="E52" s="5">
        <v>45155</v>
      </c>
      <c r="F52" s="4" t="str">
        <f>IF(ISNUMBER(Table13[[#This Row],[Claim_Date2]]),"",Table13[[#This Row],[Claim_Date2]])</f>
        <v/>
      </c>
      <c r="G52" s="4" t="s">
        <v>1098</v>
      </c>
      <c r="H52" s="4" t="str">
        <f>LEFT(Table13[[#This Row],[Values Col 1]],3)</f>
        <v/>
      </c>
      <c r="I52" s="4" t="s">
        <v>1098</v>
      </c>
      <c r="J52" s="4" t="str">
        <f>MID(Table13[[#This Row],[Function Col]],5,2)</f>
        <v/>
      </c>
      <c r="K52" s="4" t="s">
        <v>1098</v>
      </c>
      <c r="L52" s="4" t="str">
        <f>RIGHT(Table13[[#This Row],[Function Col]],4)</f>
        <v/>
      </c>
      <c r="M52" s="4" t="s">
        <v>1098</v>
      </c>
      <c r="N52" s="4" t="str">
        <f>IF(Table13[[#This Row],[Function Col5]]="","",_xlfn.CONCAT(Table13[[#This Row],[Day Col]],"/",Table13[[#This Row],[Month Col]],"/",Table13[[#This Row],[Year Col]]))</f>
        <v/>
      </c>
      <c r="O52" s="4" t="s">
        <v>1098</v>
      </c>
      <c r="P52" s="4">
        <f>IF(ISNUMBER(Table13[[#This Row],[Claim_Date2]]),Table13[[#This Row],[Claim_Date2]],Table13[[#This Row],[Function Col32]])</f>
        <v>45155</v>
      </c>
      <c r="Q52" s="4">
        <v>45155</v>
      </c>
      <c r="R52" s="1" t="s">
        <v>92</v>
      </c>
      <c r="S52" s="1" t="s">
        <v>31</v>
      </c>
      <c r="T52" s="1" t="s">
        <v>54</v>
      </c>
      <c r="U52" s="1"/>
      <c r="V52" s="1">
        <v>-106</v>
      </c>
      <c r="W52" s="1">
        <f>IF(Table1[[#This Row],[Claim_Amount]]&lt;0,0,Table1[[#This Row],[Claim_Amount]])</f>
        <v>0</v>
      </c>
      <c r="X52" s="1" t="str">
        <f>IF(Table1[[#This Row],[Column1]]=0,"",Table1[[#This Row],[Column1]])</f>
        <v/>
      </c>
      <c r="Y52" s="1" t="s">
        <v>1098</v>
      </c>
      <c r="Z52" s="1">
        <v>2481</v>
      </c>
      <c r="AA52" s="1">
        <v>4667.62</v>
      </c>
      <c r="AB52" s="1" t="s">
        <v>17</v>
      </c>
      <c r="AC52" s="1" t="s">
        <v>57</v>
      </c>
      <c r="AD52" s="1">
        <v>24</v>
      </c>
      <c r="AE52" s="3" t="s">
        <v>37</v>
      </c>
    </row>
    <row r="53" spans="1:31" ht="15.75" customHeight="1" x14ac:dyDescent="0.35">
      <c r="A53" s="1" t="s">
        <v>166</v>
      </c>
      <c r="B53" t="s">
        <v>1083</v>
      </c>
      <c r="C53" t="s">
        <v>1084</v>
      </c>
      <c r="D53" s="1" t="s">
        <v>167</v>
      </c>
      <c r="E53" s="5">
        <v>45124</v>
      </c>
      <c r="F53" s="4" t="str">
        <f>IF(ISNUMBER(Table13[[#This Row],[Claim_Date2]]),"",Table13[[#This Row],[Claim_Date2]])</f>
        <v/>
      </c>
      <c r="G53" s="4" t="s">
        <v>1098</v>
      </c>
      <c r="H53" s="4" t="str">
        <f>LEFT(Table13[[#This Row],[Values Col 1]],3)</f>
        <v/>
      </c>
      <c r="I53" s="4" t="s">
        <v>1098</v>
      </c>
      <c r="J53" s="4" t="str">
        <f>MID(Table13[[#This Row],[Function Col]],5,2)</f>
        <v/>
      </c>
      <c r="K53" s="4" t="s">
        <v>1098</v>
      </c>
      <c r="L53" s="4" t="str">
        <f>RIGHT(Table13[[#This Row],[Function Col]],4)</f>
        <v/>
      </c>
      <c r="M53" s="4" t="s">
        <v>1098</v>
      </c>
      <c r="N53" s="4" t="str">
        <f>IF(Table13[[#This Row],[Function Col5]]="","",_xlfn.CONCAT(Table13[[#This Row],[Day Col]],"/",Table13[[#This Row],[Month Col]],"/",Table13[[#This Row],[Year Col]]))</f>
        <v/>
      </c>
      <c r="O53" s="4" t="s">
        <v>1098</v>
      </c>
      <c r="P53" s="4">
        <f>IF(ISNUMBER(Table13[[#This Row],[Claim_Date2]]),Table13[[#This Row],[Claim_Date2]],Table13[[#This Row],[Function Col32]])</f>
        <v>45124</v>
      </c>
      <c r="Q53" s="4">
        <v>45124</v>
      </c>
      <c r="R53" s="1" t="s">
        <v>77</v>
      </c>
      <c r="S53" s="1" t="s">
        <v>23</v>
      </c>
      <c r="T53" s="1" t="s">
        <v>24</v>
      </c>
      <c r="U53" s="1"/>
      <c r="W53">
        <f>IF(Table1[[#This Row],[Claim_Amount]]&lt;0,0,Table1[[#This Row],[Claim_Amount]])</f>
        <v>0</v>
      </c>
      <c r="X53" t="str">
        <f>IF(Table1[[#This Row],[Column1]]=0,"",Table1[[#This Row],[Column1]])</f>
        <v/>
      </c>
      <c r="Y53" t="s">
        <v>1098</v>
      </c>
      <c r="Z53">
        <v>2481</v>
      </c>
      <c r="AA53">
        <v>832</v>
      </c>
      <c r="AB53" s="1" t="s">
        <v>25</v>
      </c>
      <c r="AC53" s="1" t="s">
        <v>57</v>
      </c>
      <c r="AD53">
        <v>9</v>
      </c>
      <c r="AE53" s="3" t="s">
        <v>19</v>
      </c>
    </row>
    <row r="54" spans="1:31" ht="15.75" customHeight="1" x14ac:dyDescent="0.35">
      <c r="A54" s="1" t="s">
        <v>168</v>
      </c>
      <c r="B54" t="s">
        <v>1083</v>
      </c>
      <c r="C54" s="1" t="s">
        <v>130</v>
      </c>
      <c r="D54" s="1" t="s">
        <v>169</v>
      </c>
      <c r="E54" s="5">
        <v>45167</v>
      </c>
      <c r="F54" s="4" t="str">
        <f>IF(ISNUMBER(Table13[[#This Row],[Claim_Date2]]),"",Table13[[#This Row],[Claim_Date2]])</f>
        <v/>
      </c>
      <c r="G54" s="4" t="s">
        <v>1098</v>
      </c>
      <c r="H54" s="4" t="str">
        <f>LEFT(Table13[[#This Row],[Values Col 1]],3)</f>
        <v/>
      </c>
      <c r="I54" s="4" t="s">
        <v>1098</v>
      </c>
      <c r="J54" s="4" t="str">
        <f>MID(Table13[[#This Row],[Function Col]],5,2)</f>
        <v/>
      </c>
      <c r="K54" s="4" t="s">
        <v>1098</v>
      </c>
      <c r="L54" s="4" t="str">
        <f>RIGHT(Table13[[#This Row],[Function Col]],4)</f>
        <v/>
      </c>
      <c r="M54" s="4" t="s">
        <v>1098</v>
      </c>
      <c r="N54" s="4" t="str">
        <f>IF(Table13[[#This Row],[Function Col5]]="","",_xlfn.CONCAT(Table13[[#This Row],[Day Col]],"/",Table13[[#This Row],[Month Col]],"/",Table13[[#This Row],[Year Col]]))</f>
        <v/>
      </c>
      <c r="O54" s="4" t="s">
        <v>1098</v>
      </c>
      <c r="P54" s="4">
        <f>IF(ISNUMBER(Table13[[#This Row],[Claim_Date2]]),Table13[[#This Row],[Claim_Date2]],Table13[[#This Row],[Function Col32]])</f>
        <v>45167</v>
      </c>
      <c r="Q54" s="4">
        <v>45167</v>
      </c>
      <c r="R54" s="1" t="s">
        <v>30</v>
      </c>
      <c r="S54" t="s">
        <v>1085</v>
      </c>
      <c r="T54" s="1" t="s">
        <v>48</v>
      </c>
      <c r="U54" s="1"/>
      <c r="V54" s="1">
        <v>-94</v>
      </c>
      <c r="W54" s="1">
        <f>IF(Table1[[#This Row],[Claim_Amount]]&lt;0,0,Table1[[#This Row],[Claim_Amount]])</f>
        <v>0</v>
      </c>
      <c r="X54" s="1" t="str">
        <f>IF(Table1[[#This Row],[Column1]]=0,"",Table1[[#This Row],[Column1]])</f>
        <v/>
      </c>
      <c r="Y54" s="1" t="s">
        <v>1098</v>
      </c>
      <c r="Z54" s="1">
        <v>2481</v>
      </c>
      <c r="AA54">
        <v>832</v>
      </c>
      <c r="AB54" s="1" t="s">
        <v>25</v>
      </c>
      <c r="AC54" s="1" t="s">
        <v>57</v>
      </c>
      <c r="AD54">
        <v>9</v>
      </c>
      <c r="AE54" s="3" t="s">
        <v>19</v>
      </c>
    </row>
    <row r="55" spans="1:31" ht="15.75" customHeight="1" x14ac:dyDescent="0.35">
      <c r="A55" s="1" t="s">
        <v>170</v>
      </c>
      <c r="B55" t="s">
        <v>1083</v>
      </c>
      <c r="C55" s="1" t="s">
        <v>112</v>
      </c>
      <c r="D55" s="1" t="s">
        <v>171</v>
      </c>
      <c r="E55" s="5" t="s">
        <v>171</v>
      </c>
      <c r="F55" s="4" t="str">
        <f>IF(ISNUMBER(Table13[[#This Row],[Claim_Date2]]),"",Table13[[#This Row],[Claim_Date2]])</f>
        <v>Feb 20 2023</v>
      </c>
      <c r="G55" s="4" t="s">
        <v>171</v>
      </c>
      <c r="H55" s="4" t="str">
        <f>LEFT(Table13[[#This Row],[Values Col 1]],3)</f>
        <v>Feb</v>
      </c>
      <c r="I55" s="4" t="s">
        <v>1109</v>
      </c>
      <c r="J55" s="4" t="str">
        <f>MID(Table13[[#This Row],[Function Col]],5,2)</f>
        <v>20</v>
      </c>
      <c r="K55" s="4" t="s">
        <v>1118</v>
      </c>
      <c r="L55" s="4" t="str">
        <f>RIGHT(Table13[[#This Row],[Function Col]],4)</f>
        <v>2023</v>
      </c>
      <c r="M55" s="4" t="s">
        <v>1146</v>
      </c>
      <c r="N55" s="4" t="str">
        <f>IF(Table13[[#This Row],[Function Col5]]="","",_xlfn.CONCAT(Table13[[#This Row],[Day Col]],"/",Table13[[#This Row],[Month Col]],"/",Table13[[#This Row],[Year Col]]))</f>
        <v>20/Feb/2023</v>
      </c>
      <c r="O55" s="4" t="s">
        <v>1169</v>
      </c>
      <c r="P55" s="4" t="str">
        <f>IF(ISNUMBER(Table13[[#This Row],[Claim_Date2]]),Table13[[#This Row],[Claim_Date2]],Table13[[#This Row],[Function Col32]])</f>
        <v>20/Feb/2023</v>
      </c>
      <c r="Q55" s="4">
        <v>44977</v>
      </c>
      <c r="R55" s="1" t="s">
        <v>16</v>
      </c>
      <c r="S55" s="1" t="s">
        <v>23</v>
      </c>
      <c r="T55" s="1" t="s">
        <v>48</v>
      </c>
      <c r="U55" s="1"/>
      <c r="V55" s="1">
        <v>873.51</v>
      </c>
      <c r="W55" s="1">
        <f>IF(Table1[[#This Row],[Claim_Amount]]&lt;0,0,Table1[[#This Row],[Claim_Amount]])</f>
        <v>873.51</v>
      </c>
      <c r="X55" s="1">
        <f>IF(Table1[[#This Row],[Column1]]=0,"",Table1[[#This Row],[Column1]])</f>
        <v>873.51</v>
      </c>
      <c r="Y55" s="1">
        <v>873.51</v>
      </c>
      <c r="Z55" s="1">
        <v>873.51</v>
      </c>
      <c r="AA55" s="1">
        <v>277.66000000000003</v>
      </c>
      <c r="AB55" s="1" t="s">
        <v>42</v>
      </c>
      <c r="AC55" s="1" t="s">
        <v>32</v>
      </c>
      <c r="AD55">
        <v>9</v>
      </c>
      <c r="AE55" s="3" t="s">
        <v>65</v>
      </c>
    </row>
    <row r="56" spans="1:31" ht="15.75" customHeight="1" x14ac:dyDescent="0.35">
      <c r="A56" s="1" t="s">
        <v>170</v>
      </c>
      <c r="B56" t="s">
        <v>1083</v>
      </c>
      <c r="C56" s="1" t="s">
        <v>90</v>
      </c>
      <c r="D56" s="1" t="s">
        <v>172</v>
      </c>
      <c r="E56" s="5" t="s">
        <v>172</v>
      </c>
      <c r="F56" s="4" t="str">
        <f>IF(ISNUMBER(Table13[[#This Row],[Claim_Date2]]),"",Table13[[#This Row],[Claim_Date2]])</f>
        <v>Feb 10 2023</v>
      </c>
      <c r="G56" s="4" t="s">
        <v>172</v>
      </c>
      <c r="H56" s="4" t="str">
        <f>LEFT(Table13[[#This Row],[Values Col 1]],3)</f>
        <v>Feb</v>
      </c>
      <c r="I56" s="4" t="s">
        <v>1109</v>
      </c>
      <c r="J56" s="4" t="str">
        <f>MID(Table13[[#This Row],[Function Col]],5,2)</f>
        <v>10</v>
      </c>
      <c r="K56" s="4" t="s">
        <v>1128</v>
      </c>
      <c r="L56" s="4" t="str">
        <f>RIGHT(Table13[[#This Row],[Function Col]],4)</f>
        <v>2023</v>
      </c>
      <c r="M56" s="4" t="s">
        <v>1146</v>
      </c>
      <c r="N56" s="4" t="str">
        <f>IF(Table13[[#This Row],[Function Col5]]="","",_xlfn.CONCAT(Table13[[#This Row],[Day Col]],"/",Table13[[#This Row],[Month Col]],"/",Table13[[#This Row],[Year Col]]))</f>
        <v>10/Feb/2023</v>
      </c>
      <c r="O56" s="4" t="s">
        <v>1170</v>
      </c>
      <c r="P56" s="4" t="str">
        <f>IF(ISNUMBER(Table13[[#This Row],[Claim_Date2]]),Table13[[#This Row],[Claim_Date2]],Table13[[#This Row],[Function Col32]])</f>
        <v>10/Feb/2023</v>
      </c>
      <c r="Q56" s="4">
        <v>44967</v>
      </c>
      <c r="R56" s="1" t="s">
        <v>85</v>
      </c>
      <c r="S56" s="1" t="s">
        <v>53</v>
      </c>
      <c r="T56" s="1" t="s">
        <v>54</v>
      </c>
      <c r="U56" s="1"/>
      <c r="W56">
        <f>IF(Table1[[#This Row],[Claim_Amount]]&lt;0,0,Table1[[#This Row],[Claim_Amount]])</f>
        <v>0</v>
      </c>
      <c r="X56" t="str">
        <f>IF(Table1[[#This Row],[Column1]]=0,"",Table1[[#This Row],[Column1]])</f>
        <v/>
      </c>
      <c r="Y56" t="s">
        <v>1098</v>
      </c>
      <c r="Z56">
        <v>2481</v>
      </c>
      <c r="AA56">
        <v>832</v>
      </c>
      <c r="AB56" s="1" t="s">
        <v>42</v>
      </c>
      <c r="AC56" s="1" t="s">
        <v>1093</v>
      </c>
      <c r="AD56">
        <v>9</v>
      </c>
      <c r="AE56" s="3" t="s">
        <v>19</v>
      </c>
    </row>
    <row r="57" spans="1:31" ht="15.75" customHeight="1" x14ac:dyDescent="0.35">
      <c r="A57" s="1" t="s">
        <v>173</v>
      </c>
      <c r="B57" t="s">
        <v>1083</v>
      </c>
      <c r="C57" s="1" t="s">
        <v>174</v>
      </c>
      <c r="D57" s="1" t="s">
        <v>175</v>
      </c>
      <c r="E57" s="5" t="s">
        <v>175</v>
      </c>
      <c r="F57" s="4" t="str">
        <f>IF(ISNUMBER(Table13[[#This Row],[Claim_Date2]]),"",Table13[[#This Row],[Claim_Date2]])</f>
        <v>Jun 26 2023</v>
      </c>
      <c r="G57" s="4" t="s">
        <v>175</v>
      </c>
      <c r="H57" s="4" t="str">
        <f>LEFT(Table13[[#This Row],[Values Col 1]],3)</f>
        <v>Jun</v>
      </c>
      <c r="I57" s="4" t="s">
        <v>1108</v>
      </c>
      <c r="J57" s="4" t="str">
        <f>MID(Table13[[#This Row],[Function Col]],5,2)</f>
        <v>26</v>
      </c>
      <c r="K57" s="4" t="s">
        <v>1117</v>
      </c>
      <c r="L57" s="4" t="str">
        <f>RIGHT(Table13[[#This Row],[Function Col]],4)</f>
        <v>2023</v>
      </c>
      <c r="M57" s="4" t="s">
        <v>1146</v>
      </c>
      <c r="N57" s="4" t="str">
        <f>IF(Table13[[#This Row],[Function Col5]]="","",_xlfn.CONCAT(Table13[[#This Row],[Day Col]],"/",Table13[[#This Row],[Month Col]],"/",Table13[[#This Row],[Year Col]]))</f>
        <v>26/Jun/2023</v>
      </c>
      <c r="O57" s="4" t="s">
        <v>1171</v>
      </c>
      <c r="P57" s="4" t="str">
        <f>IF(ISNUMBER(Table13[[#This Row],[Claim_Date2]]),Table13[[#This Row],[Claim_Date2]],Table13[[#This Row],[Function Col32]])</f>
        <v>26/Jun/2023</v>
      </c>
      <c r="Q57" s="4">
        <v>45103</v>
      </c>
      <c r="R57" s="1" t="s">
        <v>92</v>
      </c>
      <c r="S57" t="s">
        <v>1085</v>
      </c>
      <c r="T57" s="1" t="s">
        <v>48</v>
      </c>
      <c r="U57" s="1"/>
      <c r="W57">
        <f>IF(Table1[[#This Row],[Claim_Amount]]&lt;0,0,Table1[[#This Row],[Claim_Amount]])</f>
        <v>0</v>
      </c>
      <c r="X57" t="str">
        <f>IF(Table1[[#This Row],[Column1]]=0,"",Table1[[#This Row],[Column1]])</f>
        <v/>
      </c>
      <c r="Y57" t="s">
        <v>1098</v>
      </c>
      <c r="Z57">
        <v>2481</v>
      </c>
      <c r="AA57">
        <v>832</v>
      </c>
      <c r="AB57" s="1" t="s">
        <v>25</v>
      </c>
      <c r="AC57" s="1" t="s">
        <v>26</v>
      </c>
      <c r="AD57">
        <v>9</v>
      </c>
      <c r="AE57" s="3" t="s">
        <v>1097</v>
      </c>
    </row>
    <row r="58" spans="1:31" ht="15.75" customHeight="1" x14ac:dyDescent="0.35">
      <c r="A58" s="1" t="s">
        <v>28</v>
      </c>
      <c r="B58" t="s">
        <v>1083</v>
      </c>
      <c r="C58" t="s">
        <v>1084</v>
      </c>
      <c r="D58" s="1" t="s">
        <v>176</v>
      </c>
      <c r="E58" s="5">
        <v>45264</v>
      </c>
      <c r="F58" s="4" t="str">
        <f>IF(ISNUMBER(Table13[[#This Row],[Claim_Date2]]),"",Table13[[#This Row],[Claim_Date2]])</f>
        <v/>
      </c>
      <c r="G58" s="4" t="s">
        <v>1098</v>
      </c>
      <c r="H58" s="4" t="str">
        <f>LEFT(Table13[[#This Row],[Values Col 1]],3)</f>
        <v/>
      </c>
      <c r="I58" s="4" t="s">
        <v>1098</v>
      </c>
      <c r="J58" s="4" t="str">
        <f>MID(Table13[[#This Row],[Function Col]],5,2)</f>
        <v/>
      </c>
      <c r="K58" s="4" t="s">
        <v>1098</v>
      </c>
      <c r="L58" s="4" t="str">
        <f>RIGHT(Table13[[#This Row],[Function Col]],4)</f>
        <v/>
      </c>
      <c r="M58" s="4" t="s">
        <v>1098</v>
      </c>
      <c r="N58" s="4" t="str">
        <f>IF(Table13[[#This Row],[Function Col5]]="","",_xlfn.CONCAT(Table13[[#This Row],[Day Col]],"/",Table13[[#This Row],[Month Col]],"/",Table13[[#This Row],[Year Col]]))</f>
        <v/>
      </c>
      <c r="O58" s="4" t="s">
        <v>1098</v>
      </c>
      <c r="P58" s="4">
        <f>IF(ISNUMBER(Table13[[#This Row],[Claim_Date2]]),Table13[[#This Row],[Claim_Date2]],Table13[[#This Row],[Function Col32]])</f>
        <v>45264</v>
      </c>
      <c r="Q58" s="4">
        <v>45264</v>
      </c>
      <c r="R58" s="1" t="s">
        <v>16</v>
      </c>
      <c r="S58" s="1" t="s">
        <v>47</v>
      </c>
      <c r="T58" t="s">
        <v>1086</v>
      </c>
      <c r="V58" s="1">
        <v>-22</v>
      </c>
      <c r="W58" s="1">
        <f>IF(Table1[[#This Row],[Claim_Amount]]&lt;0,0,Table1[[#This Row],[Claim_Amount]])</f>
        <v>0</v>
      </c>
      <c r="X58" s="1" t="str">
        <f>IF(Table1[[#This Row],[Column1]]=0,"",Table1[[#This Row],[Column1]])</f>
        <v/>
      </c>
      <c r="Y58" s="1" t="s">
        <v>1098</v>
      </c>
      <c r="Z58" s="1">
        <v>2481</v>
      </c>
      <c r="AA58">
        <v>832</v>
      </c>
      <c r="AB58" s="1" t="s">
        <v>17</v>
      </c>
      <c r="AC58" s="1" t="s">
        <v>57</v>
      </c>
      <c r="AD58">
        <v>9</v>
      </c>
      <c r="AE58" s="3" t="s">
        <v>65</v>
      </c>
    </row>
    <row r="59" spans="1:31" ht="15.75" customHeight="1" x14ac:dyDescent="0.35">
      <c r="A59" s="1" t="s">
        <v>13</v>
      </c>
      <c r="B59" t="s">
        <v>1083</v>
      </c>
      <c r="C59" s="1" t="s">
        <v>177</v>
      </c>
      <c r="D59" s="1" t="s">
        <v>178</v>
      </c>
      <c r="E59" s="5" t="s">
        <v>178</v>
      </c>
      <c r="F59" s="4" t="str">
        <f>IF(ISNUMBER(Table13[[#This Row],[Claim_Date2]]),"",Table13[[#This Row],[Claim_Date2]])</f>
        <v>Nov 18 2023</v>
      </c>
      <c r="G59" s="4" t="s">
        <v>178</v>
      </c>
      <c r="H59" s="4" t="str">
        <f>LEFT(Table13[[#This Row],[Values Col 1]],3)</f>
        <v>Nov</v>
      </c>
      <c r="I59" s="4" t="s">
        <v>1105</v>
      </c>
      <c r="J59" s="4" t="str">
        <f>MID(Table13[[#This Row],[Function Col]],5,2)</f>
        <v>18</v>
      </c>
      <c r="K59" s="4" t="s">
        <v>1129</v>
      </c>
      <c r="L59" s="4" t="str">
        <f>RIGHT(Table13[[#This Row],[Function Col]],4)</f>
        <v>2023</v>
      </c>
      <c r="M59" s="4" t="s">
        <v>1146</v>
      </c>
      <c r="N59" s="4" t="str">
        <f>IF(Table13[[#This Row],[Function Col5]]="","",_xlfn.CONCAT(Table13[[#This Row],[Day Col]],"/",Table13[[#This Row],[Month Col]],"/",Table13[[#This Row],[Year Col]]))</f>
        <v>18/Nov/2023</v>
      </c>
      <c r="O59" s="4" t="s">
        <v>1172</v>
      </c>
      <c r="P59" s="4" t="str">
        <f>IF(ISNUMBER(Table13[[#This Row],[Claim_Date2]]),Table13[[#This Row],[Claim_Date2]],Table13[[#This Row],[Function Col32]])</f>
        <v>18/Nov/2023</v>
      </c>
      <c r="Q59" s="4">
        <v>45248</v>
      </c>
      <c r="R59" s="1" t="s">
        <v>16</v>
      </c>
      <c r="S59" s="1" t="s">
        <v>31</v>
      </c>
      <c r="T59" s="1" t="s">
        <v>48</v>
      </c>
      <c r="U59" s="1"/>
      <c r="W59">
        <f>IF(Table1[[#This Row],[Claim_Amount]]&lt;0,0,Table1[[#This Row],[Claim_Amount]])</f>
        <v>0</v>
      </c>
      <c r="X59" t="str">
        <f>IF(Table1[[#This Row],[Column1]]=0,"",Table1[[#This Row],[Column1]])</f>
        <v/>
      </c>
      <c r="Y59" t="s">
        <v>1098</v>
      </c>
      <c r="Z59">
        <v>2481</v>
      </c>
      <c r="AA59">
        <v>832</v>
      </c>
      <c r="AB59" s="1" t="s">
        <v>42</v>
      </c>
      <c r="AC59" s="1" t="s">
        <v>1093</v>
      </c>
      <c r="AD59" s="1">
        <v>11</v>
      </c>
      <c r="AE59" s="3" t="s">
        <v>65</v>
      </c>
    </row>
    <row r="60" spans="1:31" ht="15.75" customHeight="1" x14ac:dyDescent="0.35">
      <c r="A60" s="1" t="s">
        <v>179</v>
      </c>
      <c r="B60" t="s">
        <v>1083</v>
      </c>
      <c r="C60" t="s">
        <v>1084</v>
      </c>
      <c r="D60" s="1" t="s">
        <v>180</v>
      </c>
      <c r="E60" s="5">
        <v>45058</v>
      </c>
      <c r="F60" s="4" t="str">
        <f>IF(ISNUMBER(Table13[[#This Row],[Claim_Date2]]),"",Table13[[#This Row],[Claim_Date2]])</f>
        <v/>
      </c>
      <c r="G60" s="4" t="s">
        <v>1098</v>
      </c>
      <c r="H60" s="4" t="str">
        <f>LEFT(Table13[[#This Row],[Values Col 1]],3)</f>
        <v/>
      </c>
      <c r="I60" s="4" t="s">
        <v>1098</v>
      </c>
      <c r="J60" s="4" t="str">
        <f>MID(Table13[[#This Row],[Function Col]],5,2)</f>
        <v/>
      </c>
      <c r="K60" s="4" t="s">
        <v>1098</v>
      </c>
      <c r="L60" s="4" t="str">
        <f>RIGHT(Table13[[#This Row],[Function Col]],4)</f>
        <v/>
      </c>
      <c r="M60" s="4" t="s">
        <v>1098</v>
      </c>
      <c r="N60" s="4" t="str">
        <f>IF(Table13[[#This Row],[Function Col5]]="","",_xlfn.CONCAT(Table13[[#This Row],[Day Col]],"/",Table13[[#This Row],[Month Col]],"/",Table13[[#This Row],[Year Col]]))</f>
        <v/>
      </c>
      <c r="O60" s="4" t="s">
        <v>1098</v>
      </c>
      <c r="P60" s="4">
        <f>IF(ISNUMBER(Table13[[#This Row],[Claim_Date2]]),Table13[[#This Row],[Claim_Date2]],Table13[[#This Row],[Function Col32]])</f>
        <v>45058</v>
      </c>
      <c r="Q60" s="4">
        <v>45058</v>
      </c>
      <c r="R60" s="1" t="s">
        <v>16</v>
      </c>
      <c r="S60" s="1" t="s">
        <v>31</v>
      </c>
      <c r="T60" s="1" t="s">
        <v>61</v>
      </c>
      <c r="U60" s="1"/>
      <c r="W60">
        <f>IF(Table1[[#This Row],[Claim_Amount]]&lt;0,0,Table1[[#This Row],[Claim_Amount]])</f>
        <v>0</v>
      </c>
      <c r="X60" t="str">
        <f>IF(Table1[[#This Row],[Column1]]=0,"",Table1[[#This Row],[Column1]])</f>
        <v/>
      </c>
      <c r="Y60" t="s">
        <v>1098</v>
      </c>
      <c r="Z60">
        <v>2481</v>
      </c>
      <c r="AA60" s="1">
        <v>3783.05</v>
      </c>
      <c r="AB60" s="1" t="s">
        <v>25</v>
      </c>
      <c r="AC60" s="1" t="s">
        <v>57</v>
      </c>
      <c r="AD60" s="1">
        <v>23</v>
      </c>
      <c r="AE60" s="3" t="s">
        <v>37</v>
      </c>
    </row>
    <row r="61" spans="1:31" ht="15.75" customHeight="1" x14ac:dyDescent="0.35">
      <c r="A61" s="1" t="s">
        <v>89</v>
      </c>
      <c r="B61" t="s">
        <v>1083</v>
      </c>
      <c r="C61" t="s">
        <v>1084</v>
      </c>
      <c r="D61" s="1" t="s">
        <v>181</v>
      </c>
      <c r="E61" s="5">
        <v>45271</v>
      </c>
      <c r="F61" s="4" t="str">
        <f>IF(ISNUMBER(Table13[[#This Row],[Claim_Date2]]),"",Table13[[#This Row],[Claim_Date2]])</f>
        <v/>
      </c>
      <c r="G61" s="4" t="s">
        <v>1098</v>
      </c>
      <c r="H61" s="4" t="str">
        <f>LEFT(Table13[[#This Row],[Values Col 1]],3)</f>
        <v/>
      </c>
      <c r="I61" s="4" t="s">
        <v>1098</v>
      </c>
      <c r="J61" s="4" t="str">
        <f>MID(Table13[[#This Row],[Function Col]],5,2)</f>
        <v/>
      </c>
      <c r="K61" s="4" t="s">
        <v>1098</v>
      </c>
      <c r="L61" s="4" t="str">
        <f>RIGHT(Table13[[#This Row],[Function Col]],4)</f>
        <v/>
      </c>
      <c r="M61" s="4" t="s">
        <v>1098</v>
      </c>
      <c r="N61" s="4" t="str">
        <f>IF(Table13[[#This Row],[Function Col5]]="","",_xlfn.CONCAT(Table13[[#This Row],[Day Col]],"/",Table13[[#This Row],[Month Col]],"/",Table13[[#This Row],[Year Col]]))</f>
        <v/>
      </c>
      <c r="O61" s="4" t="s">
        <v>1098</v>
      </c>
      <c r="P61" s="4">
        <f>IF(ISNUMBER(Table13[[#This Row],[Claim_Date2]]),Table13[[#This Row],[Claim_Date2]],Table13[[#This Row],[Function Col32]])</f>
        <v>45271</v>
      </c>
      <c r="Q61" s="4">
        <v>45271</v>
      </c>
      <c r="R61" s="1" t="s">
        <v>30</v>
      </c>
      <c r="S61" s="1" t="s">
        <v>53</v>
      </c>
      <c r="T61" t="s">
        <v>1086</v>
      </c>
      <c r="W61">
        <f>IF(Table1[[#This Row],[Claim_Amount]]&lt;0,0,Table1[[#This Row],[Claim_Amount]])</f>
        <v>0</v>
      </c>
      <c r="X61" t="str">
        <f>IF(Table1[[#This Row],[Column1]]=0,"",Table1[[#This Row],[Column1]])</f>
        <v/>
      </c>
      <c r="Y61" t="s">
        <v>1098</v>
      </c>
      <c r="Z61">
        <v>2481</v>
      </c>
      <c r="AA61">
        <v>832</v>
      </c>
      <c r="AB61" s="1" t="s">
        <v>1091</v>
      </c>
      <c r="AC61" s="1" t="s">
        <v>32</v>
      </c>
      <c r="AD61">
        <v>9</v>
      </c>
      <c r="AE61" s="3" t="s">
        <v>65</v>
      </c>
    </row>
    <row r="62" spans="1:31" ht="15.75" customHeight="1" x14ac:dyDescent="0.35">
      <c r="A62" s="1" t="s">
        <v>43</v>
      </c>
      <c r="B62" t="s">
        <v>1083</v>
      </c>
      <c r="C62" t="s">
        <v>1084</v>
      </c>
      <c r="D62" s="1" t="s">
        <v>182</v>
      </c>
      <c r="E62" s="5">
        <v>45259</v>
      </c>
      <c r="F62" s="4" t="str">
        <f>IF(ISNUMBER(Table13[[#This Row],[Claim_Date2]]),"",Table13[[#This Row],[Claim_Date2]])</f>
        <v/>
      </c>
      <c r="G62" s="4" t="s">
        <v>1098</v>
      </c>
      <c r="H62" s="4" t="str">
        <f>LEFT(Table13[[#This Row],[Values Col 1]],3)</f>
        <v/>
      </c>
      <c r="I62" s="4" t="s">
        <v>1098</v>
      </c>
      <c r="J62" s="4" t="str">
        <f>MID(Table13[[#This Row],[Function Col]],5,2)</f>
        <v/>
      </c>
      <c r="K62" s="4" t="s">
        <v>1098</v>
      </c>
      <c r="L62" s="4" t="str">
        <f>RIGHT(Table13[[#This Row],[Function Col]],4)</f>
        <v/>
      </c>
      <c r="M62" s="4" t="s">
        <v>1098</v>
      </c>
      <c r="N62" s="4" t="str">
        <f>IF(Table13[[#This Row],[Function Col5]]="","",_xlfn.CONCAT(Table13[[#This Row],[Day Col]],"/",Table13[[#This Row],[Month Col]],"/",Table13[[#This Row],[Year Col]]))</f>
        <v/>
      </c>
      <c r="O62" s="4" t="s">
        <v>1098</v>
      </c>
      <c r="P62" s="4">
        <f>IF(ISNUMBER(Table13[[#This Row],[Claim_Date2]]),Table13[[#This Row],[Claim_Date2]],Table13[[#This Row],[Function Col32]])</f>
        <v>45259</v>
      </c>
      <c r="Q62" s="4">
        <v>45259</v>
      </c>
      <c r="R62" s="1" t="s">
        <v>16</v>
      </c>
      <c r="S62" s="1" t="s">
        <v>23</v>
      </c>
      <c r="T62" s="1" t="s">
        <v>41</v>
      </c>
      <c r="U62" s="1"/>
      <c r="V62" s="1">
        <v>4979.84</v>
      </c>
      <c r="W62" s="1">
        <f>IF(Table1[[#This Row],[Claim_Amount]]&lt;0,0,Table1[[#This Row],[Claim_Amount]])</f>
        <v>4979.84</v>
      </c>
      <c r="X62" s="1">
        <f>IF(Table1[[#This Row],[Column1]]=0,"",Table1[[#This Row],[Column1]])</f>
        <v>4979.84</v>
      </c>
      <c r="Y62" s="1">
        <v>4979.84</v>
      </c>
      <c r="Z62" s="1">
        <v>4979.84</v>
      </c>
      <c r="AA62">
        <v>832</v>
      </c>
      <c r="AB62" s="1" t="s">
        <v>17</v>
      </c>
      <c r="AC62" s="1" t="s">
        <v>1093</v>
      </c>
      <c r="AD62">
        <v>9</v>
      </c>
      <c r="AE62" s="3" t="s">
        <v>1097</v>
      </c>
    </row>
    <row r="63" spans="1:31" ht="15.75" customHeight="1" x14ac:dyDescent="0.35">
      <c r="A63" s="1" t="s">
        <v>70</v>
      </c>
      <c r="B63" t="s">
        <v>1083</v>
      </c>
      <c r="C63" s="1" t="s">
        <v>183</v>
      </c>
      <c r="D63" s="1" t="s">
        <v>184</v>
      </c>
      <c r="E63" s="5">
        <v>45262</v>
      </c>
      <c r="F63" s="4" t="str">
        <f>IF(ISNUMBER(Table13[[#This Row],[Claim_Date2]]),"",Table13[[#This Row],[Claim_Date2]])</f>
        <v/>
      </c>
      <c r="G63" s="4" t="s">
        <v>1098</v>
      </c>
      <c r="H63" s="4" t="str">
        <f>LEFT(Table13[[#This Row],[Values Col 1]],3)</f>
        <v/>
      </c>
      <c r="I63" s="4" t="s">
        <v>1098</v>
      </c>
      <c r="J63" s="4" t="str">
        <f>MID(Table13[[#This Row],[Function Col]],5,2)</f>
        <v/>
      </c>
      <c r="K63" s="4" t="s">
        <v>1098</v>
      </c>
      <c r="L63" s="4" t="str">
        <f>RIGHT(Table13[[#This Row],[Function Col]],4)</f>
        <v/>
      </c>
      <c r="M63" s="4" t="s">
        <v>1098</v>
      </c>
      <c r="N63" s="4" t="str">
        <f>IF(Table13[[#This Row],[Function Col5]]="","",_xlfn.CONCAT(Table13[[#This Row],[Day Col]],"/",Table13[[#This Row],[Month Col]],"/",Table13[[#This Row],[Year Col]]))</f>
        <v/>
      </c>
      <c r="O63" s="4" t="s">
        <v>1098</v>
      </c>
      <c r="P63" s="4">
        <f>IF(ISNUMBER(Table13[[#This Row],[Claim_Date2]]),Table13[[#This Row],[Claim_Date2]],Table13[[#This Row],[Function Col32]])</f>
        <v>45262</v>
      </c>
      <c r="Q63" s="4">
        <v>45262</v>
      </c>
      <c r="R63" s="1" t="s">
        <v>30</v>
      </c>
      <c r="S63" s="1" t="s">
        <v>53</v>
      </c>
      <c r="T63" s="1" t="s">
        <v>41</v>
      </c>
      <c r="U63" s="1"/>
      <c r="W63">
        <f>IF(Table1[[#This Row],[Claim_Amount]]&lt;0,0,Table1[[#This Row],[Claim_Amount]])</f>
        <v>0</v>
      </c>
      <c r="X63" t="str">
        <f>IF(Table1[[#This Row],[Column1]]=0,"",Table1[[#This Row],[Column1]])</f>
        <v/>
      </c>
      <c r="Y63" t="s">
        <v>1098</v>
      </c>
      <c r="Z63">
        <v>2481</v>
      </c>
      <c r="AA63" s="1">
        <v>2244.75</v>
      </c>
      <c r="AB63" s="1" t="s">
        <v>42</v>
      </c>
      <c r="AC63" s="1" t="s">
        <v>26</v>
      </c>
      <c r="AD63">
        <v>9</v>
      </c>
      <c r="AE63" s="3" t="s">
        <v>1097</v>
      </c>
    </row>
    <row r="64" spans="1:31" ht="15.75" customHeight="1" x14ac:dyDescent="0.35">
      <c r="A64" s="1" t="s">
        <v>43</v>
      </c>
      <c r="B64" s="1" t="s">
        <v>185</v>
      </c>
      <c r="C64" t="s">
        <v>1084</v>
      </c>
      <c r="D64" s="1" t="s">
        <v>186</v>
      </c>
      <c r="E64" s="5">
        <v>45024</v>
      </c>
      <c r="F64" s="4" t="str">
        <f>IF(ISNUMBER(Table13[[#This Row],[Claim_Date2]]),"",Table13[[#This Row],[Claim_Date2]])</f>
        <v/>
      </c>
      <c r="G64" s="4" t="s">
        <v>1098</v>
      </c>
      <c r="H64" s="4" t="str">
        <f>LEFT(Table13[[#This Row],[Values Col 1]],3)</f>
        <v/>
      </c>
      <c r="I64" s="4" t="s">
        <v>1098</v>
      </c>
      <c r="J64" s="4" t="str">
        <f>MID(Table13[[#This Row],[Function Col]],5,2)</f>
        <v/>
      </c>
      <c r="K64" s="4" t="s">
        <v>1098</v>
      </c>
      <c r="L64" s="4" t="str">
        <f>RIGHT(Table13[[#This Row],[Function Col]],4)</f>
        <v/>
      </c>
      <c r="M64" s="4" t="s">
        <v>1098</v>
      </c>
      <c r="N64" s="4" t="str">
        <f>IF(Table13[[#This Row],[Function Col5]]="","",_xlfn.CONCAT(Table13[[#This Row],[Day Col]],"/",Table13[[#This Row],[Month Col]],"/",Table13[[#This Row],[Year Col]]))</f>
        <v/>
      </c>
      <c r="O64" s="4" t="s">
        <v>1098</v>
      </c>
      <c r="P64" s="4">
        <f>IF(ISNUMBER(Table13[[#This Row],[Claim_Date2]]),Table13[[#This Row],[Claim_Date2]],Table13[[#This Row],[Function Col32]])</f>
        <v>45024</v>
      </c>
      <c r="Q64" s="4">
        <v>45024</v>
      </c>
      <c r="R64" s="1" t="s">
        <v>16</v>
      </c>
      <c r="S64" s="1" t="s">
        <v>93</v>
      </c>
      <c r="T64" t="s">
        <v>1086</v>
      </c>
      <c r="V64" s="1">
        <v>3215.49</v>
      </c>
      <c r="W64" s="1">
        <f>IF(Table1[[#This Row],[Claim_Amount]]&lt;0,0,Table1[[#This Row],[Claim_Amount]])</f>
        <v>3215.49</v>
      </c>
      <c r="X64" s="1">
        <f>IF(Table1[[#This Row],[Column1]]=0,"",Table1[[#This Row],[Column1]])</f>
        <v>3215.49</v>
      </c>
      <c r="Y64" s="1">
        <v>3215.49</v>
      </c>
      <c r="Z64" s="1">
        <v>3215.49</v>
      </c>
      <c r="AA64" s="1">
        <v>3944.63</v>
      </c>
      <c r="AB64" s="1" t="s">
        <v>17</v>
      </c>
      <c r="AC64" s="1" t="s">
        <v>57</v>
      </c>
      <c r="AD64" s="1">
        <v>13</v>
      </c>
      <c r="AE64" s="3" t="s">
        <v>1097</v>
      </c>
    </row>
    <row r="65" spans="1:31" ht="15.75" customHeight="1" x14ac:dyDescent="0.35">
      <c r="A65" s="1" t="s">
        <v>187</v>
      </c>
      <c r="B65" s="1" t="s">
        <v>188</v>
      </c>
      <c r="C65" t="s">
        <v>1084</v>
      </c>
      <c r="D65" s="1" t="s">
        <v>189</v>
      </c>
      <c r="E65" s="5">
        <v>45232</v>
      </c>
      <c r="F65" s="4" t="str">
        <f>IF(ISNUMBER(Table13[[#This Row],[Claim_Date2]]),"",Table13[[#This Row],[Claim_Date2]])</f>
        <v/>
      </c>
      <c r="G65" s="4" t="s">
        <v>1098</v>
      </c>
      <c r="H65" s="4" t="str">
        <f>LEFT(Table13[[#This Row],[Values Col 1]],3)</f>
        <v/>
      </c>
      <c r="I65" s="4" t="s">
        <v>1098</v>
      </c>
      <c r="J65" s="4" t="str">
        <f>MID(Table13[[#This Row],[Function Col]],5,2)</f>
        <v/>
      </c>
      <c r="K65" s="4" t="s">
        <v>1098</v>
      </c>
      <c r="L65" s="4" t="str">
        <f>RIGHT(Table13[[#This Row],[Function Col]],4)</f>
        <v/>
      </c>
      <c r="M65" s="4" t="s">
        <v>1098</v>
      </c>
      <c r="N65" s="4" t="str">
        <f>IF(Table13[[#This Row],[Function Col5]]="","",_xlfn.CONCAT(Table13[[#This Row],[Day Col]],"/",Table13[[#This Row],[Month Col]],"/",Table13[[#This Row],[Year Col]]))</f>
        <v/>
      </c>
      <c r="O65" s="4" t="s">
        <v>1098</v>
      </c>
      <c r="P65" s="4">
        <f>IF(ISNUMBER(Table13[[#This Row],[Claim_Date2]]),Table13[[#This Row],[Claim_Date2]],Table13[[#This Row],[Function Col32]])</f>
        <v>45232</v>
      </c>
      <c r="Q65" s="4">
        <v>45232</v>
      </c>
      <c r="R65" s="1" t="s">
        <v>85</v>
      </c>
      <c r="S65" s="1" t="s">
        <v>93</v>
      </c>
      <c r="T65" s="1" t="s">
        <v>24</v>
      </c>
      <c r="U65" s="1"/>
      <c r="V65" s="1">
        <v>2724.07</v>
      </c>
      <c r="W65" s="1">
        <f>IF(Table1[[#This Row],[Claim_Amount]]&lt;0,0,Table1[[#This Row],[Claim_Amount]])</f>
        <v>2724.07</v>
      </c>
      <c r="X65" s="1">
        <f>IF(Table1[[#This Row],[Column1]]=0,"",Table1[[#This Row],[Column1]])</f>
        <v>2724.07</v>
      </c>
      <c r="Y65" s="1">
        <v>2724.07</v>
      </c>
      <c r="Z65" s="1">
        <v>2724.07</v>
      </c>
      <c r="AA65" s="1">
        <v>3322.24</v>
      </c>
      <c r="AB65" s="1" t="s">
        <v>17</v>
      </c>
      <c r="AC65" s="1" t="s">
        <v>26</v>
      </c>
      <c r="AD65" s="1">
        <v>22</v>
      </c>
      <c r="AE65" s="3" t="s">
        <v>1097</v>
      </c>
    </row>
    <row r="66" spans="1:31" ht="15.75" customHeight="1" x14ac:dyDescent="0.35">
      <c r="A66" s="1" t="s">
        <v>58</v>
      </c>
      <c r="B66" s="1" t="s">
        <v>190</v>
      </c>
      <c r="C66" s="1" t="s">
        <v>45</v>
      </c>
      <c r="D66" s="1" t="s">
        <v>191</v>
      </c>
      <c r="E66" s="5">
        <v>44991</v>
      </c>
      <c r="F66" s="4" t="str">
        <f>IF(ISNUMBER(Table13[[#This Row],[Claim_Date2]]),"",Table13[[#This Row],[Claim_Date2]])</f>
        <v/>
      </c>
      <c r="G66" s="4" t="s">
        <v>1098</v>
      </c>
      <c r="H66" s="4" t="str">
        <f>LEFT(Table13[[#This Row],[Values Col 1]],3)</f>
        <v/>
      </c>
      <c r="I66" s="4" t="s">
        <v>1098</v>
      </c>
      <c r="J66" s="4" t="str">
        <f>MID(Table13[[#This Row],[Function Col]],5,2)</f>
        <v/>
      </c>
      <c r="K66" s="4" t="s">
        <v>1098</v>
      </c>
      <c r="L66" s="4" t="str">
        <f>RIGHT(Table13[[#This Row],[Function Col]],4)</f>
        <v/>
      </c>
      <c r="M66" s="4" t="s">
        <v>1098</v>
      </c>
      <c r="N66" s="4" t="str">
        <f>IF(Table13[[#This Row],[Function Col5]]="","",_xlfn.CONCAT(Table13[[#This Row],[Day Col]],"/",Table13[[#This Row],[Month Col]],"/",Table13[[#This Row],[Year Col]]))</f>
        <v/>
      </c>
      <c r="O66" s="4" t="s">
        <v>1098</v>
      </c>
      <c r="P66" s="4">
        <f>IF(ISNUMBER(Table13[[#This Row],[Claim_Date2]]),Table13[[#This Row],[Claim_Date2]],Table13[[#This Row],[Function Col32]])</f>
        <v>44991</v>
      </c>
      <c r="Q66" s="4">
        <v>44991</v>
      </c>
      <c r="R66" s="1" t="s">
        <v>16</v>
      </c>
      <c r="S66" s="1" t="s">
        <v>23</v>
      </c>
      <c r="T66" s="1" t="s">
        <v>48</v>
      </c>
      <c r="U66" s="1"/>
      <c r="V66" s="1">
        <v>2268.96</v>
      </c>
      <c r="W66" s="1">
        <f>IF(Table1[[#This Row],[Claim_Amount]]&lt;0,0,Table1[[#This Row],[Claim_Amount]])</f>
        <v>2268.96</v>
      </c>
      <c r="X66" s="1">
        <f>IF(Table1[[#This Row],[Column1]]=0,"",Table1[[#This Row],[Column1]])</f>
        <v>2268.96</v>
      </c>
      <c r="Y66" s="1">
        <v>2268.96</v>
      </c>
      <c r="Z66" s="1">
        <v>2268.96</v>
      </c>
      <c r="AA66" s="1">
        <v>2287.4299999999998</v>
      </c>
      <c r="AB66" s="1" t="s">
        <v>1091</v>
      </c>
      <c r="AC66" s="1" t="s">
        <v>26</v>
      </c>
      <c r="AD66">
        <v>9</v>
      </c>
      <c r="AE66" s="3" t="s">
        <v>1097</v>
      </c>
    </row>
    <row r="67" spans="1:31" ht="15.75" customHeight="1" x14ac:dyDescent="0.35">
      <c r="A67" s="1" t="s">
        <v>192</v>
      </c>
      <c r="B67" t="s">
        <v>1083</v>
      </c>
      <c r="C67" s="1" t="s">
        <v>193</v>
      </c>
      <c r="D67" s="1" t="s">
        <v>122</v>
      </c>
      <c r="E67" s="5" t="s">
        <v>122</v>
      </c>
      <c r="F67" s="4" t="str">
        <f>IF(ISNUMBER(Table13[[#This Row],[Claim_Date2]]),"",Table13[[#This Row],[Claim_Date2]])</f>
        <v>Aug 07 2023</v>
      </c>
      <c r="G67" s="4" t="s">
        <v>122</v>
      </c>
      <c r="H67" s="4" t="str">
        <f>LEFT(Table13[[#This Row],[Values Col 1]],3)</f>
        <v>Aug</v>
      </c>
      <c r="I67" s="4" t="s">
        <v>1106</v>
      </c>
      <c r="J67" s="4" t="str">
        <f>MID(Table13[[#This Row],[Function Col]],5,2)</f>
        <v>07</v>
      </c>
      <c r="K67" s="4" t="s">
        <v>1120</v>
      </c>
      <c r="L67" s="4" t="str">
        <f>RIGHT(Table13[[#This Row],[Function Col]],4)</f>
        <v>2023</v>
      </c>
      <c r="M67" s="4" t="s">
        <v>1146</v>
      </c>
      <c r="N67" s="4" t="str">
        <f>IF(Table13[[#This Row],[Function Col5]]="","",_xlfn.CONCAT(Table13[[#This Row],[Day Col]],"/",Table13[[#This Row],[Month Col]],"/",Table13[[#This Row],[Year Col]]))</f>
        <v>07/Aug/2023</v>
      </c>
      <c r="O67" s="4" t="s">
        <v>1160</v>
      </c>
      <c r="P67" s="4" t="str">
        <f>IF(ISNUMBER(Table13[[#This Row],[Claim_Date2]]),Table13[[#This Row],[Claim_Date2]],Table13[[#This Row],[Function Col32]])</f>
        <v>07/Aug/2023</v>
      </c>
      <c r="Q67" s="4">
        <v>45145</v>
      </c>
      <c r="R67" s="1" t="s">
        <v>16</v>
      </c>
      <c r="S67" s="1" t="s">
        <v>53</v>
      </c>
      <c r="T67" t="s">
        <v>1086</v>
      </c>
      <c r="V67" s="1">
        <v>4553.0200000000004</v>
      </c>
      <c r="W67" s="1">
        <f>IF(Table1[[#This Row],[Claim_Amount]]&lt;0,0,Table1[[#This Row],[Claim_Amount]])</f>
        <v>4553.0200000000004</v>
      </c>
      <c r="X67" s="1">
        <f>IF(Table1[[#This Row],[Column1]]=0,"",Table1[[#This Row],[Column1]])</f>
        <v>4553.0200000000004</v>
      </c>
      <c r="Y67" s="1">
        <v>4553.0200000000004</v>
      </c>
      <c r="Z67" s="1">
        <v>4553.0200000000004</v>
      </c>
      <c r="AA67" s="1">
        <v>1644.45</v>
      </c>
      <c r="AB67" s="1" t="s">
        <v>25</v>
      </c>
      <c r="AC67" s="1" t="s">
        <v>18</v>
      </c>
      <c r="AD67">
        <v>9</v>
      </c>
      <c r="AE67" s="3" t="s">
        <v>1097</v>
      </c>
    </row>
    <row r="68" spans="1:31" ht="15.75" customHeight="1" x14ac:dyDescent="0.35">
      <c r="A68" s="1" t="s">
        <v>20</v>
      </c>
      <c r="B68" t="s">
        <v>1083</v>
      </c>
      <c r="C68" t="s">
        <v>1084</v>
      </c>
      <c r="D68" s="1" t="s">
        <v>194</v>
      </c>
      <c r="E68" s="5">
        <v>45185</v>
      </c>
      <c r="F68" s="4" t="str">
        <f>IF(ISNUMBER(Table13[[#This Row],[Claim_Date2]]),"",Table13[[#This Row],[Claim_Date2]])</f>
        <v/>
      </c>
      <c r="G68" s="4" t="s">
        <v>1098</v>
      </c>
      <c r="H68" s="4" t="str">
        <f>LEFT(Table13[[#This Row],[Values Col 1]],3)</f>
        <v/>
      </c>
      <c r="I68" s="4" t="s">
        <v>1098</v>
      </c>
      <c r="J68" s="4" t="str">
        <f>MID(Table13[[#This Row],[Function Col]],5,2)</f>
        <v/>
      </c>
      <c r="K68" s="4" t="s">
        <v>1098</v>
      </c>
      <c r="L68" s="4" t="str">
        <f>RIGHT(Table13[[#This Row],[Function Col]],4)</f>
        <v/>
      </c>
      <c r="M68" s="4" t="s">
        <v>1098</v>
      </c>
      <c r="N68" s="4" t="str">
        <f>IF(Table13[[#This Row],[Function Col5]]="","",_xlfn.CONCAT(Table13[[#This Row],[Day Col]],"/",Table13[[#This Row],[Month Col]],"/",Table13[[#This Row],[Year Col]]))</f>
        <v/>
      </c>
      <c r="O68" s="4" t="s">
        <v>1098</v>
      </c>
      <c r="P68" s="4">
        <f>IF(ISNUMBER(Table13[[#This Row],[Claim_Date2]]),Table13[[#This Row],[Claim_Date2]],Table13[[#This Row],[Function Col32]])</f>
        <v>45185</v>
      </c>
      <c r="Q68" s="4">
        <v>45185</v>
      </c>
      <c r="R68" s="1" t="s">
        <v>16</v>
      </c>
      <c r="S68" t="s">
        <v>1085</v>
      </c>
      <c r="T68" s="1" t="s">
        <v>61</v>
      </c>
      <c r="U68" s="1"/>
      <c r="W68">
        <f>IF(Table1[[#This Row],[Claim_Amount]]&lt;0,0,Table1[[#This Row],[Claim_Amount]])</f>
        <v>0</v>
      </c>
      <c r="X68" t="str">
        <f>IF(Table1[[#This Row],[Column1]]=0,"",Table1[[#This Row],[Column1]])</f>
        <v/>
      </c>
      <c r="Y68" t="s">
        <v>1098</v>
      </c>
      <c r="Z68">
        <v>2481</v>
      </c>
      <c r="AA68" s="1">
        <v>2178.85</v>
      </c>
      <c r="AB68" s="1" t="s">
        <v>25</v>
      </c>
      <c r="AC68" s="1" t="s">
        <v>32</v>
      </c>
      <c r="AD68">
        <v>9</v>
      </c>
      <c r="AE68" s="3" t="s">
        <v>37</v>
      </c>
    </row>
    <row r="69" spans="1:31" ht="15.75" customHeight="1" x14ac:dyDescent="0.35">
      <c r="A69" s="1" t="s">
        <v>70</v>
      </c>
      <c r="B69" s="1" t="s">
        <v>195</v>
      </c>
      <c r="C69" t="s">
        <v>1084</v>
      </c>
      <c r="D69" s="1" t="s">
        <v>196</v>
      </c>
      <c r="E69" s="5">
        <v>45267</v>
      </c>
      <c r="F69" s="4" t="str">
        <f>IF(ISNUMBER(Table13[[#This Row],[Claim_Date2]]),"",Table13[[#This Row],[Claim_Date2]])</f>
        <v/>
      </c>
      <c r="G69" s="4" t="s">
        <v>1098</v>
      </c>
      <c r="H69" s="4" t="str">
        <f>LEFT(Table13[[#This Row],[Values Col 1]],3)</f>
        <v/>
      </c>
      <c r="I69" s="4" t="s">
        <v>1098</v>
      </c>
      <c r="J69" s="4" t="str">
        <f>MID(Table13[[#This Row],[Function Col]],5,2)</f>
        <v/>
      </c>
      <c r="K69" s="4" t="s">
        <v>1098</v>
      </c>
      <c r="L69" s="4" t="str">
        <f>RIGHT(Table13[[#This Row],[Function Col]],4)</f>
        <v/>
      </c>
      <c r="M69" s="4" t="s">
        <v>1098</v>
      </c>
      <c r="N69" s="4" t="str">
        <f>IF(Table13[[#This Row],[Function Col5]]="","",_xlfn.CONCAT(Table13[[#This Row],[Day Col]],"/",Table13[[#This Row],[Month Col]],"/",Table13[[#This Row],[Year Col]]))</f>
        <v/>
      </c>
      <c r="O69" s="4" t="s">
        <v>1098</v>
      </c>
      <c r="P69" s="4">
        <f>IF(ISNUMBER(Table13[[#This Row],[Claim_Date2]]),Table13[[#This Row],[Claim_Date2]],Table13[[#This Row],[Function Col32]])</f>
        <v>45267</v>
      </c>
      <c r="Q69" s="4">
        <v>45267</v>
      </c>
      <c r="R69" s="1" t="s">
        <v>85</v>
      </c>
      <c r="S69" t="s">
        <v>1085</v>
      </c>
      <c r="T69" s="1" t="s">
        <v>48</v>
      </c>
      <c r="U69" s="1"/>
      <c r="V69" s="1">
        <v>382.31</v>
      </c>
      <c r="W69" s="1">
        <f>IF(Table1[[#This Row],[Claim_Amount]]&lt;0,0,Table1[[#This Row],[Claim_Amount]])</f>
        <v>382.31</v>
      </c>
      <c r="X69" s="1">
        <f>IF(Table1[[#This Row],[Column1]]=0,"",Table1[[#This Row],[Column1]])</f>
        <v>382.31</v>
      </c>
      <c r="Y69" s="1">
        <v>382.31</v>
      </c>
      <c r="Z69" s="1">
        <v>382.31</v>
      </c>
      <c r="AA69">
        <v>832</v>
      </c>
      <c r="AB69" s="1" t="s">
        <v>42</v>
      </c>
      <c r="AC69" s="1" t="s">
        <v>18</v>
      </c>
      <c r="AD69" s="1">
        <v>35</v>
      </c>
      <c r="AE69" s="3" t="s">
        <v>1097</v>
      </c>
    </row>
    <row r="70" spans="1:31" ht="15.75" customHeight="1" x14ac:dyDescent="0.35">
      <c r="A70" s="1" t="s">
        <v>20</v>
      </c>
      <c r="B70" t="s">
        <v>1083</v>
      </c>
      <c r="C70" s="1" t="s">
        <v>158</v>
      </c>
      <c r="D70" s="1" t="s">
        <v>197</v>
      </c>
      <c r="E70" s="5">
        <v>45108</v>
      </c>
      <c r="F70" s="4" t="str">
        <f>IF(ISNUMBER(Table13[[#This Row],[Claim_Date2]]),"",Table13[[#This Row],[Claim_Date2]])</f>
        <v/>
      </c>
      <c r="G70" s="4" t="s">
        <v>1098</v>
      </c>
      <c r="H70" s="4" t="str">
        <f>LEFT(Table13[[#This Row],[Values Col 1]],3)</f>
        <v/>
      </c>
      <c r="I70" s="4" t="s">
        <v>1098</v>
      </c>
      <c r="J70" s="4" t="str">
        <f>MID(Table13[[#This Row],[Function Col]],5,2)</f>
        <v/>
      </c>
      <c r="K70" s="4" t="s">
        <v>1098</v>
      </c>
      <c r="L70" s="4" t="str">
        <f>RIGHT(Table13[[#This Row],[Function Col]],4)</f>
        <v/>
      </c>
      <c r="M70" s="4" t="s">
        <v>1098</v>
      </c>
      <c r="N70" s="4" t="str">
        <f>IF(Table13[[#This Row],[Function Col5]]="","",_xlfn.CONCAT(Table13[[#This Row],[Day Col]],"/",Table13[[#This Row],[Month Col]],"/",Table13[[#This Row],[Year Col]]))</f>
        <v/>
      </c>
      <c r="O70" s="4" t="s">
        <v>1098</v>
      </c>
      <c r="P70" s="4">
        <f>IF(ISNUMBER(Table13[[#This Row],[Claim_Date2]]),Table13[[#This Row],[Claim_Date2]],Table13[[#This Row],[Function Col32]])</f>
        <v>45108</v>
      </c>
      <c r="Q70" s="4">
        <v>45108</v>
      </c>
      <c r="R70" s="1" t="s">
        <v>85</v>
      </c>
      <c r="S70" t="s">
        <v>1085</v>
      </c>
      <c r="T70" s="1" t="s">
        <v>61</v>
      </c>
      <c r="U70" s="1"/>
      <c r="W70">
        <f>IF(Table1[[#This Row],[Claim_Amount]]&lt;0,0,Table1[[#This Row],[Claim_Amount]])</f>
        <v>0</v>
      </c>
      <c r="X70" t="str">
        <f>IF(Table1[[#This Row],[Column1]]=0,"",Table1[[#This Row],[Column1]])</f>
        <v/>
      </c>
      <c r="Y70" t="s">
        <v>1098</v>
      </c>
      <c r="Z70">
        <v>2481</v>
      </c>
      <c r="AA70">
        <v>832</v>
      </c>
      <c r="AB70" s="1" t="s">
        <v>1091</v>
      </c>
      <c r="AC70" s="1" t="s">
        <v>18</v>
      </c>
      <c r="AD70">
        <v>9</v>
      </c>
      <c r="AE70" s="3" t="s">
        <v>37</v>
      </c>
    </row>
    <row r="71" spans="1:31" ht="15.75" customHeight="1" x14ac:dyDescent="0.35">
      <c r="A71" s="1" t="s">
        <v>198</v>
      </c>
      <c r="B71" t="s">
        <v>1083</v>
      </c>
      <c r="C71" t="s">
        <v>1084</v>
      </c>
      <c r="D71" s="1" t="s">
        <v>199</v>
      </c>
      <c r="E71" s="5">
        <v>44985</v>
      </c>
      <c r="F71" s="4" t="str">
        <f>IF(ISNUMBER(Table13[[#This Row],[Claim_Date2]]),"",Table13[[#This Row],[Claim_Date2]])</f>
        <v/>
      </c>
      <c r="G71" s="4" t="s">
        <v>1098</v>
      </c>
      <c r="H71" s="4" t="str">
        <f>LEFT(Table13[[#This Row],[Values Col 1]],3)</f>
        <v/>
      </c>
      <c r="I71" s="4" t="s">
        <v>1098</v>
      </c>
      <c r="J71" s="4" t="str">
        <f>MID(Table13[[#This Row],[Function Col]],5,2)</f>
        <v/>
      </c>
      <c r="K71" s="4" t="s">
        <v>1098</v>
      </c>
      <c r="L71" s="4" t="str">
        <f>RIGHT(Table13[[#This Row],[Function Col]],4)</f>
        <v/>
      </c>
      <c r="M71" s="4" t="s">
        <v>1098</v>
      </c>
      <c r="N71" s="4" t="str">
        <f>IF(Table13[[#This Row],[Function Col5]]="","",_xlfn.CONCAT(Table13[[#This Row],[Day Col]],"/",Table13[[#This Row],[Month Col]],"/",Table13[[#This Row],[Year Col]]))</f>
        <v/>
      </c>
      <c r="O71" s="4" t="s">
        <v>1098</v>
      </c>
      <c r="P71" s="4">
        <f>IF(ISNUMBER(Table13[[#This Row],[Claim_Date2]]),Table13[[#This Row],[Claim_Date2]],Table13[[#This Row],[Function Col32]])</f>
        <v>44985</v>
      </c>
      <c r="Q71" s="4">
        <v>44985</v>
      </c>
      <c r="R71" s="1" t="s">
        <v>85</v>
      </c>
      <c r="S71" s="1" t="s">
        <v>53</v>
      </c>
      <c r="T71" s="1" t="s">
        <v>54</v>
      </c>
      <c r="U71" s="1"/>
      <c r="V71" s="1">
        <v>4874.01</v>
      </c>
      <c r="W71" s="1">
        <f>IF(Table1[[#This Row],[Claim_Amount]]&lt;0,0,Table1[[#This Row],[Claim_Amount]])</f>
        <v>4874.01</v>
      </c>
      <c r="X71" s="1">
        <f>IF(Table1[[#This Row],[Column1]]=0,"",Table1[[#This Row],[Column1]])</f>
        <v>4874.01</v>
      </c>
      <c r="Y71" s="1">
        <v>4874.01</v>
      </c>
      <c r="Z71" s="1">
        <v>4874.01</v>
      </c>
      <c r="AA71">
        <v>832</v>
      </c>
      <c r="AB71" s="1" t="s">
        <v>42</v>
      </c>
      <c r="AC71" s="1" t="s">
        <v>26</v>
      </c>
      <c r="AD71">
        <v>9</v>
      </c>
      <c r="AE71" s="3" t="s">
        <v>27</v>
      </c>
    </row>
    <row r="72" spans="1:31" ht="15.75" customHeight="1" x14ac:dyDescent="0.35">
      <c r="A72" s="1" t="s">
        <v>114</v>
      </c>
      <c r="B72" s="1" t="s">
        <v>129</v>
      </c>
      <c r="C72" s="1" t="s">
        <v>200</v>
      </c>
      <c r="D72" s="1" t="s">
        <v>201</v>
      </c>
      <c r="E72" s="5">
        <v>45216</v>
      </c>
      <c r="F72" s="4" t="str">
        <f>IF(ISNUMBER(Table13[[#This Row],[Claim_Date2]]),"",Table13[[#This Row],[Claim_Date2]])</f>
        <v/>
      </c>
      <c r="G72" s="4" t="s">
        <v>1098</v>
      </c>
      <c r="H72" s="4" t="str">
        <f>LEFT(Table13[[#This Row],[Values Col 1]],3)</f>
        <v/>
      </c>
      <c r="I72" s="4" t="s">
        <v>1098</v>
      </c>
      <c r="J72" s="4" t="str">
        <f>MID(Table13[[#This Row],[Function Col]],5,2)</f>
        <v/>
      </c>
      <c r="K72" s="4" t="s">
        <v>1098</v>
      </c>
      <c r="L72" s="4" t="str">
        <f>RIGHT(Table13[[#This Row],[Function Col]],4)</f>
        <v/>
      </c>
      <c r="M72" s="4" t="s">
        <v>1098</v>
      </c>
      <c r="N72" s="4" t="str">
        <f>IF(Table13[[#This Row],[Function Col5]]="","",_xlfn.CONCAT(Table13[[#This Row],[Day Col]],"/",Table13[[#This Row],[Month Col]],"/",Table13[[#This Row],[Year Col]]))</f>
        <v/>
      </c>
      <c r="O72" s="4" t="s">
        <v>1098</v>
      </c>
      <c r="P72" s="4">
        <f>IF(ISNUMBER(Table13[[#This Row],[Claim_Date2]]),Table13[[#This Row],[Claim_Date2]],Table13[[#This Row],[Function Col32]])</f>
        <v>45216</v>
      </c>
      <c r="Q72" s="4">
        <v>45216</v>
      </c>
      <c r="R72" s="1" t="s">
        <v>85</v>
      </c>
      <c r="S72" t="s">
        <v>1085</v>
      </c>
      <c r="T72" t="s">
        <v>1086</v>
      </c>
      <c r="W72">
        <f>IF(Table1[[#This Row],[Claim_Amount]]&lt;0,0,Table1[[#This Row],[Claim_Amount]])</f>
        <v>0</v>
      </c>
      <c r="X72" t="str">
        <f>IF(Table1[[#This Row],[Column1]]=0,"",Table1[[#This Row],[Column1]])</f>
        <v/>
      </c>
      <c r="Y72" t="s">
        <v>1098</v>
      </c>
      <c r="Z72">
        <v>2481</v>
      </c>
      <c r="AA72">
        <v>832</v>
      </c>
      <c r="AB72" s="1" t="s">
        <v>42</v>
      </c>
      <c r="AC72" s="1" t="s">
        <v>18</v>
      </c>
      <c r="AD72">
        <v>9</v>
      </c>
      <c r="AE72" s="3" t="s">
        <v>27</v>
      </c>
    </row>
    <row r="73" spans="1:31" ht="15.75" customHeight="1" x14ac:dyDescent="0.35">
      <c r="A73" s="1" t="s">
        <v>202</v>
      </c>
      <c r="B73" t="s">
        <v>1083</v>
      </c>
      <c r="C73" s="1" t="s">
        <v>203</v>
      </c>
      <c r="D73" s="1" t="s">
        <v>204</v>
      </c>
      <c r="E73" s="5">
        <v>45006</v>
      </c>
      <c r="F73" s="4" t="str">
        <f>IF(ISNUMBER(Table13[[#This Row],[Claim_Date2]]),"",Table13[[#This Row],[Claim_Date2]])</f>
        <v/>
      </c>
      <c r="G73" s="4" t="s">
        <v>1098</v>
      </c>
      <c r="H73" s="4" t="str">
        <f>LEFT(Table13[[#This Row],[Values Col 1]],3)</f>
        <v/>
      </c>
      <c r="I73" s="4" t="s">
        <v>1098</v>
      </c>
      <c r="J73" s="4" t="str">
        <f>MID(Table13[[#This Row],[Function Col]],5,2)</f>
        <v/>
      </c>
      <c r="K73" s="4" t="s">
        <v>1098</v>
      </c>
      <c r="L73" s="4" t="str">
        <f>RIGHT(Table13[[#This Row],[Function Col]],4)</f>
        <v/>
      </c>
      <c r="M73" s="4" t="s">
        <v>1098</v>
      </c>
      <c r="N73" s="4" t="str">
        <f>IF(Table13[[#This Row],[Function Col5]]="","",_xlfn.CONCAT(Table13[[#This Row],[Day Col]],"/",Table13[[#This Row],[Month Col]],"/",Table13[[#This Row],[Year Col]]))</f>
        <v/>
      </c>
      <c r="O73" s="4" t="s">
        <v>1098</v>
      </c>
      <c r="P73" s="4">
        <f>IF(ISNUMBER(Table13[[#This Row],[Claim_Date2]]),Table13[[#This Row],[Claim_Date2]],Table13[[#This Row],[Function Col32]])</f>
        <v>45006</v>
      </c>
      <c r="Q73" s="4">
        <v>45006</v>
      </c>
      <c r="R73" s="1" t="s">
        <v>16</v>
      </c>
      <c r="S73" s="1" t="s">
        <v>23</v>
      </c>
      <c r="T73" s="1" t="s">
        <v>41</v>
      </c>
      <c r="U73" s="1"/>
      <c r="V73" s="1">
        <v>-118</v>
      </c>
      <c r="W73" s="1">
        <f>IF(Table1[[#This Row],[Claim_Amount]]&lt;0,0,Table1[[#This Row],[Claim_Amount]])</f>
        <v>0</v>
      </c>
      <c r="X73" s="1" t="str">
        <f>IF(Table1[[#This Row],[Column1]]=0,"",Table1[[#This Row],[Column1]])</f>
        <v/>
      </c>
      <c r="Y73" s="1" t="s">
        <v>1098</v>
      </c>
      <c r="Z73" s="1">
        <v>2481</v>
      </c>
      <c r="AA73">
        <v>832</v>
      </c>
      <c r="AB73" s="1" t="s">
        <v>42</v>
      </c>
      <c r="AC73" s="1" t="s">
        <v>18</v>
      </c>
      <c r="AD73">
        <v>9</v>
      </c>
      <c r="AE73" s="3" t="s">
        <v>19</v>
      </c>
    </row>
    <row r="74" spans="1:31" ht="15.75" customHeight="1" x14ac:dyDescent="0.35">
      <c r="A74" s="1" t="s">
        <v>28</v>
      </c>
      <c r="B74" s="1" t="s">
        <v>205</v>
      </c>
      <c r="C74" t="s">
        <v>1084</v>
      </c>
      <c r="D74" s="1" t="s">
        <v>206</v>
      </c>
      <c r="E74" s="5">
        <v>45196</v>
      </c>
      <c r="F74" s="4" t="str">
        <f>IF(ISNUMBER(Table13[[#This Row],[Claim_Date2]]),"",Table13[[#This Row],[Claim_Date2]])</f>
        <v/>
      </c>
      <c r="G74" s="4" t="s">
        <v>1098</v>
      </c>
      <c r="H74" s="4" t="str">
        <f>LEFT(Table13[[#This Row],[Values Col 1]],3)</f>
        <v/>
      </c>
      <c r="I74" s="4" t="s">
        <v>1098</v>
      </c>
      <c r="J74" s="4" t="str">
        <f>MID(Table13[[#This Row],[Function Col]],5,2)</f>
        <v/>
      </c>
      <c r="K74" s="4" t="s">
        <v>1098</v>
      </c>
      <c r="L74" s="4" t="str">
        <f>RIGHT(Table13[[#This Row],[Function Col]],4)</f>
        <v/>
      </c>
      <c r="M74" s="4" t="s">
        <v>1098</v>
      </c>
      <c r="N74" s="4" t="str">
        <f>IF(Table13[[#This Row],[Function Col5]]="","",_xlfn.CONCAT(Table13[[#This Row],[Day Col]],"/",Table13[[#This Row],[Month Col]],"/",Table13[[#This Row],[Year Col]]))</f>
        <v/>
      </c>
      <c r="O74" s="4" t="s">
        <v>1098</v>
      </c>
      <c r="P74" s="4">
        <f>IF(ISNUMBER(Table13[[#This Row],[Claim_Date2]]),Table13[[#This Row],[Claim_Date2]],Table13[[#This Row],[Function Col32]])</f>
        <v>45196</v>
      </c>
      <c r="Q74" s="4">
        <v>45196</v>
      </c>
      <c r="R74" s="1" t="s">
        <v>85</v>
      </c>
      <c r="S74" s="1" t="s">
        <v>53</v>
      </c>
      <c r="T74" s="1" t="s">
        <v>54</v>
      </c>
      <c r="U74" s="1"/>
      <c r="W74">
        <f>IF(Table1[[#This Row],[Claim_Amount]]&lt;0,0,Table1[[#This Row],[Claim_Amount]])</f>
        <v>0</v>
      </c>
      <c r="X74" t="str">
        <f>IF(Table1[[#This Row],[Column1]]=0,"",Table1[[#This Row],[Column1]])</f>
        <v/>
      </c>
      <c r="Y74" t="s">
        <v>1098</v>
      </c>
      <c r="Z74">
        <v>2481</v>
      </c>
      <c r="AA74" s="1">
        <v>4729.3500000000004</v>
      </c>
      <c r="AB74" s="1" t="s">
        <v>42</v>
      </c>
      <c r="AC74" s="1" t="s">
        <v>32</v>
      </c>
      <c r="AD74" s="1">
        <v>20</v>
      </c>
      <c r="AE74" s="3" t="s">
        <v>19</v>
      </c>
    </row>
    <row r="75" spans="1:31" ht="15.75" customHeight="1" x14ac:dyDescent="0.35">
      <c r="A75" s="1" t="s">
        <v>117</v>
      </c>
      <c r="B75" t="s">
        <v>1083</v>
      </c>
      <c r="C75" s="1" t="s">
        <v>207</v>
      </c>
      <c r="D75" s="1" t="s">
        <v>208</v>
      </c>
      <c r="E75" s="5">
        <v>45121</v>
      </c>
      <c r="F75" s="4" t="str">
        <f>IF(ISNUMBER(Table13[[#This Row],[Claim_Date2]]),"",Table13[[#This Row],[Claim_Date2]])</f>
        <v/>
      </c>
      <c r="G75" s="4" t="s">
        <v>1098</v>
      </c>
      <c r="H75" s="4" t="str">
        <f>LEFT(Table13[[#This Row],[Values Col 1]],3)</f>
        <v/>
      </c>
      <c r="I75" s="4" t="s">
        <v>1098</v>
      </c>
      <c r="J75" s="4" t="str">
        <f>MID(Table13[[#This Row],[Function Col]],5,2)</f>
        <v/>
      </c>
      <c r="K75" s="4" t="s">
        <v>1098</v>
      </c>
      <c r="L75" s="4" t="str">
        <f>RIGHT(Table13[[#This Row],[Function Col]],4)</f>
        <v/>
      </c>
      <c r="M75" s="4" t="s">
        <v>1098</v>
      </c>
      <c r="N75" s="4" t="str">
        <f>IF(Table13[[#This Row],[Function Col5]]="","",_xlfn.CONCAT(Table13[[#This Row],[Day Col]],"/",Table13[[#This Row],[Month Col]],"/",Table13[[#This Row],[Year Col]]))</f>
        <v/>
      </c>
      <c r="O75" s="4" t="s">
        <v>1098</v>
      </c>
      <c r="P75" s="4">
        <f>IF(ISNUMBER(Table13[[#This Row],[Claim_Date2]]),Table13[[#This Row],[Claim_Date2]],Table13[[#This Row],[Function Col32]])</f>
        <v>45121</v>
      </c>
      <c r="Q75" s="4">
        <v>45121</v>
      </c>
      <c r="R75" s="1" t="s">
        <v>30</v>
      </c>
      <c r="S75" s="1" t="s">
        <v>47</v>
      </c>
      <c r="T75" t="s">
        <v>1086</v>
      </c>
      <c r="V75" s="1">
        <v>-28</v>
      </c>
      <c r="W75" s="1">
        <f>IF(Table1[[#This Row],[Claim_Amount]]&lt;0,0,Table1[[#This Row],[Claim_Amount]])</f>
        <v>0</v>
      </c>
      <c r="X75" s="1" t="str">
        <f>IF(Table1[[#This Row],[Column1]]=0,"",Table1[[#This Row],[Column1]])</f>
        <v/>
      </c>
      <c r="Y75" s="1" t="s">
        <v>1098</v>
      </c>
      <c r="Z75" s="1">
        <v>2481</v>
      </c>
      <c r="AA75" s="1">
        <v>4315.7299999999996</v>
      </c>
      <c r="AB75" s="1" t="s">
        <v>25</v>
      </c>
      <c r="AC75" s="1" t="s">
        <v>26</v>
      </c>
      <c r="AD75" s="1">
        <v>29</v>
      </c>
      <c r="AE75" s="3" t="s">
        <v>27</v>
      </c>
    </row>
    <row r="76" spans="1:31" ht="15.75" customHeight="1" x14ac:dyDescent="0.35">
      <c r="A76" s="1" t="s">
        <v>209</v>
      </c>
      <c r="B76" t="s">
        <v>1083</v>
      </c>
      <c r="C76" t="s">
        <v>1084</v>
      </c>
      <c r="D76" s="1" t="s">
        <v>210</v>
      </c>
      <c r="E76" s="5">
        <v>45075</v>
      </c>
      <c r="F76" s="4" t="str">
        <f>IF(ISNUMBER(Table13[[#This Row],[Claim_Date2]]),"",Table13[[#This Row],[Claim_Date2]])</f>
        <v/>
      </c>
      <c r="G76" s="4" t="s">
        <v>1098</v>
      </c>
      <c r="H76" s="4" t="str">
        <f>LEFT(Table13[[#This Row],[Values Col 1]],3)</f>
        <v/>
      </c>
      <c r="I76" s="4" t="s">
        <v>1098</v>
      </c>
      <c r="J76" s="4" t="str">
        <f>MID(Table13[[#This Row],[Function Col]],5,2)</f>
        <v/>
      </c>
      <c r="K76" s="4" t="s">
        <v>1098</v>
      </c>
      <c r="L76" s="4" t="str">
        <f>RIGHT(Table13[[#This Row],[Function Col]],4)</f>
        <v/>
      </c>
      <c r="M76" s="4" t="s">
        <v>1098</v>
      </c>
      <c r="N76" s="4" t="str">
        <f>IF(Table13[[#This Row],[Function Col5]]="","",_xlfn.CONCAT(Table13[[#This Row],[Day Col]],"/",Table13[[#This Row],[Month Col]],"/",Table13[[#This Row],[Year Col]]))</f>
        <v/>
      </c>
      <c r="O76" s="4" t="s">
        <v>1098</v>
      </c>
      <c r="P76" s="4">
        <f>IF(ISNUMBER(Table13[[#This Row],[Claim_Date2]]),Table13[[#This Row],[Claim_Date2]],Table13[[#This Row],[Function Col32]])</f>
        <v>45075</v>
      </c>
      <c r="Q76" s="4">
        <v>45075</v>
      </c>
      <c r="R76" s="1" t="s">
        <v>92</v>
      </c>
      <c r="S76" s="1" t="s">
        <v>93</v>
      </c>
      <c r="T76" s="1" t="s">
        <v>54</v>
      </c>
      <c r="U76" s="1"/>
      <c r="W76">
        <f>IF(Table1[[#This Row],[Claim_Amount]]&lt;0,0,Table1[[#This Row],[Claim_Amount]])</f>
        <v>0</v>
      </c>
      <c r="X76" t="str">
        <f>IF(Table1[[#This Row],[Column1]]=0,"",Table1[[#This Row],[Column1]])</f>
        <v/>
      </c>
      <c r="Y76" t="s">
        <v>1098</v>
      </c>
      <c r="Z76">
        <v>2481</v>
      </c>
      <c r="AA76" s="1">
        <v>486.24</v>
      </c>
      <c r="AB76" s="1" t="s">
        <v>17</v>
      </c>
      <c r="AC76" s="1" t="s">
        <v>1093</v>
      </c>
      <c r="AD76">
        <v>9</v>
      </c>
      <c r="AE76" s="3" t="s">
        <v>1097</v>
      </c>
    </row>
    <row r="77" spans="1:31" ht="15.75" customHeight="1" x14ac:dyDescent="0.35">
      <c r="A77" s="1" t="s">
        <v>96</v>
      </c>
      <c r="B77" t="s">
        <v>1083</v>
      </c>
      <c r="C77" t="s">
        <v>1084</v>
      </c>
      <c r="D77" s="1" t="s">
        <v>211</v>
      </c>
      <c r="E77" s="5">
        <v>45040</v>
      </c>
      <c r="F77" s="4" t="str">
        <f>IF(ISNUMBER(Table13[[#This Row],[Claim_Date2]]),"",Table13[[#This Row],[Claim_Date2]])</f>
        <v/>
      </c>
      <c r="G77" s="4" t="s">
        <v>1098</v>
      </c>
      <c r="H77" s="4" t="str">
        <f>LEFT(Table13[[#This Row],[Values Col 1]],3)</f>
        <v/>
      </c>
      <c r="I77" s="4" t="s">
        <v>1098</v>
      </c>
      <c r="J77" s="4" t="str">
        <f>MID(Table13[[#This Row],[Function Col]],5,2)</f>
        <v/>
      </c>
      <c r="K77" s="4" t="s">
        <v>1098</v>
      </c>
      <c r="L77" s="4" t="str">
        <f>RIGHT(Table13[[#This Row],[Function Col]],4)</f>
        <v/>
      </c>
      <c r="M77" s="4" t="s">
        <v>1098</v>
      </c>
      <c r="N77" s="4" t="str">
        <f>IF(Table13[[#This Row],[Function Col5]]="","",_xlfn.CONCAT(Table13[[#This Row],[Day Col]],"/",Table13[[#This Row],[Month Col]],"/",Table13[[#This Row],[Year Col]]))</f>
        <v/>
      </c>
      <c r="O77" s="4" t="s">
        <v>1098</v>
      </c>
      <c r="P77" s="4">
        <f>IF(ISNUMBER(Table13[[#This Row],[Claim_Date2]]),Table13[[#This Row],[Claim_Date2]],Table13[[#This Row],[Function Col32]])</f>
        <v>45040</v>
      </c>
      <c r="Q77" s="4">
        <v>45040</v>
      </c>
      <c r="R77" s="1" t="s">
        <v>30</v>
      </c>
      <c r="S77" t="s">
        <v>1085</v>
      </c>
      <c r="T77" s="1" t="s">
        <v>61</v>
      </c>
      <c r="U77" s="1"/>
      <c r="W77">
        <f>IF(Table1[[#This Row],[Claim_Amount]]&lt;0,0,Table1[[#This Row],[Claim_Amount]])</f>
        <v>0</v>
      </c>
      <c r="X77" t="str">
        <f>IF(Table1[[#This Row],[Column1]]=0,"",Table1[[#This Row],[Column1]])</f>
        <v/>
      </c>
      <c r="Y77" t="s">
        <v>1098</v>
      </c>
      <c r="Z77">
        <v>2481</v>
      </c>
      <c r="AA77">
        <v>832</v>
      </c>
      <c r="AB77" s="1" t="s">
        <v>17</v>
      </c>
      <c r="AC77" s="1" t="s">
        <v>18</v>
      </c>
      <c r="AD77" s="1">
        <v>6</v>
      </c>
      <c r="AE77" s="3" t="s">
        <v>27</v>
      </c>
    </row>
    <row r="78" spans="1:31" ht="15.75" customHeight="1" x14ac:dyDescent="0.35">
      <c r="A78" s="1" t="s">
        <v>212</v>
      </c>
      <c r="B78" t="s">
        <v>1083</v>
      </c>
      <c r="C78" s="1" t="s">
        <v>213</v>
      </c>
      <c r="D78" s="1" t="s">
        <v>214</v>
      </c>
      <c r="E78" s="5">
        <v>45248</v>
      </c>
      <c r="F78" s="4" t="str">
        <f>IF(ISNUMBER(Table13[[#This Row],[Claim_Date2]]),"",Table13[[#This Row],[Claim_Date2]])</f>
        <v/>
      </c>
      <c r="G78" s="4" t="s">
        <v>1098</v>
      </c>
      <c r="H78" s="4" t="str">
        <f>LEFT(Table13[[#This Row],[Values Col 1]],3)</f>
        <v/>
      </c>
      <c r="I78" s="4" t="s">
        <v>1098</v>
      </c>
      <c r="J78" s="4" t="str">
        <f>MID(Table13[[#This Row],[Function Col]],5,2)</f>
        <v/>
      </c>
      <c r="K78" s="4" t="s">
        <v>1098</v>
      </c>
      <c r="L78" s="4" t="str">
        <f>RIGHT(Table13[[#This Row],[Function Col]],4)</f>
        <v/>
      </c>
      <c r="M78" s="4" t="s">
        <v>1098</v>
      </c>
      <c r="N78" s="4" t="str">
        <f>IF(Table13[[#This Row],[Function Col5]]="","",_xlfn.CONCAT(Table13[[#This Row],[Day Col]],"/",Table13[[#This Row],[Month Col]],"/",Table13[[#This Row],[Year Col]]))</f>
        <v/>
      </c>
      <c r="O78" s="4" t="s">
        <v>1098</v>
      </c>
      <c r="P78" s="4">
        <f>IF(ISNUMBER(Table13[[#This Row],[Claim_Date2]]),Table13[[#This Row],[Claim_Date2]],Table13[[#This Row],[Function Col32]])</f>
        <v>45248</v>
      </c>
      <c r="Q78" s="4">
        <v>45248</v>
      </c>
      <c r="R78" s="1" t="s">
        <v>85</v>
      </c>
      <c r="S78" s="1" t="s">
        <v>47</v>
      </c>
      <c r="T78" s="1" t="s">
        <v>54</v>
      </c>
      <c r="U78" s="1"/>
      <c r="W78">
        <f>IF(Table1[[#This Row],[Claim_Amount]]&lt;0,0,Table1[[#This Row],[Claim_Amount]])</f>
        <v>0</v>
      </c>
      <c r="X78" t="str">
        <f>IF(Table1[[#This Row],[Column1]]=0,"",Table1[[#This Row],[Column1]])</f>
        <v/>
      </c>
      <c r="Y78" t="s">
        <v>1098</v>
      </c>
      <c r="Z78">
        <v>2481</v>
      </c>
      <c r="AA78">
        <v>832</v>
      </c>
      <c r="AB78" s="1" t="s">
        <v>42</v>
      </c>
      <c r="AC78" s="1" t="s">
        <v>18</v>
      </c>
      <c r="AD78" s="1">
        <v>28</v>
      </c>
      <c r="AE78" s="3" t="s">
        <v>37</v>
      </c>
    </row>
    <row r="79" spans="1:31" ht="15.75" customHeight="1" x14ac:dyDescent="0.35">
      <c r="A79" s="1" t="s">
        <v>215</v>
      </c>
      <c r="B79" t="s">
        <v>1083</v>
      </c>
      <c r="C79" s="1" t="s">
        <v>97</v>
      </c>
      <c r="D79" s="1" t="s">
        <v>216</v>
      </c>
      <c r="E79" s="5">
        <v>45186</v>
      </c>
      <c r="F79" s="4" t="str">
        <f>IF(ISNUMBER(Table13[[#This Row],[Claim_Date2]]),"",Table13[[#This Row],[Claim_Date2]])</f>
        <v/>
      </c>
      <c r="G79" s="4" t="s">
        <v>1098</v>
      </c>
      <c r="H79" s="4" t="str">
        <f>LEFT(Table13[[#This Row],[Values Col 1]],3)</f>
        <v/>
      </c>
      <c r="I79" s="4" t="s">
        <v>1098</v>
      </c>
      <c r="J79" s="4" t="str">
        <f>MID(Table13[[#This Row],[Function Col]],5,2)</f>
        <v/>
      </c>
      <c r="K79" s="4" t="s">
        <v>1098</v>
      </c>
      <c r="L79" s="4" t="str">
        <f>RIGHT(Table13[[#This Row],[Function Col]],4)</f>
        <v/>
      </c>
      <c r="M79" s="4" t="s">
        <v>1098</v>
      </c>
      <c r="N79" s="4" t="str">
        <f>IF(Table13[[#This Row],[Function Col5]]="","",_xlfn.CONCAT(Table13[[#This Row],[Day Col]],"/",Table13[[#This Row],[Month Col]],"/",Table13[[#This Row],[Year Col]]))</f>
        <v/>
      </c>
      <c r="O79" s="4" t="s">
        <v>1098</v>
      </c>
      <c r="P79" s="4">
        <f>IF(ISNUMBER(Table13[[#This Row],[Claim_Date2]]),Table13[[#This Row],[Claim_Date2]],Table13[[#This Row],[Function Col32]])</f>
        <v>45186</v>
      </c>
      <c r="Q79" s="4">
        <v>45186</v>
      </c>
      <c r="R79" s="1" t="s">
        <v>77</v>
      </c>
      <c r="S79" s="1" t="s">
        <v>53</v>
      </c>
      <c r="T79" s="1" t="s">
        <v>61</v>
      </c>
      <c r="U79" s="1"/>
      <c r="V79" s="1">
        <v>331.61</v>
      </c>
      <c r="W79" s="1">
        <f>IF(Table1[[#This Row],[Claim_Amount]]&lt;0,0,Table1[[#This Row],[Claim_Amount]])</f>
        <v>331.61</v>
      </c>
      <c r="X79" s="1">
        <f>IF(Table1[[#This Row],[Column1]]=0,"",Table1[[#This Row],[Column1]])</f>
        <v>331.61</v>
      </c>
      <c r="Y79" s="1">
        <v>331.61</v>
      </c>
      <c r="Z79" s="1">
        <v>331.61</v>
      </c>
      <c r="AA79" s="1">
        <v>3241.1</v>
      </c>
      <c r="AB79" s="1" t="s">
        <v>1091</v>
      </c>
      <c r="AC79" s="1" t="s">
        <v>57</v>
      </c>
      <c r="AD79">
        <v>9</v>
      </c>
      <c r="AE79" s="3" t="s">
        <v>37</v>
      </c>
    </row>
    <row r="80" spans="1:31" ht="15.75" customHeight="1" x14ac:dyDescent="0.35">
      <c r="A80" s="1" t="s">
        <v>66</v>
      </c>
      <c r="B80" t="s">
        <v>1083</v>
      </c>
      <c r="C80" t="s">
        <v>1084</v>
      </c>
      <c r="D80" s="1" t="s">
        <v>217</v>
      </c>
      <c r="E80" s="5">
        <v>45260</v>
      </c>
      <c r="F80" s="4" t="str">
        <f>IF(ISNUMBER(Table13[[#This Row],[Claim_Date2]]),"",Table13[[#This Row],[Claim_Date2]])</f>
        <v/>
      </c>
      <c r="G80" s="4" t="s">
        <v>1098</v>
      </c>
      <c r="H80" s="4" t="str">
        <f>LEFT(Table13[[#This Row],[Values Col 1]],3)</f>
        <v/>
      </c>
      <c r="I80" s="4" t="s">
        <v>1098</v>
      </c>
      <c r="J80" s="4" t="str">
        <f>MID(Table13[[#This Row],[Function Col]],5,2)</f>
        <v/>
      </c>
      <c r="K80" s="4" t="s">
        <v>1098</v>
      </c>
      <c r="L80" s="4" t="str">
        <f>RIGHT(Table13[[#This Row],[Function Col]],4)</f>
        <v/>
      </c>
      <c r="M80" s="4" t="s">
        <v>1098</v>
      </c>
      <c r="N80" s="4" t="str">
        <f>IF(Table13[[#This Row],[Function Col5]]="","",_xlfn.CONCAT(Table13[[#This Row],[Day Col]],"/",Table13[[#This Row],[Month Col]],"/",Table13[[#This Row],[Year Col]]))</f>
        <v/>
      </c>
      <c r="O80" s="4" t="s">
        <v>1098</v>
      </c>
      <c r="P80" s="4">
        <f>IF(ISNUMBER(Table13[[#This Row],[Claim_Date2]]),Table13[[#This Row],[Claim_Date2]],Table13[[#This Row],[Function Col32]])</f>
        <v>45260</v>
      </c>
      <c r="Q80" s="4">
        <v>45260</v>
      </c>
      <c r="R80" s="1" t="s">
        <v>30</v>
      </c>
      <c r="S80" s="1" t="s">
        <v>53</v>
      </c>
      <c r="T80" s="1" t="s">
        <v>54</v>
      </c>
      <c r="U80" s="1"/>
      <c r="V80" s="1">
        <v>-25</v>
      </c>
      <c r="W80" s="1">
        <f>IF(Table1[[#This Row],[Claim_Amount]]&lt;0,0,Table1[[#This Row],[Claim_Amount]])</f>
        <v>0</v>
      </c>
      <c r="X80" s="1" t="str">
        <f>IF(Table1[[#This Row],[Column1]]=0,"",Table1[[#This Row],[Column1]])</f>
        <v/>
      </c>
      <c r="Y80" s="1" t="s">
        <v>1098</v>
      </c>
      <c r="Z80" s="1">
        <v>2481</v>
      </c>
      <c r="AA80">
        <v>832</v>
      </c>
      <c r="AB80" s="1" t="s">
        <v>25</v>
      </c>
      <c r="AC80" s="1" t="s">
        <v>57</v>
      </c>
      <c r="AD80" s="1">
        <v>41</v>
      </c>
      <c r="AE80" s="3" t="s">
        <v>19</v>
      </c>
    </row>
    <row r="81" spans="1:31" ht="15.75" customHeight="1" x14ac:dyDescent="0.35">
      <c r="A81" s="1" t="s">
        <v>170</v>
      </c>
      <c r="B81" t="s">
        <v>1083</v>
      </c>
      <c r="C81" s="1" t="s">
        <v>218</v>
      </c>
      <c r="D81" s="1" t="s">
        <v>219</v>
      </c>
      <c r="E81" s="5">
        <v>45117</v>
      </c>
      <c r="F81" s="4" t="str">
        <f>IF(ISNUMBER(Table13[[#This Row],[Claim_Date2]]),"",Table13[[#This Row],[Claim_Date2]])</f>
        <v/>
      </c>
      <c r="G81" s="4" t="s">
        <v>1098</v>
      </c>
      <c r="H81" s="4" t="str">
        <f>LEFT(Table13[[#This Row],[Values Col 1]],3)</f>
        <v/>
      </c>
      <c r="I81" s="4" t="s">
        <v>1098</v>
      </c>
      <c r="J81" s="4" t="str">
        <f>MID(Table13[[#This Row],[Function Col]],5,2)</f>
        <v/>
      </c>
      <c r="K81" s="4" t="s">
        <v>1098</v>
      </c>
      <c r="L81" s="4" t="str">
        <f>RIGHT(Table13[[#This Row],[Function Col]],4)</f>
        <v/>
      </c>
      <c r="M81" s="4" t="s">
        <v>1098</v>
      </c>
      <c r="N81" s="4" t="str">
        <f>IF(Table13[[#This Row],[Function Col5]]="","",_xlfn.CONCAT(Table13[[#This Row],[Day Col]],"/",Table13[[#This Row],[Month Col]],"/",Table13[[#This Row],[Year Col]]))</f>
        <v/>
      </c>
      <c r="O81" s="4" t="s">
        <v>1098</v>
      </c>
      <c r="P81" s="4">
        <f>IF(ISNUMBER(Table13[[#This Row],[Claim_Date2]]),Table13[[#This Row],[Claim_Date2]],Table13[[#This Row],[Function Col32]])</f>
        <v>45117</v>
      </c>
      <c r="Q81" s="4">
        <v>45117</v>
      </c>
      <c r="R81" s="1" t="s">
        <v>77</v>
      </c>
      <c r="S81" s="1" t="s">
        <v>31</v>
      </c>
      <c r="T81" t="s">
        <v>1086</v>
      </c>
      <c r="W81">
        <f>IF(Table1[[#This Row],[Claim_Amount]]&lt;0,0,Table1[[#This Row],[Claim_Amount]])</f>
        <v>0</v>
      </c>
      <c r="X81" t="str">
        <f>IF(Table1[[#This Row],[Column1]]=0,"",Table1[[#This Row],[Column1]])</f>
        <v/>
      </c>
      <c r="Y81" t="s">
        <v>1098</v>
      </c>
      <c r="Z81">
        <v>2481</v>
      </c>
      <c r="AA81" s="1">
        <v>376.26</v>
      </c>
      <c r="AB81" s="1" t="s">
        <v>1091</v>
      </c>
      <c r="AC81" s="1" t="s">
        <v>1093</v>
      </c>
      <c r="AD81">
        <v>9</v>
      </c>
      <c r="AE81" s="3" t="s">
        <v>1097</v>
      </c>
    </row>
    <row r="82" spans="1:31" ht="15.75" customHeight="1" x14ac:dyDescent="0.35">
      <c r="A82" s="1" t="s">
        <v>50</v>
      </c>
      <c r="B82" s="1" t="s">
        <v>220</v>
      </c>
      <c r="C82" s="1" t="s">
        <v>221</v>
      </c>
      <c r="D82" s="1" t="s">
        <v>222</v>
      </c>
      <c r="E82" s="5" t="s">
        <v>222</v>
      </c>
      <c r="F82" s="4" t="str">
        <f>IF(ISNUMBER(Table13[[#This Row],[Claim_Date2]]),"",Table13[[#This Row],[Claim_Date2]])</f>
        <v>Dec 02 2023</v>
      </c>
      <c r="G82" s="4" t="s">
        <v>222</v>
      </c>
      <c r="H82" s="4" t="str">
        <f>LEFT(Table13[[#This Row],[Values Col 1]],3)</f>
        <v>Dec</v>
      </c>
      <c r="I82" s="4" t="s">
        <v>1111</v>
      </c>
      <c r="J82" s="4" t="str">
        <f>MID(Table13[[#This Row],[Function Col]],5,2)</f>
        <v>02</v>
      </c>
      <c r="K82" s="4" t="s">
        <v>1130</v>
      </c>
      <c r="L82" s="4" t="str">
        <f>RIGHT(Table13[[#This Row],[Function Col]],4)</f>
        <v>2023</v>
      </c>
      <c r="M82" s="4" t="s">
        <v>1146</v>
      </c>
      <c r="N82" s="4" t="str">
        <f>IF(Table13[[#This Row],[Function Col5]]="","",_xlfn.CONCAT(Table13[[#This Row],[Day Col]],"/",Table13[[#This Row],[Month Col]],"/",Table13[[#This Row],[Year Col]]))</f>
        <v>02/Dec/2023</v>
      </c>
      <c r="O82" s="4" t="s">
        <v>1173</v>
      </c>
      <c r="P82" s="4" t="str">
        <f>IF(ISNUMBER(Table13[[#This Row],[Claim_Date2]]),Table13[[#This Row],[Claim_Date2]],Table13[[#This Row],[Function Col32]])</f>
        <v>02/Dec/2023</v>
      </c>
      <c r="Q82" s="4">
        <v>45262</v>
      </c>
      <c r="R82" s="1" t="s">
        <v>16</v>
      </c>
      <c r="S82" s="1" t="s">
        <v>53</v>
      </c>
      <c r="T82" s="1" t="s">
        <v>24</v>
      </c>
      <c r="U82" s="1"/>
      <c r="W82">
        <f>IF(Table1[[#This Row],[Claim_Amount]]&lt;0,0,Table1[[#This Row],[Claim_Amount]])</f>
        <v>0</v>
      </c>
      <c r="X82" t="str">
        <f>IF(Table1[[#This Row],[Column1]]=0,"",Table1[[#This Row],[Column1]])</f>
        <v/>
      </c>
      <c r="Y82" t="s">
        <v>1098</v>
      </c>
      <c r="Z82">
        <v>2481</v>
      </c>
      <c r="AA82">
        <v>832</v>
      </c>
      <c r="AB82" s="1" t="s">
        <v>42</v>
      </c>
      <c r="AC82" s="1" t="s">
        <v>18</v>
      </c>
      <c r="AD82">
        <v>9</v>
      </c>
      <c r="AE82" s="3" t="s">
        <v>1097</v>
      </c>
    </row>
    <row r="83" spans="1:31" ht="15.75" customHeight="1" x14ac:dyDescent="0.35">
      <c r="A83" s="1" t="s">
        <v>96</v>
      </c>
      <c r="B83" t="s">
        <v>1083</v>
      </c>
      <c r="C83" t="s">
        <v>1084</v>
      </c>
      <c r="D83" s="1" t="s">
        <v>223</v>
      </c>
      <c r="E83" s="5">
        <v>44936</v>
      </c>
      <c r="F83" s="4" t="str">
        <f>IF(ISNUMBER(Table13[[#This Row],[Claim_Date2]]),"",Table13[[#This Row],[Claim_Date2]])</f>
        <v/>
      </c>
      <c r="G83" s="4" t="s">
        <v>1098</v>
      </c>
      <c r="H83" s="4" t="str">
        <f>LEFT(Table13[[#This Row],[Values Col 1]],3)</f>
        <v/>
      </c>
      <c r="I83" s="4" t="s">
        <v>1098</v>
      </c>
      <c r="J83" s="4" t="str">
        <f>MID(Table13[[#This Row],[Function Col]],5,2)</f>
        <v/>
      </c>
      <c r="K83" s="4" t="s">
        <v>1098</v>
      </c>
      <c r="L83" s="4" t="str">
        <f>RIGHT(Table13[[#This Row],[Function Col]],4)</f>
        <v/>
      </c>
      <c r="M83" s="4" t="s">
        <v>1098</v>
      </c>
      <c r="N83" s="4" t="str">
        <f>IF(Table13[[#This Row],[Function Col5]]="","",_xlfn.CONCAT(Table13[[#This Row],[Day Col]],"/",Table13[[#This Row],[Month Col]],"/",Table13[[#This Row],[Year Col]]))</f>
        <v/>
      </c>
      <c r="O83" s="4" t="s">
        <v>1098</v>
      </c>
      <c r="P83" s="4">
        <f>IF(ISNUMBER(Table13[[#This Row],[Claim_Date2]]),Table13[[#This Row],[Claim_Date2]],Table13[[#This Row],[Function Col32]])</f>
        <v>44936</v>
      </c>
      <c r="Q83" s="4">
        <v>44936</v>
      </c>
      <c r="R83" s="1" t="s">
        <v>85</v>
      </c>
      <c r="S83" s="1" t="s">
        <v>31</v>
      </c>
      <c r="T83" s="1" t="s">
        <v>48</v>
      </c>
      <c r="U83" s="1"/>
      <c r="W83">
        <f>IF(Table1[[#This Row],[Claim_Amount]]&lt;0,0,Table1[[#This Row],[Claim_Amount]])</f>
        <v>0</v>
      </c>
      <c r="X83" t="str">
        <f>IF(Table1[[#This Row],[Column1]]=0,"",Table1[[#This Row],[Column1]])</f>
        <v/>
      </c>
      <c r="Y83" t="s">
        <v>1098</v>
      </c>
      <c r="Z83">
        <v>2481</v>
      </c>
      <c r="AA83" s="1">
        <v>431.97</v>
      </c>
      <c r="AB83" s="1" t="s">
        <v>1091</v>
      </c>
      <c r="AC83" s="1" t="s">
        <v>57</v>
      </c>
      <c r="AD83">
        <v>9</v>
      </c>
      <c r="AE83" s="3" t="s">
        <v>1097</v>
      </c>
    </row>
    <row r="84" spans="1:31" ht="15.75" customHeight="1" x14ac:dyDescent="0.35">
      <c r="A84" s="1" t="s">
        <v>166</v>
      </c>
      <c r="B84" t="s">
        <v>1083</v>
      </c>
      <c r="C84" s="1" t="s">
        <v>224</v>
      </c>
      <c r="D84" s="1" t="s">
        <v>225</v>
      </c>
      <c r="E84" s="5">
        <v>45232</v>
      </c>
      <c r="F84" s="4" t="str">
        <f>IF(ISNUMBER(Table13[[#This Row],[Claim_Date2]]),"",Table13[[#This Row],[Claim_Date2]])</f>
        <v/>
      </c>
      <c r="G84" s="4" t="s">
        <v>1098</v>
      </c>
      <c r="H84" s="4" t="str">
        <f>LEFT(Table13[[#This Row],[Values Col 1]],3)</f>
        <v/>
      </c>
      <c r="I84" s="4" t="s">
        <v>1098</v>
      </c>
      <c r="J84" s="4" t="str">
        <f>MID(Table13[[#This Row],[Function Col]],5,2)</f>
        <v/>
      </c>
      <c r="K84" s="4" t="s">
        <v>1098</v>
      </c>
      <c r="L84" s="4" t="str">
        <f>RIGHT(Table13[[#This Row],[Function Col]],4)</f>
        <v/>
      </c>
      <c r="M84" s="4" t="s">
        <v>1098</v>
      </c>
      <c r="N84" s="4" t="str">
        <f>IF(Table13[[#This Row],[Function Col5]]="","",_xlfn.CONCAT(Table13[[#This Row],[Day Col]],"/",Table13[[#This Row],[Month Col]],"/",Table13[[#This Row],[Year Col]]))</f>
        <v/>
      </c>
      <c r="O84" s="4" t="s">
        <v>1098</v>
      </c>
      <c r="P84" s="4">
        <f>IF(ISNUMBER(Table13[[#This Row],[Claim_Date2]]),Table13[[#This Row],[Claim_Date2]],Table13[[#This Row],[Function Col32]])</f>
        <v>45232</v>
      </c>
      <c r="Q84" s="4">
        <v>45232</v>
      </c>
      <c r="R84" s="1" t="s">
        <v>85</v>
      </c>
      <c r="S84" t="s">
        <v>1085</v>
      </c>
      <c r="T84" s="1" t="s">
        <v>54</v>
      </c>
      <c r="U84" s="1"/>
      <c r="V84" s="1">
        <v>-52</v>
      </c>
      <c r="W84" s="1">
        <f>IF(Table1[[#This Row],[Claim_Amount]]&lt;0,0,Table1[[#This Row],[Claim_Amount]])</f>
        <v>0</v>
      </c>
      <c r="X84" s="1" t="str">
        <f>IF(Table1[[#This Row],[Column1]]=0,"",Table1[[#This Row],[Column1]])</f>
        <v/>
      </c>
      <c r="Y84" s="1" t="s">
        <v>1098</v>
      </c>
      <c r="Z84" s="1">
        <v>2481</v>
      </c>
      <c r="AA84">
        <v>832</v>
      </c>
      <c r="AB84" s="1" t="s">
        <v>17</v>
      </c>
      <c r="AC84" s="1" t="s">
        <v>1093</v>
      </c>
      <c r="AD84">
        <v>9</v>
      </c>
      <c r="AE84" s="3" t="s">
        <v>37</v>
      </c>
    </row>
    <row r="85" spans="1:31" ht="15.75" customHeight="1" x14ac:dyDescent="0.35">
      <c r="A85" s="1" t="s">
        <v>198</v>
      </c>
      <c r="B85" s="1" t="s">
        <v>226</v>
      </c>
      <c r="C85" t="s">
        <v>1084</v>
      </c>
      <c r="D85" s="1" t="s">
        <v>227</v>
      </c>
      <c r="E85" s="5" t="s">
        <v>227</v>
      </c>
      <c r="F85" s="4" t="str">
        <f>IF(ISNUMBER(Table13[[#This Row],[Claim_Date2]]),"",Table13[[#This Row],[Claim_Date2]])</f>
        <v>Dec 14 2023</v>
      </c>
      <c r="G85" s="4" t="s">
        <v>227</v>
      </c>
      <c r="H85" s="4" t="str">
        <f>LEFT(Table13[[#This Row],[Values Col 1]],3)</f>
        <v>Dec</v>
      </c>
      <c r="I85" s="4" t="s">
        <v>1111</v>
      </c>
      <c r="J85" s="4" t="str">
        <f>MID(Table13[[#This Row],[Function Col]],5,2)</f>
        <v>14</v>
      </c>
      <c r="K85" s="4" t="s">
        <v>1131</v>
      </c>
      <c r="L85" s="4" t="str">
        <f>RIGHT(Table13[[#This Row],[Function Col]],4)</f>
        <v>2023</v>
      </c>
      <c r="M85" s="4" t="s">
        <v>1146</v>
      </c>
      <c r="N85" s="4" t="str">
        <f>IF(Table13[[#This Row],[Function Col5]]="","",_xlfn.CONCAT(Table13[[#This Row],[Day Col]],"/",Table13[[#This Row],[Month Col]],"/",Table13[[#This Row],[Year Col]]))</f>
        <v>14/Dec/2023</v>
      </c>
      <c r="O85" s="4" t="s">
        <v>1174</v>
      </c>
      <c r="P85" s="4" t="str">
        <f>IF(ISNUMBER(Table13[[#This Row],[Claim_Date2]]),Table13[[#This Row],[Claim_Date2]],Table13[[#This Row],[Function Col32]])</f>
        <v>14/Dec/2023</v>
      </c>
      <c r="Q85" s="4">
        <v>45274</v>
      </c>
      <c r="R85" s="1" t="s">
        <v>77</v>
      </c>
      <c r="S85" s="1" t="s">
        <v>53</v>
      </c>
      <c r="T85" s="1" t="s">
        <v>41</v>
      </c>
      <c r="U85" s="1"/>
      <c r="V85" s="1">
        <v>-138</v>
      </c>
      <c r="W85" s="1">
        <f>IF(Table1[[#This Row],[Claim_Amount]]&lt;0,0,Table1[[#This Row],[Claim_Amount]])</f>
        <v>0</v>
      </c>
      <c r="X85" s="1" t="str">
        <f>IF(Table1[[#This Row],[Column1]]=0,"",Table1[[#This Row],[Column1]])</f>
        <v/>
      </c>
      <c r="Y85" s="1" t="s">
        <v>1098</v>
      </c>
      <c r="Z85" s="1">
        <v>2481</v>
      </c>
      <c r="AA85" s="1">
        <v>4833.03</v>
      </c>
      <c r="AB85" s="1" t="s">
        <v>1091</v>
      </c>
      <c r="AC85" s="1" t="s">
        <v>18</v>
      </c>
      <c r="AD85">
        <v>9</v>
      </c>
      <c r="AE85" s="3" t="s">
        <v>19</v>
      </c>
    </row>
    <row r="86" spans="1:31" ht="15.75" customHeight="1" x14ac:dyDescent="0.35">
      <c r="A86" s="1" t="s">
        <v>43</v>
      </c>
      <c r="B86" t="s">
        <v>1083</v>
      </c>
      <c r="C86" s="1" t="s">
        <v>228</v>
      </c>
      <c r="D86" s="1" t="s">
        <v>229</v>
      </c>
      <c r="E86" s="5">
        <v>45191</v>
      </c>
      <c r="F86" s="4" t="str">
        <f>IF(ISNUMBER(Table13[[#This Row],[Claim_Date2]]),"",Table13[[#This Row],[Claim_Date2]])</f>
        <v/>
      </c>
      <c r="G86" s="4" t="s">
        <v>1098</v>
      </c>
      <c r="H86" s="4" t="str">
        <f>LEFT(Table13[[#This Row],[Values Col 1]],3)</f>
        <v/>
      </c>
      <c r="I86" s="4" t="s">
        <v>1098</v>
      </c>
      <c r="J86" s="4" t="str">
        <f>MID(Table13[[#This Row],[Function Col]],5,2)</f>
        <v/>
      </c>
      <c r="K86" s="4" t="s">
        <v>1098</v>
      </c>
      <c r="L86" s="4" t="str">
        <f>RIGHT(Table13[[#This Row],[Function Col]],4)</f>
        <v/>
      </c>
      <c r="M86" s="4" t="s">
        <v>1098</v>
      </c>
      <c r="N86" s="4" t="str">
        <f>IF(Table13[[#This Row],[Function Col5]]="","",_xlfn.CONCAT(Table13[[#This Row],[Day Col]],"/",Table13[[#This Row],[Month Col]],"/",Table13[[#This Row],[Year Col]]))</f>
        <v/>
      </c>
      <c r="O86" s="4" t="s">
        <v>1098</v>
      </c>
      <c r="P86" s="4">
        <f>IF(ISNUMBER(Table13[[#This Row],[Claim_Date2]]),Table13[[#This Row],[Claim_Date2]],Table13[[#This Row],[Function Col32]])</f>
        <v>45191</v>
      </c>
      <c r="Q86" s="4">
        <v>45191</v>
      </c>
      <c r="R86" s="1" t="s">
        <v>16</v>
      </c>
      <c r="S86" s="1" t="s">
        <v>93</v>
      </c>
      <c r="T86" s="1" t="s">
        <v>41</v>
      </c>
      <c r="U86" s="1"/>
      <c r="W86">
        <f>IF(Table1[[#This Row],[Claim_Amount]]&lt;0,0,Table1[[#This Row],[Claim_Amount]])</f>
        <v>0</v>
      </c>
      <c r="X86" t="str">
        <f>IF(Table1[[#This Row],[Column1]]=0,"",Table1[[#This Row],[Column1]])</f>
        <v/>
      </c>
      <c r="Y86" t="s">
        <v>1098</v>
      </c>
      <c r="Z86">
        <v>2481</v>
      </c>
      <c r="AA86" s="1">
        <v>4163.68</v>
      </c>
      <c r="AB86" s="1" t="s">
        <v>17</v>
      </c>
      <c r="AC86" s="1" t="s">
        <v>1093</v>
      </c>
      <c r="AD86">
        <v>9</v>
      </c>
      <c r="AE86" s="3" t="s">
        <v>19</v>
      </c>
    </row>
    <row r="87" spans="1:31" ht="15.75" customHeight="1" x14ac:dyDescent="0.35">
      <c r="A87" s="1" t="s">
        <v>70</v>
      </c>
      <c r="B87" t="s">
        <v>1083</v>
      </c>
      <c r="C87" t="s">
        <v>1084</v>
      </c>
      <c r="D87" s="1" t="s">
        <v>230</v>
      </c>
      <c r="E87" s="5">
        <v>45124</v>
      </c>
      <c r="F87" s="4" t="str">
        <f>IF(ISNUMBER(Table13[[#This Row],[Claim_Date2]]),"",Table13[[#This Row],[Claim_Date2]])</f>
        <v/>
      </c>
      <c r="G87" s="4" t="s">
        <v>1098</v>
      </c>
      <c r="H87" s="4" t="str">
        <f>LEFT(Table13[[#This Row],[Values Col 1]],3)</f>
        <v/>
      </c>
      <c r="I87" s="4" t="s">
        <v>1098</v>
      </c>
      <c r="J87" s="4" t="str">
        <f>MID(Table13[[#This Row],[Function Col]],5,2)</f>
        <v/>
      </c>
      <c r="K87" s="4" t="s">
        <v>1098</v>
      </c>
      <c r="L87" s="4" t="str">
        <f>RIGHT(Table13[[#This Row],[Function Col]],4)</f>
        <v/>
      </c>
      <c r="M87" s="4" t="s">
        <v>1098</v>
      </c>
      <c r="N87" s="4" t="str">
        <f>IF(Table13[[#This Row],[Function Col5]]="","",_xlfn.CONCAT(Table13[[#This Row],[Day Col]],"/",Table13[[#This Row],[Month Col]],"/",Table13[[#This Row],[Year Col]]))</f>
        <v/>
      </c>
      <c r="O87" s="4" t="s">
        <v>1098</v>
      </c>
      <c r="P87" s="4">
        <f>IF(ISNUMBER(Table13[[#This Row],[Claim_Date2]]),Table13[[#This Row],[Claim_Date2]],Table13[[#This Row],[Function Col32]])</f>
        <v>45124</v>
      </c>
      <c r="Q87" s="4">
        <v>45124</v>
      </c>
      <c r="R87" s="1" t="s">
        <v>85</v>
      </c>
      <c r="S87" s="1" t="s">
        <v>23</v>
      </c>
      <c r="T87" s="1" t="s">
        <v>41</v>
      </c>
      <c r="U87" s="1"/>
      <c r="W87">
        <f>IF(Table1[[#This Row],[Claim_Amount]]&lt;0,0,Table1[[#This Row],[Claim_Amount]])</f>
        <v>0</v>
      </c>
      <c r="X87" t="str">
        <f>IF(Table1[[#This Row],[Column1]]=0,"",Table1[[#This Row],[Column1]])</f>
        <v/>
      </c>
      <c r="Y87" t="s">
        <v>1098</v>
      </c>
      <c r="Z87">
        <v>2481</v>
      </c>
      <c r="AA87" s="1">
        <v>3967.33</v>
      </c>
      <c r="AB87" s="1" t="s">
        <v>25</v>
      </c>
      <c r="AC87" s="1" t="s">
        <v>32</v>
      </c>
      <c r="AD87">
        <v>9</v>
      </c>
      <c r="AE87" s="3" t="s">
        <v>65</v>
      </c>
    </row>
    <row r="88" spans="1:31" ht="15.75" customHeight="1" x14ac:dyDescent="0.35">
      <c r="A88" s="1" t="s">
        <v>231</v>
      </c>
      <c r="B88" t="s">
        <v>1083</v>
      </c>
      <c r="C88" s="1" t="s">
        <v>232</v>
      </c>
      <c r="D88" s="1" t="s">
        <v>233</v>
      </c>
      <c r="E88" s="5">
        <v>44967</v>
      </c>
      <c r="F88" s="4" t="str">
        <f>IF(ISNUMBER(Table13[[#This Row],[Claim_Date2]]),"",Table13[[#This Row],[Claim_Date2]])</f>
        <v/>
      </c>
      <c r="G88" s="4" t="s">
        <v>1098</v>
      </c>
      <c r="H88" s="4" t="str">
        <f>LEFT(Table13[[#This Row],[Values Col 1]],3)</f>
        <v/>
      </c>
      <c r="I88" s="4" t="s">
        <v>1098</v>
      </c>
      <c r="J88" s="4" t="str">
        <f>MID(Table13[[#This Row],[Function Col]],5,2)</f>
        <v/>
      </c>
      <c r="K88" s="4" t="s">
        <v>1098</v>
      </c>
      <c r="L88" s="4" t="str">
        <f>RIGHT(Table13[[#This Row],[Function Col]],4)</f>
        <v/>
      </c>
      <c r="M88" s="4" t="s">
        <v>1098</v>
      </c>
      <c r="N88" s="4" t="str">
        <f>IF(Table13[[#This Row],[Function Col5]]="","",_xlfn.CONCAT(Table13[[#This Row],[Day Col]],"/",Table13[[#This Row],[Month Col]],"/",Table13[[#This Row],[Year Col]]))</f>
        <v/>
      </c>
      <c r="O88" s="4" t="s">
        <v>1098</v>
      </c>
      <c r="P88" s="4">
        <f>IF(ISNUMBER(Table13[[#This Row],[Claim_Date2]]),Table13[[#This Row],[Claim_Date2]],Table13[[#This Row],[Function Col32]])</f>
        <v>44967</v>
      </c>
      <c r="Q88" s="4">
        <v>44967</v>
      </c>
      <c r="R88" s="1" t="s">
        <v>85</v>
      </c>
      <c r="S88" s="1" t="s">
        <v>93</v>
      </c>
      <c r="T88" s="1" t="s">
        <v>54</v>
      </c>
      <c r="U88" s="1"/>
      <c r="V88" s="1">
        <v>-165</v>
      </c>
      <c r="W88" s="1">
        <f>IF(Table1[[#This Row],[Claim_Amount]]&lt;0,0,Table1[[#This Row],[Claim_Amount]])</f>
        <v>0</v>
      </c>
      <c r="X88" s="1" t="str">
        <f>IF(Table1[[#This Row],[Column1]]=0,"",Table1[[#This Row],[Column1]])</f>
        <v/>
      </c>
      <c r="Y88" s="1" t="s">
        <v>1098</v>
      </c>
      <c r="Z88" s="1">
        <v>2481</v>
      </c>
      <c r="AA88">
        <v>832</v>
      </c>
      <c r="AB88" s="1" t="s">
        <v>17</v>
      </c>
      <c r="AC88" s="1" t="s">
        <v>32</v>
      </c>
      <c r="AD88" s="1">
        <v>7</v>
      </c>
      <c r="AE88" s="3" t="s">
        <v>65</v>
      </c>
    </row>
    <row r="89" spans="1:31" ht="15.75" customHeight="1" x14ac:dyDescent="0.35">
      <c r="A89" s="1" t="s">
        <v>70</v>
      </c>
      <c r="B89" t="s">
        <v>1083</v>
      </c>
      <c r="C89" s="1" t="s">
        <v>152</v>
      </c>
      <c r="D89" s="1" t="s">
        <v>234</v>
      </c>
      <c r="E89" s="5" t="s">
        <v>234</v>
      </c>
      <c r="F89" s="4" t="str">
        <f>IF(ISNUMBER(Table13[[#This Row],[Claim_Date2]]),"",Table13[[#This Row],[Claim_Date2]])</f>
        <v>Nov 02 2023</v>
      </c>
      <c r="G89" s="4" t="s">
        <v>234</v>
      </c>
      <c r="H89" s="4" t="str">
        <f>LEFT(Table13[[#This Row],[Values Col 1]],3)</f>
        <v>Nov</v>
      </c>
      <c r="I89" s="4" t="s">
        <v>1105</v>
      </c>
      <c r="J89" s="4" t="str">
        <f>MID(Table13[[#This Row],[Function Col]],5,2)</f>
        <v>02</v>
      </c>
      <c r="K89" s="4" t="s">
        <v>1130</v>
      </c>
      <c r="L89" s="4" t="str">
        <f>RIGHT(Table13[[#This Row],[Function Col]],4)</f>
        <v>2023</v>
      </c>
      <c r="M89" s="4" t="s">
        <v>1146</v>
      </c>
      <c r="N89" s="4" t="str">
        <f>IF(Table13[[#This Row],[Function Col5]]="","",_xlfn.CONCAT(Table13[[#This Row],[Day Col]],"/",Table13[[#This Row],[Month Col]],"/",Table13[[#This Row],[Year Col]]))</f>
        <v>02/Nov/2023</v>
      </c>
      <c r="O89" s="4" t="s">
        <v>1175</v>
      </c>
      <c r="P89" s="4" t="str">
        <f>IF(ISNUMBER(Table13[[#This Row],[Claim_Date2]]),Table13[[#This Row],[Claim_Date2]],Table13[[#This Row],[Function Col32]])</f>
        <v>02/Nov/2023</v>
      </c>
      <c r="Q89" s="4">
        <v>45232</v>
      </c>
      <c r="R89" s="1" t="s">
        <v>16</v>
      </c>
      <c r="S89" t="s">
        <v>1085</v>
      </c>
      <c r="T89" s="1" t="s">
        <v>54</v>
      </c>
      <c r="U89" s="1"/>
      <c r="W89">
        <f>IF(Table1[[#This Row],[Claim_Amount]]&lt;0,0,Table1[[#This Row],[Claim_Amount]])</f>
        <v>0</v>
      </c>
      <c r="X89" t="str">
        <f>IF(Table1[[#This Row],[Column1]]=0,"",Table1[[#This Row],[Column1]])</f>
        <v/>
      </c>
      <c r="Y89" t="s">
        <v>1098</v>
      </c>
      <c r="Z89">
        <v>2481</v>
      </c>
      <c r="AA89" s="1">
        <v>1491.8</v>
      </c>
      <c r="AB89" s="1" t="s">
        <v>1091</v>
      </c>
      <c r="AC89" s="1" t="s">
        <v>32</v>
      </c>
      <c r="AD89">
        <v>9</v>
      </c>
      <c r="AE89" s="3" t="s">
        <v>37</v>
      </c>
    </row>
    <row r="90" spans="1:31" ht="15.75" customHeight="1" x14ac:dyDescent="0.35">
      <c r="A90" s="1" t="s">
        <v>102</v>
      </c>
      <c r="B90" t="s">
        <v>1083</v>
      </c>
      <c r="C90" t="s">
        <v>1084</v>
      </c>
      <c r="D90" s="1" t="s">
        <v>235</v>
      </c>
      <c r="E90" s="5" t="s">
        <v>235</v>
      </c>
      <c r="F90" s="4" t="str">
        <f>IF(ISNUMBER(Table13[[#This Row],[Claim_Date2]]),"",Table13[[#This Row],[Claim_Date2]])</f>
        <v>Oct 06 2023</v>
      </c>
      <c r="G90" s="4" t="s">
        <v>235</v>
      </c>
      <c r="H90" s="4" t="str">
        <f>LEFT(Table13[[#This Row],[Values Col 1]],3)</f>
        <v>Oct</v>
      </c>
      <c r="I90" s="4" t="s">
        <v>1103</v>
      </c>
      <c r="J90" s="4" t="str">
        <f>MID(Table13[[#This Row],[Function Col]],5,2)</f>
        <v>06</v>
      </c>
      <c r="K90" s="4" t="s">
        <v>1132</v>
      </c>
      <c r="L90" s="4" t="str">
        <f>RIGHT(Table13[[#This Row],[Function Col]],4)</f>
        <v>2023</v>
      </c>
      <c r="M90" s="4" t="s">
        <v>1146</v>
      </c>
      <c r="N90" s="4" t="str">
        <f>IF(Table13[[#This Row],[Function Col5]]="","",_xlfn.CONCAT(Table13[[#This Row],[Day Col]],"/",Table13[[#This Row],[Month Col]],"/",Table13[[#This Row],[Year Col]]))</f>
        <v>06/Oct/2023</v>
      </c>
      <c r="O90" s="4" t="s">
        <v>1176</v>
      </c>
      <c r="P90" s="4" t="str">
        <f>IF(ISNUMBER(Table13[[#This Row],[Claim_Date2]]),Table13[[#This Row],[Claim_Date2]],Table13[[#This Row],[Function Col32]])</f>
        <v>06/Oct/2023</v>
      </c>
      <c r="Q90" s="4">
        <v>45205</v>
      </c>
      <c r="R90" s="1" t="s">
        <v>85</v>
      </c>
      <c r="S90" s="1" t="s">
        <v>47</v>
      </c>
      <c r="T90" s="1" t="s">
        <v>54</v>
      </c>
      <c r="U90" s="1"/>
      <c r="V90" s="1">
        <v>150.65</v>
      </c>
      <c r="W90" s="1">
        <f>IF(Table1[[#This Row],[Claim_Amount]]&lt;0,0,Table1[[#This Row],[Claim_Amount]])</f>
        <v>150.65</v>
      </c>
      <c r="X90" s="1">
        <f>IF(Table1[[#This Row],[Column1]]=0,"",Table1[[#This Row],[Column1]])</f>
        <v>150.65</v>
      </c>
      <c r="Y90" s="1">
        <v>150.65</v>
      </c>
      <c r="Z90" s="1">
        <v>150.65</v>
      </c>
      <c r="AA90">
        <v>832</v>
      </c>
      <c r="AB90" s="1" t="s">
        <v>42</v>
      </c>
      <c r="AC90" s="1" t="s">
        <v>26</v>
      </c>
      <c r="AD90" s="1">
        <v>22</v>
      </c>
      <c r="AE90" s="3" t="s">
        <v>27</v>
      </c>
    </row>
    <row r="91" spans="1:31" ht="15.75" customHeight="1" x14ac:dyDescent="0.35">
      <c r="A91" s="1" t="s">
        <v>170</v>
      </c>
      <c r="B91" t="s">
        <v>1083</v>
      </c>
      <c r="C91" s="1" t="s">
        <v>150</v>
      </c>
      <c r="D91" s="1" t="s">
        <v>236</v>
      </c>
      <c r="E91" s="5">
        <v>45224</v>
      </c>
      <c r="F91" s="4" t="str">
        <f>IF(ISNUMBER(Table13[[#This Row],[Claim_Date2]]),"",Table13[[#This Row],[Claim_Date2]])</f>
        <v/>
      </c>
      <c r="G91" s="4" t="s">
        <v>1098</v>
      </c>
      <c r="H91" s="4" t="str">
        <f>LEFT(Table13[[#This Row],[Values Col 1]],3)</f>
        <v/>
      </c>
      <c r="I91" s="4" t="s">
        <v>1098</v>
      </c>
      <c r="J91" s="4" t="str">
        <f>MID(Table13[[#This Row],[Function Col]],5,2)</f>
        <v/>
      </c>
      <c r="K91" s="4" t="s">
        <v>1098</v>
      </c>
      <c r="L91" s="4" t="str">
        <f>RIGHT(Table13[[#This Row],[Function Col]],4)</f>
        <v/>
      </c>
      <c r="M91" s="4" t="s">
        <v>1098</v>
      </c>
      <c r="N91" s="4" t="str">
        <f>IF(Table13[[#This Row],[Function Col5]]="","",_xlfn.CONCAT(Table13[[#This Row],[Day Col]],"/",Table13[[#This Row],[Month Col]],"/",Table13[[#This Row],[Year Col]]))</f>
        <v/>
      </c>
      <c r="O91" s="4" t="s">
        <v>1098</v>
      </c>
      <c r="P91" s="4">
        <f>IF(ISNUMBER(Table13[[#This Row],[Claim_Date2]]),Table13[[#This Row],[Claim_Date2]],Table13[[#This Row],[Function Col32]])</f>
        <v>45224</v>
      </c>
      <c r="Q91" s="4">
        <v>45224</v>
      </c>
      <c r="R91" s="1" t="s">
        <v>92</v>
      </c>
      <c r="S91" s="1" t="s">
        <v>47</v>
      </c>
      <c r="T91" s="1" t="s">
        <v>41</v>
      </c>
      <c r="U91" s="1"/>
      <c r="V91" s="1">
        <v>-54</v>
      </c>
      <c r="W91" s="1">
        <f>IF(Table1[[#This Row],[Claim_Amount]]&lt;0,0,Table1[[#This Row],[Claim_Amount]])</f>
        <v>0</v>
      </c>
      <c r="X91" s="1" t="str">
        <f>IF(Table1[[#This Row],[Column1]]=0,"",Table1[[#This Row],[Column1]])</f>
        <v/>
      </c>
      <c r="Y91" s="1" t="s">
        <v>1098</v>
      </c>
      <c r="Z91" s="1">
        <v>2481</v>
      </c>
      <c r="AA91">
        <v>832</v>
      </c>
      <c r="AB91" s="1" t="s">
        <v>17</v>
      </c>
      <c r="AC91" s="1" t="s">
        <v>18</v>
      </c>
      <c r="AD91">
        <v>9</v>
      </c>
      <c r="AE91" s="3" t="s">
        <v>37</v>
      </c>
    </row>
    <row r="92" spans="1:31" ht="15.75" customHeight="1" x14ac:dyDescent="0.35">
      <c r="A92" s="1" t="s">
        <v>166</v>
      </c>
      <c r="B92" s="1" t="s">
        <v>237</v>
      </c>
      <c r="C92" s="1" t="s">
        <v>238</v>
      </c>
      <c r="D92" s="1" t="s">
        <v>239</v>
      </c>
      <c r="E92" s="5" t="s">
        <v>239</v>
      </c>
      <c r="F92" s="4" t="str">
        <f>IF(ISNUMBER(Table13[[#This Row],[Claim_Date2]]),"",Table13[[#This Row],[Claim_Date2]])</f>
        <v>Jun 08 2023</v>
      </c>
      <c r="G92" s="4" t="s">
        <v>239</v>
      </c>
      <c r="H92" s="4" t="str">
        <f>LEFT(Table13[[#This Row],[Values Col 1]],3)</f>
        <v>Jun</v>
      </c>
      <c r="I92" s="4" t="s">
        <v>1108</v>
      </c>
      <c r="J92" s="4" t="str">
        <f>MID(Table13[[#This Row],[Function Col]],5,2)</f>
        <v>08</v>
      </c>
      <c r="K92" s="4" t="s">
        <v>1119</v>
      </c>
      <c r="L92" s="4" t="str">
        <f>RIGHT(Table13[[#This Row],[Function Col]],4)</f>
        <v>2023</v>
      </c>
      <c r="M92" s="4" t="s">
        <v>1146</v>
      </c>
      <c r="N92" s="4" t="str">
        <f>IF(Table13[[#This Row],[Function Col5]]="","",_xlfn.CONCAT(Table13[[#This Row],[Day Col]],"/",Table13[[#This Row],[Month Col]],"/",Table13[[#This Row],[Year Col]]))</f>
        <v>08/Jun/2023</v>
      </c>
      <c r="O92" s="4" t="s">
        <v>1177</v>
      </c>
      <c r="P92" s="4" t="str">
        <f>IF(ISNUMBER(Table13[[#This Row],[Claim_Date2]]),Table13[[#This Row],[Claim_Date2]],Table13[[#This Row],[Function Col32]])</f>
        <v>08/Jun/2023</v>
      </c>
      <c r="Q92" s="4">
        <v>45085</v>
      </c>
      <c r="R92" s="1" t="s">
        <v>77</v>
      </c>
      <c r="S92" s="1" t="s">
        <v>47</v>
      </c>
      <c r="T92" s="1" t="s">
        <v>48</v>
      </c>
      <c r="U92" s="1"/>
      <c r="W92">
        <f>IF(Table1[[#This Row],[Claim_Amount]]&lt;0,0,Table1[[#This Row],[Claim_Amount]])</f>
        <v>0</v>
      </c>
      <c r="X92" t="str">
        <f>IF(Table1[[#This Row],[Column1]]=0,"",Table1[[#This Row],[Column1]])</f>
        <v/>
      </c>
      <c r="Y92" t="s">
        <v>1098</v>
      </c>
      <c r="Z92">
        <v>2481</v>
      </c>
      <c r="AA92" s="1">
        <v>1466.25</v>
      </c>
      <c r="AB92" s="1" t="s">
        <v>42</v>
      </c>
      <c r="AC92" s="1" t="s">
        <v>32</v>
      </c>
      <c r="AD92">
        <v>9</v>
      </c>
      <c r="AE92" s="3" t="s">
        <v>37</v>
      </c>
    </row>
    <row r="93" spans="1:31" ht="15.75" customHeight="1" x14ac:dyDescent="0.35">
      <c r="A93" s="1" t="s">
        <v>78</v>
      </c>
      <c r="B93" t="s">
        <v>1083</v>
      </c>
      <c r="C93" t="s">
        <v>1084</v>
      </c>
      <c r="D93" s="1" t="s">
        <v>240</v>
      </c>
      <c r="E93" s="5">
        <v>45181</v>
      </c>
      <c r="F93" s="4" t="str">
        <f>IF(ISNUMBER(Table13[[#This Row],[Claim_Date2]]),"",Table13[[#This Row],[Claim_Date2]])</f>
        <v/>
      </c>
      <c r="G93" s="4" t="s">
        <v>1098</v>
      </c>
      <c r="H93" s="4" t="str">
        <f>LEFT(Table13[[#This Row],[Values Col 1]],3)</f>
        <v/>
      </c>
      <c r="I93" s="4" t="s">
        <v>1098</v>
      </c>
      <c r="J93" s="4" t="str">
        <f>MID(Table13[[#This Row],[Function Col]],5,2)</f>
        <v/>
      </c>
      <c r="K93" s="4" t="s">
        <v>1098</v>
      </c>
      <c r="L93" s="4" t="str">
        <f>RIGHT(Table13[[#This Row],[Function Col]],4)</f>
        <v/>
      </c>
      <c r="M93" s="4" t="s">
        <v>1098</v>
      </c>
      <c r="N93" s="4" t="str">
        <f>IF(Table13[[#This Row],[Function Col5]]="","",_xlfn.CONCAT(Table13[[#This Row],[Day Col]],"/",Table13[[#This Row],[Month Col]],"/",Table13[[#This Row],[Year Col]]))</f>
        <v/>
      </c>
      <c r="O93" s="4" t="s">
        <v>1098</v>
      </c>
      <c r="P93" s="4">
        <f>IF(ISNUMBER(Table13[[#This Row],[Claim_Date2]]),Table13[[#This Row],[Claim_Date2]],Table13[[#This Row],[Function Col32]])</f>
        <v>45181</v>
      </c>
      <c r="Q93" s="4">
        <v>45181</v>
      </c>
      <c r="R93" s="1" t="s">
        <v>92</v>
      </c>
      <c r="S93" s="1" t="s">
        <v>47</v>
      </c>
      <c r="T93" s="1" t="s">
        <v>41</v>
      </c>
      <c r="U93" s="1"/>
      <c r="V93" s="1">
        <v>-196</v>
      </c>
      <c r="W93" s="1">
        <f>IF(Table1[[#This Row],[Claim_Amount]]&lt;0,0,Table1[[#This Row],[Claim_Amount]])</f>
        <v>0</v>
      </c>
      <c r="X93" s="1" t="str">
        <f>IF(Table1[[#This Row],[Column1]]=0,"",Table1[[#This Row],[Column1]])</f>
        <v/>
      </c>
      <c r="Y93" s="1" t="s">
        <v>1098</v>
      </c>
      <c r="Z93" s="1">
        <v>2481</v>
      </c>
      <c r="AA93">
        <v>832</v>
      </c>
      <c r="AB93" s="1" t="s">
        <v>17</v>
      </c>
      <c r="AC93" s="1" t="s">
        <v>57</v>
      </c>
      <c r="AD93">
        <v>9</v>
      </c>
      <c r="AE93" s="3" t="s">
        <v>19</v>
      </c>
    </row>
    <row r="94" spans="1:31" ht="15.75" customHeight="1" x14ac:dyDescent="0.35">
      <c r="A94" s="1" t="s">
        <v>96</v>
      </c>
      <c r="B94" t="s">
        <v>1083</v>
      </c>
      <c r="C94" t="s">
        <v>1084</v>
      </c>
      <c r="D94" s="1" t="s">
        <v>241</v>
      </c>
      <c r="E94" s="5">
        <v>45155</v>
      </c>
      <c r="F94" s="4" t="str">
        <f>IF(ISNUMBER(Table13[[#This Row],[Claim_Date2]]),"",Table13[[#This Row],[Claim_Date2]])</f>
        <v/>
      </c>
      <c r="G94" s="4" t="s">
        <v>1098</v>
      </c>
      <c r="H94" s="4" t="str">
        <f>LEFT(Table13[[#This Row],[Values Col 1]],3)</f>
        <v/>
      </c>
      <c r="I94" s="4" t="s">
        <v>1098</v>
      </c>
      <c r="J94" s="4" t="str">
        <f>MID(Table13[[#This Row],[Function Col]],5,2)</f>
        <v/>
      </c>
      <c r="K94" s="4" t="s">
        <v>1098</v>
      </c>
      <c r="L94" s="4" t="str">
        <f>RIGHT(Table13[[#This Row],[Function Col]],4)</f>
        <v/>
      </c>
      <c r="M94" s="4" t="s">
        <v>1098</v>
      </c>
      <c r="N94" s="4" t="str">
        <f>IF(Table13[[#This Row],[Function Col5]]="","",_xlfn.CONCAT(Table13[[#This Row],[Day Col]],"/",Table13[[#This Row],[Month Col]],"/",Table13[[#This Row],[Year Col]]))</f>
        <v/>
      </c>
      <c r="O94" s="4" t="s">
        <v>1098</v>
      </c>
      <c r="P94" s="4">
        <f>IF(ISNUMBER(Table13[[#This Row],[Claim_Date2]]),Table13[[#This Row],[Claim_Date2]],Table13[[#This Row],[Function Col32]])</f>
        <v>45155</v>
      </c>
      <c r="Q94" s="4">
        <v>45155</v>
      </c>
      <c r="R94" s="1" t="s">
        <v>16</v>
      </c>
      <c r="S94" s="1" t="s">
        <v>53</v>
      </c>
      <c r="T94" s="1" t="s">
        <v>41</v>
      </c>
      <c r="U94" s="1"/>
      <c r="W94">
        <f>IF(Table1[[#This Row],[Claim_Amount]]&lt;0,0,Table1[[#This Row],[Claim_Amount]])</f>
        <v>0</v>
      </c>
      <c r="X94" t="str">
        <f>IF(Table1[[#This Row],[Column1]]=0,"",Table1[[#This Row],[Column1]])</f>
        <v/>
      </c>
      <c r="Y94" t="s">
        <v>1098</v>
      </c>
      <c r="Z94">
        <v>2481</v>
      </c>
      <c r="AA94">
        <v>832</v>
      </c>
      <c r="AB94" s="1" t="s">
        <v>42</v>
      </c>
      <c r="AC94" s="1" t="s">
        <v>26</v>
      </c>
      <c r="AD94">
        <v>9</v>
      </c>
      <c r="AE94" s="3" t="s">
        <v>37</v>
      </c>
    </row>
    <row r="95" spans="1:31" ht="15.75" customHeight="1" x14ac:dyDescent="0.35">
      <c r="A95" s="1" t="s">
        <v>242</v>
      </c>
      <c r="B95" t="s">
        <v>1083</v>
      </c>
      <c r="C95" s="1" t="s">
        <v>243</v>
      </c>
      <c r="D95" s="1" t="s">
        <v>244</v>
      </c>
      <c r="E95" s="5" t="s">
        <v>244</v>
      </c>
      <c r="F95" s="4" t="str">
        <f>IF(ISNUMBER(Table13[[#This Row],[Claim_Date2]]),"",Table13[[#This Row],[Claim_Date2]])</f>
        <v>Nov 08 2023</v>
      </c>
      <c r="G95" s="4" t="s">
        <v>244</v>
      </c>
      <c r="H95" s="4" t="str">
        <f>LEFT(Table13[[#This Row],[Values Col 1]],3)</f>
        <v>Nov</v>
      </c>
      <c r="I95" s="4" t="s">
        <v>1105</v>
      </c>
      <c r="J95" s="4" t="str">
        <f>MID(Table13[[#This Row],[Function Col]],5,2)</f>
        <v>08</v>
      </c>
      <c r="K95" s="4" t="s">
        <v>1119</v>
      </c>
      <c r="L95" s="4" t="str">
        <f>RIGHT(Table13[[#This Row],[Function Col]],4)</f>
        <v>2023</v>
      </c>
      <c r="M95" s="4" t="s">
        <v>1146</v>
      </c>
      <c r="N95" s="4" t="str">
        <f>IF(Table13[[#This Row],[Function Col5]]="","",_xlfn.CONCAT(Table13[[#This Row],[Day Col]],"/",Table13[[#This Row],[Month Col]],"/",Table13[[#This Row],[Year Col]]))</f>
        <v>08/Nov/2023</v>
      </c>
      <c r="O95" s="4" t="s">
        <v>1178</v>
      </c>
      <c r="P95" s="4" t="str">
        <f>IF(ISNUMBER(Table13[[#This Row],[Claim_Date2]]),Table13[[#This Row],[Claim_Date2]],Table13[[#This Row],[Function Col32]])</f>
        <v>08/Nov/2023</v>
      </c>
      <c r="Q95" s="4">
        <v>45238</v>
      </c>
      <c r="R95" s="1" t="s">
        <v>85</v>
      </c>
      <c r="S95" s="1" t="s">
        <v>53</v>
      </c>
      <c r="T95" s="1" t="s">
        <v>61</v>
      </c>
      <c r="U95" s="1"/>
      <c r="W95">
        <f>IF(Table1[[#This Row],[Claim_Amount]]&lt;0,0,Table1[[#This Row],[Claim_Amount]])</f>
        <v>0</v>
      </c>
      <c r="X95" t="str">
        <f>IF(Table1[[#This Row],[Column1]]=0,"",Table1[[#This Row],[Column1]])</f>
        <v/>
      </c>
      <c r="Y95" t="s">
        <v>1098</v>
      </c>
      <c r="Z95">
        <v>2481</v>
      </c>
      <c r="AA95">
        <v>832</v>
      </c>
      <c r="AB95" s="1" t="s">
        <v>25</v>
      </c>
      <c r="AC95" s="1" t="s">
        <v>57</v>
      </c>
      <c r="AD95">
        <v>9</v>
      </c>
      <c r="AE95" s="3" t="s">
        <v>37</v>
      </c>
    </row>
    <row r="96" spans="1:31" ht="15.75" customHeight="1" x14ac:dyDescent="0.35">
      <c r="A96" s="1" t="s">
        <v>242</v>
      </c>
      <c r="B96" t="s">
        <v>1083</v>
      </c>
      <c r="C96" s="1" t="s">
        <v>245</v>
      </c>
      <c r="D96" s="1" t="s">
        <v>246</v>
      </c>
      <c r="E96" s="5">
        <v>44997</v>
      </c>
      <c r="F96" s="4" t="str">
        <f>IF(ISNUMBER(Table13[[#This Row],[Claim_Date2]]),"",Table13[[#This Row],[Claim_Date2]])</f>
        <v/>
      </c>
      <c r="G96" s="4" t="s">
        <v>1098</v>
      </c>
      <c r="H96" s="4" t="str">
        <f>LEFT(Table13[[#This Row],[Values Col 1]],3)</f>
        <v/>
      </c>
      <c r="I96" s="4" t="s">
        <v>1098</v>
      </c>
      <c r="J96" s="4" t="str">
        <f>MID(Table13[[#This Row],[Function Col]],5,2)</f>
        <v/>
      </c>
      <c r="K96" s="4" t="s">
        <v>1098</v>
      </c>
      <c r="L96" s="4" t="str">
        <f>RIGHT(Table13[[#This Row],[Function Col]],4)</f>
        <v/>
      </c>
      <c r="M96" s="4" t="s">
        <v>1098</v>
      </c>
      <c r="N96" s="4" t="str">
        <f>IF(Table13[[#This Row],[Function Col5]]="","",_xlfn.CONCAT(Table13[[#This Row],[Day Col]],"/",Table13[[#This Row],[Month Col]],"/",Table13[[#This Row],[Year Col]]))</f>
        <v/>
      </c>
      <c r="O96" s="4" t="s">
        <v>1098</v>
      </c>
      <c r="P96" s="4">
        <f>IF(ISNUMBER(Table13[[#This Row],[Claim_Date2]]),Table13[[#This Row],[Claim_Date2]],Table13[[#This Row],[Function Col32]])</f>
        <v>44997</v>
      </c>
      <c r="Q96" s="4">
        <v>44997</v>
      </c>
      <c r="R96" s="1" t="s">
        <v>77</v>
      </c>
      <c r="S96" s="1" t="s">
        <v>31</v>
      </c>
      <c r="T96" t="s">
        <v>1086</v>
      </c>
      <c r="V96" s="1">
        <v>1429.51</v>
      </c>
      <c r="W96" s="1">
        <f>IF(Table1[[#This Row],[Claim_Amount]]&lt;0,0,Table1[[#This Row],[Claim_Amount]])</f>
        <v>1429.51</v>
      </c>
      <c r="X96" s="1">
        <f>IF(Table1[[#This Row],[Column1]]=0,"",Table1[[#This Row],[Column1]])</f>
        <v>1429.51</v>
      </c>
      <c r="Y96" s="1">
        <v>1429.51</v>
      </c>
      <c r="Z96" s="1">
        <v>1429.51</v>
      </c>
      <c r="AA96">
        <v>832</v>
      </c>
      <c r="AB96" s="1" t="s">
        <v>1091</v>
      </c>
      <c r="AC96" s="1" t="s">
        <v>1093</v>
      </c>
      <c r="AD96">
        <v>9</v>
      </c>
      <c r="AE96" s="3" t="s">
        <v>19</v>
      </c>
    </row>
    <row r="97" spans="1:31" ht="15.75" customHeight="1" x14ac:dyDescent="0.35">
      <c r="A97" s="1" t="s">
        <v>247</v>
      </c>
      <c r="B97" t="s">
        <v>1083</v>
      </c>
      <c r="C97" t="s">
        <v>1084</v>
      </c>
      <c r="D97" s="1" t="s">
        <v>248</v>
      </c>
      <c r="E97" s="5" t="s">
        <v>248</v>
      </c>
      <c r="F97" s="4" t="str">
        <f>IF(ISNUMBER(Table13[[#This Row],[Claim_Date2]]),"",Table13[[#This Row],[Claim_Date2]])</f>
        <v>May 27 2023</v>
      </c>
      <c r="G97" s="4" t="s">
        <v>248</v>
      </c>
      <c r="H97" s="4" t="str">
        <f>LEFT(Table13[[#This Row],[Values Col 1]],3)</f>
        <v>May</v>
      </c>
      <c r="I97" s="4" t="s">
        <v>1110</v>
      </c>
      <c r="J97" s="4" t="str">
        <f>MID(Table13[[#This Row],[Function Col]],5,2)</f>
        <v>27</v>
      </c>
      <c r="K97" s="4" t="s">
        <v>1124</v>
      </c>
      <c r="L97" s="4" t="str">
        <f>RIGHT(Table13[[#This Row],[Function Col]],4)</f>
        <v>2023</v>
      </c>
      <c r="M97" s="4" t="s">
        <v>1146</v>
      </c>
      <c r="N97" s="4" t="str">
        <f>IF(Table13[[#This Row],[Function Col5]]="","",_xlfn.CONCAT(Table13[[#This Row],[Day Col]],"/",Table13[[#This Row],[Month Col]],"/",Table13[[#This Row],[Year Col]]))</f>
        <v>27/May/2023</v>
      </c>
      <c r="O97" s="4" t="s">
        <v>1179</v>
      </c>
      <c r="P97" s="4" t="str">
        <f>IF(ISNUMBER(Table13[[#This Row],[Claim_Date2]]),Table13[[#This Row],[Claim_Date2]],Table13[[#This Row],[Function Col32]])</f>
        <v>27/May/2023</v>
      </c>
      <c r="Q97" s="4">
        <v>45073</v>
      </c>
      <c r="R97" s="1" t="s">
        <v>77</v>
      </c>
      <c r="S97" s="1" t="s">
        <v>93</v>
      </c>
      <c r="T97" s="1" t="s">
        <v>61</v>
      </c>
      <c r="U97" s="1"/>
      <c r="V97" s="1">
        <v>-28</v>
      </c>
      <c r="W97" s="1">
        <f>IF(Table1[[#This Row],[Claim_Amount]]&lt;0,0,Table1[[#This Row],[Claim_Amount]])</f>
        <v>0</v>
      </c>
      <c r="X97" s="1" t="str">
        <f>IF(Table1[[#This Row],[Column1]]=0,"",Table1[[#This Row],[Column1]])</f>
        <v/>
      </c>
      <c r="Y97" s="1" t="s">
        <v>1098</v>
      </c>
      <c r="Z97" s="1">
        <v>2481</v>
      </c>
      <c r="AA97">
        <v>832</v>
      </c>
      <c r="AB97" s="1" t="s">
        <v>25</v>
      </c>
      <c r="AC97" s="1" t="s">
        <v>26</v>
      </c>
      <c r="AD97">
        <v>9</v>
      </c>
      <c r="AE97" s="3" t="s">
        <v>27</v>
      </c>
    </row>
    <row r="98" spans="1:31" ht="15.75" customHeight="1" x14ac:dyDescent="0.35">
      <c r="A98" s="1" t="s">
        <v>249</v>
      </c>
      <c r="B98" t="s">
        <v>1083</v>
      </c>
      <c r="C98" t="s">
        <v>1084</v>
      </c>
      <c r="D98" s="1" t="s">
        <v>250</v>
      </c>
      <c r="E98" s="5" t="s">
        <v>250</v>
      </c>
      <c r="F98" s="4" t="str">
        <f>IF(ISNUMBER(Table13[[#This Row],[Claim_Date2]]),"",Table13[[#This Row],[Claim_Date2]])</f>
        <v>Dec 31 2023</v>
      </c>
      <c r="G98" s="4" t="s">
        <v>250</v>
      </c>
      <c r="H98" s="4" t="str">
        <f>LEFT(Table13[[#This Row],[Values Col 1]],3)</f>
        <v>Dec</v>
      </c>
      <c r="I98" s="4" t="s">
        <v>1111</v>
      </c>
      <c r="J98" s="4" t="str">
        <f>MID(Table13[[#This Row],[Function Col]],5,2)</f>
        <v>31</v>
      </c>
      <c r="K98" s="4" t="s">
        <v>1133</v>
      </c>
      <c r="L98" s="4" t="str">
        <f>RIGHT(Table13[[#This Row],[Function Col]],4)</f>
        <v>2023</v>
      </c>
      <c r="M98" s="4" t="s">
        <v>1146</v>
      </c>
      <c r="N98" s="4" t="str">
        <f>IF(Table13[[#This Row],[Function Col5]]="","",_xlfn.CONCAT(Table13[[#This Row],[Day Col]],"/",Table13[[#This Row],[Month Col]],"/",Table13[[#This Row],[Year Col]]))</f>
        <v>31/Dec/2023</v>
      </c>
      <c r="O98" s="4" t="s">
        <v>1180</v>
      </c>
      <c r="P98" s="4" t="str">
        <f>IF(ISNUMBER(Table13[[#This Row],[Claim_Date2]]),Table13[[#This Row],[Claim_Date2]],Table13[[#This Row],[Function Col32]])</f>
        <v>31/Dec/2023</v>
      </c>
      <c r="Q98" s="4">
        <v>45291</v>
      </c>
      <c r="R98" s="1" t="s">
        <v>16</v>
      </c>
      <c r="S98" t="s">
        <v>1085</v>
      </c>
      <c r="T98" s="1" t="s">
        <v>24</v>
      </c>
      <c r="U98" s="1"/>
      <c r="W98">
        <f>IF(Table1[[#This Row],[Claim_Amount]]&lt;0,0,Table1[[#This Row],[Claim_Amount]])</f>
        <v>0</v>
      </c>
      <c r="X98" t="str">
        <f>IF(Table1[[#This Row],[Column1]]=0,"",Table1[[#This Row],[Column1]])</f>
        <v/>
      </c>
      <c r="Y98" t="s">
        <v>1098</v>
      </c>
      <c r="Z98">
        <v>2481</v>
      </c>
      <c r="AA98" s="1">
        <v>650.74</v>
      </c>
      <c r="AB98" s="1" t="s">
        <v>17</v>
      </c>
      <c r="AC98" s="1" t="s">
        <v>18</v>
      </c>
      <c r="AD98">
        <v>9</v>
      </c>
      <c r="AE98" s="3" t="s">
        <v>19</v>
      </c>
    </row>
    <row r="99" spans="1:31" ht="15.75" customHeight="1" x14ac:dyDescent="0.35">
      <c r="A99" s="1" t="s">
        <v>242</v>
      </c>
      <c r="B99" t="s">
        <v>1083</v>
      </c>
      <c r="C99" t="s">
        <v>1084</v>
      </c>
      <c r="D99" s="1" t="s">
        <v>251</v>
      </c>
      <c r="E99" s="5">
        <v>45209</v>
      </c>
      <c r="F99" s="4" t="str">
        <f>IF(ISNUMBER(Table13[[#This Row],[Claim_Date2]]),"",Table13[[#This Row],[Claim_Date2]])</f>
        <v/>
      </c>
      <c r="G99" s="4" t="s">
        <v>1098</v>
      </c>
      <c r="H99" s="4" t="str">
        <f>LEFT(Table13[[#This Row],[Values Col 1]],3)</f>
        <v/>
      </c>
      <c r="I99" s="4" t="s">
        <v>1098</v>
      </c>
      <c r="J99" s="4" t="str">
        <f>MID(Table13[[#This Row],[Function Col]],5,2)</f>
        <v/>
      </c>
      <c r="K99" s="4" t="s">
        <v>1098</v>
      </c>
      <c r="L99" s="4" t="str">
        <f>RIGHT(Table13[[#This Row],[Function Col]],4)</f>
        <v/>
      </c>
      <c r="M99" s="4" t="s">
        <v>1098</v>
      </c>
      <c r="N99" s="4" t="str">
        <f>IF(Table13[[#This Row],[Function Col5]]="","",_xlfn.CONCAT(Table13[[#This Row],[Day Col]],"/",Table13[[#This Row],[Month Col]],"/",Table13[[#This Row],[Year Col]]))</f>
        <v/>
      </c>
      <c r="O99" s="4" t="s">
        <v>1098</v>
      </c>
      <c r="P99" s="4">
        <f>IF(ISNUMBER(Table13[[#This Row],[Claim_Date2]]),Table13[[#This Row],[Claim_Date2]],Table13[[#This Row],[Function Col32]])</f>
        <v>45209</v>
      </c>
      <c r="Q99" s="4">
        <v>45209</v>
      </c>
      <c r="R99" s="1" t="s">
        <v>16</v>
      </c>
      <c r="S99" s="1" t="s">
        <v>31</v>
      </c>
      <c r="T99" s="1" t="s">
        <v>48</v>
      </c>
      <c r="U99" s="1"/>
      <c r="V99" s="1">
        <v>-194</v>
      </c>
      <c r="W99" s="1">
        <f>IF(Table1[[#This Row],[Claim_Amount]]&lt;0,0,Table1[[#This Row],[Claim_Amount]])</f>
        <v>0</v>
      </c>
      <c r="X99" s="1" t="str">
        <f>IF(Table1[[#This Row],[Column1]]=0,"",Table1[[#This Row],[Column1]])</f>
        <v/>
      </c>
      <c r="Y99" s="1" t="s">
        <v>1098</v>
      </c>
      <c r="Z99" s="1">
        <v>2481</v>
      </c>
      <c r="AA99">
        <v>832</v>
      </c>
      <c r="AB99" s="1" t="s">
        <v>1091</v>
      </c>
      <c r="AC99" s="1" t="s">
        <v>26</v>
      </c>
      <c r="AD99">
        <v>9</v>
      </c>
      <c r="AE99" s="3" t="s">
        <v>19</v>
      </c>
    </row>
    <row r="100" spans="1:31" ht="15.75" customHeight="1" x14ac:dyDescent="0.35">
      <c r="A100" s="1" t="s">
        <v>215</v>
      </c>
      <c r="B100" t="s">
        <v>1083</v>
      </c>
      <c r="C100" t="s">
        <v>1084</v>
      </c>
      <c r="D100" s="1" t="s">
        <v>252</v>
      </c>
      <c r="E100" s="5" t="s">
        <v>252</v>
      </c>
      <c r="F100" s="4" t="str">
        <f>IF(ISNUMBER(Table13[[#This Row],[Claim_Date2]]),"",Table13[[#This Row],[Claim_Date2]])</f>
        <v>Nov 24 2023</v>
      </c>
      <c r="G100" s="4" t="s">
        <v>252</v>
      </c>
      <c r="H100" s="4" t="str">
        <f>LEFT(Table13[[#This Row],[Values Col 1]],3)</f>
        <v>Nov</v>
      </c>
      <c r="I100" s="4" t="s">
        <v>1105</v>
      </c>
      <c r="J100" s="4" t="str">
        <f>MID(Table13[[#This Row],[Function Col]],5,2)</f>
        <v>24</v>
      </c>
      <c r="K100" s="4" t="s">
        <v>1115</v>
      </c>
      <c r="L100" s="4" t="str">
        <f>RIGHT(Table13[[#This Row],[Function Col]],4)</f>
        <v>2023</v>
      </c>
      <c r="M100" s="4" t="s">
        <v>1146</v>
      </c>
      <c r="N100" s="4" t="str">
        <f>IF(Table13[[#This Row],[Function Col5]]="","",_xlfn.CONCAT(Table13[[#This Row],[Day Col]],"/",Table13[[#This Row],[Month Col]],"/",Table13[[#This Row],[Year Col]]))</f>
        <v>24/Nov/2023</v>
      </c>
      <c r="O100" s="4" t="s">
        <v>1181</v>
      </c>
      <c r="P100" s="4" t="str">
        <f>IF(ISNUMBER(Table13[[#This Row],[Claim_Date2]]),Table13[[#This Row],[Claim_Date2]],Table13[[#This Row],[Function Col32]])</f>
        <v>24/Nov/2023</v>
      </c>
      <c r="Q100" s="4">
        <v>45254</v>
      </c>
      <c r="R100" s="1" t="s">
        <v>85</v>
      </c>
      <c r="S100" s="1" t="s">
        <v>93</v>
      </c>
      <c r="T100" s="1" t="s">
        <v>48</v>
      </c>
      <c r="U100" s="1"/>
      <c r="V100" s="1">
        <v>2539.1799999999998</v>
      </c>
      <c r="W100" s="1">
        <f>IF(Table1[[#This Row],[Claim_Amount]]&lt;0,0,Table1[[#This Row],[Claim_Amount]])</f>
        <v>2539.1799999999998</v>
      </c>
      <c r="X100" s="1">
        <f>IF(Table1[[#This Row],[Column1]]=0,"",Table1[[#This Row],[Column1]])</f>
        <v>2539.1799999999998</v>
      </c>
      <c r="Y100" s="1">
        <v>2539.1799999999998</v>
      </c>
      <c r="Z100" s="1">
        <v>2539.1799999999998</v>
      </c>
      <c r="AA100">
        <v>832</v>
      </c>
      <c r="AB100" s="1" t="s">
        <v>17</v>
      </c>
      <c r="AC100" s="1" t="s">
        <v>18</v>
      </c>
      <c r="AD100">
        <v>9</v>
      </c>
      <c r="AE100" s="3" t="s">
        <v>65</v>
      </c>
    </row>
    <row r="101" spans="1:31" ht="15.75" customHeight="1" x14ac:dyDescent="0.35">
      <c r="A101" s="1" t="s">
        <v>28</v>
      </c>
      <c r="B101" t="s">
        <v>1083</v>
      </c>
      <c r="C101" t="s">
        <v>1084</v>
      </c>
      <c r="D101" s="1" t="s">
        <v>253</v>
      </c>
      <c r="E101" s="5">
        <v>45252</v>
      </c>
      <c r="F101" s="4" t="str">
        <f>IF(ISNUMBER(Table13[[#This Row],[Claim_Date2]]),"",Table13[[#This Row],[Claim_Date2]])</f>
        <v/>
      </c>
      <c r="G101" s="4" t="s">
        <v>1098</v>
      </c>
      <c r="H101" s="4" t="str">
        <f>LEFT(Table13[[#This Row],[Values Col 1]],3)</f>
        <v/>
      </c>
      <c r="I101" s="4" t="s">
        <v>1098</v>
      </c>
      <c r="J101" s="4" t="str">
        <f>MID(Table13[[#This Row],[Function Col]],5,2)</f>
        <v/>
      </c>
      <c r="K101" s="4" t="s">
        <v>1098</v>
      </c>
      <c r="L101" s="4" t="str">
        <f>RIGHT(Table13[[#This Row],[Function Col]],4)</f>
        <v/>
      </c>
      <c r="M101" s="4" t="s">
        <v>1098</v>
      </c>
      <c r="N101" s="4" t="str">
        <f>IF(Table13[[#This Row],[Function Col5]]="","",_xlfn.CONCAT(Table13[[#This Row],[Day Col]],"/",Table13[[#This Row],[Month Col]],"/",Table13[[#This Row],[Year Col]]))</f>
        <v/>
      </c>
      <c r="O101" s="4" t="s">
        <v>1098</v>
      </c>
      <c r="P101" s="4">
        <f>IF(ISNUMBER(Table13[[#This Row],[Claim_Date2]]),Table13[[#This Row],[Claim_Date2]],Table13[[#This Row],[Function Col32]])</f>
        <v>45252</v>
      </c>
      <c r="Q101" s="4">
        <v>45252</v>
      </c>
      <c r="R101" s="1" t="s">
        <v>85</v>
      </c>
      <c r="S101" t="s">
        <v>1085</v>
      </c>
      <c r="T101" s="1" t="s">
        <v>41</v>
      </c>
      <c r="U101" s="1"/>
      <c r="W101">
        <f>IF(Table1[[#This Row],[Claim_Amount]]&lt;0,0,Table1[[#This Row],[Claim_Amount]])</f>
        <v>0</v>
      </c>
      <c r="X101" t="str">
        <f>IF(Table1[[#This Row],[Column1]]=0,"",Table1[[#This Row],[Column1]])</f>
        <v/>
      </c>
      <c r="Y101" t="s">
        <v>1098</v>
      </c>
      <c r="Z101">
        <v>2481</v>
      </c>
      <c r="AA101">
        <v>832</v>
      </c>
      <c r="AB101" s="1" t="s">
        <v>17</v>
      </c>
      <c r="AC101" s="1" t="s">
        <v>18</v>
      </c>
      <c r="AD101">
        <v>9</v>
      </c>
      <c r="AE101" s="3" t="s">
        <v>1097</v>
      </c>
    </row>
    <row r="102" spans="1:31" ht="15.75" customHeight="1" x14ac:dyDescent="0.35">
      <c r="A102" s="1" t="s">
        <v>114</v>
      </c>
      <c r="B102" s="1" t="s">
        <v>254</v>
      </c>
      <c r="C102" s="1" t="s">
        <v>193</v>
      </c>
      <c r="D102" s="1" t="s">
        <v>255</v>
      </c>
      <c r="E102" s="5">
        <v>45255</v>
      </c>
      <c r="F102" s="4" t="str">
        <f>IF(ISNUMBER(Table13[[#This Row],[Claim_Date2]]),"",Table13[[#This Row],[Claim_Date2]])</f>
        <v/>
      </c>
      <c r="G102" s="4" t="s">
        <v>1098</v>
      </c>
      <c r="H102" s="4" t="str">
        <f>LEFT(Table13[[#This Row],[Values Col 1]],3)</f>
        <v/>
      </c>
      <c r="I102" s="4" t="s">
        <v>1098</v>
      </c>
      <c r="J102" s="4" t="str">
        <f>MID(Table13[[#This Row],[Function Col]],5,2)</f>
        <v/>
      </c>
      <c r="K102" s="4" t="s">
        <v>1098</v>
      </c>
      <c r="L102" s="4" t="str">
        <f>RIGHT(Table13[[#This Row],[Function Col]],4)</f>
        <v/>
      </c>
      <c r="M102" s="4" t="s">
        <v>1098</v>
      </c>
      <c r="N102" s="4" t="str">
        <f>IF(Table13[[#This Row],[Function Col5]]="","",_xlfn.CONCAT(Table13[[#This Row],[Day Col]],"/",Table13[[#This Row],[Month Col]],"/",Table13[[#This Row],[Year Col]]))</f>
        <v/>
      </c>
      <c r="O102" s="4" t="s">
        <v>1098</v>
      </c>
      <c r="P102" s="4">
        <f>IF(ISNUMBER(Table13[[#This Row],[Claim_Date2]]),Table13[[#This Row],[Claim_Date2]],Table13[[#This Row],[Function Col32]])</f>
        <v>45255</v>
      </c>
      <c r="Q102" s="4">
        <v>45255</v>
      </c>
      <c r="R102" s="1" t="s">
        <v>16</v>
      </c>
      <c r="S102" s="1" t="s">
        <v>93</v>
      </c>
      <c r="T102" s="1" t="s">
        <v>54</v>
      </c>
      <c r="U102" s="1"/>
      <c r="V102" s="1">
        <v>2112.1</v>
      </c>
      <c r="W102" s="1">
        <f>IF(Table1[[#This Row],[Claim_Amount]]&lt;0,0,Table1[[#This Row],[Claim_Amount]])</f>
        <v>2112.1</v>
      </c>
      <c r="X102" s="1">
        <f>IF(Table1[[#This Row],[Column1]]=0,"",Table1[[#This Row],[Column1]])</f>
        <v>2112.1</v>
      </c>
      <c r="Y102" s="1">
        <v>2112.1</v>
      </c>
      <c r="Z102" s="1">
        <v>2112.1</v>
      </c>
      <c r="AA102">
        <v>832</v>
      </c>
      <c r="AB102" s="1" t="s">
        <v>1091</v>
      </c>
      <c r="AC102" s="1" t="s">
        <v>32</v>
      </c>
      <c r="AD102">
        <v>9</v>
      </c>
      <c r="AE102" s="3" t="s">
        <v>37</v>
      </c>
    </row>
    <row r="103" spans="1:31" ht="15.75" customHeight="1" x14ac:dyDescent="0.35">
      <c r="A103" s="1" t="s">
        <v>170</v>
      </c>
      <c r="B103" t="s">
        <v>1083</v>
      </c>
      <c r="C103" t="s">
        <v>1084</v>
      </c>
      <c r="D103" s="1" t="s">
        <v>256</v>
      </c>
      <c r="E103" s="5">
        <v>44964</v>
      </c>
      <c r="F103" s="4" t="str">
        <f>IF(ISNUMBER(Table13[[#This Row],[Claim_Date2]]),"",Table13[[#This Row],[Claim_Date2]])</f>
        <v/>
      </c>
      <c r="G103" s="4" t="s">
        <v>1098</v>
      </c>
      <c r="H103" s="4" t="str">
        <f>LEFT(Table13[[#This Row],[Values Col 1]],3)</f>
        <v/>
      </c>
      <c r="I103" s="4" t="s">
        <v>1098</v>
      </c>
      <c r="J103" s="4" t="str">
        <f>MID(Table13[[#This Row],[Function Col]],5,2)</f>
        <v/>
      </c>
      <c r="K103" s="4" t="s">
        <v>1098</v>
      </c>
      <c r="L103" s="4" t="str">
        <f>RIGHT(Table13[[#This Row],[Function Col]],4)</f>
        <v/>
      </c>
      <c r="M103" s="4" t="s">
        <v>1098</v>
      </c>
      <c r="N103" s="4" t="str">
        <f>IF(Table13[[#This Row],[Function Col5]]="","",_xlfn.CONCAT(Table13[[#This Row],[Day Col]],"/",Table13[[#This Row],[Month Col]],"/",Table13[[#This Row],[Year Col]]))</f>
        <v/>
      </c>
      <c r="O103" s="4" t="s">
        <v>1098</v>
      </c>
      <c r="P103" s="4">
        <f>IF(ISNUMBER(Table13[[#This Row],[Claim_Date2]]),Table13[[#This Row],[Claim_Date2]],Table13[[#This Row],[Function Col32]])</f>
        <v>44964</v>
      </c>
      <c r="Q103" s="4">
        <v>44964</v>
      </c>
      <c r="R103" s="1" t="s">
        <v>77</v>
      </c>
      <c r="S103" s="1" t="s">
        <v>53</v>
      </c>
      <c r="T103" s="1" t="s">
        <v>48</v>
      </c>
      <c r="U103" s="1"/>
      <c r="W103">
        <f>IF(Table1[[#This Row],[Claim_Amount]]&lt;0,0,Table1[[#This Row],[Claim_Amount]])</f>
        <v>0</v>
      </c>
      <c r="X103" t="str">
        <f>IF(Table1[[#This Row],[Column1]]=0,"",Table1[[#This Row],[Column1]])</f>
        <v/>
      </c>
      <c r="Y103" t="s">
        <v>1098</v>
      </c>
      <c r="Z103">
        <v>2481</v>
      </c>
      <c r="AA103">
        <v>832</v>
      </c>
      <c r="AB103" s="1" t="s">
        <v>42</v>
      </c>
      <c r="AC103" s="1" t="s">
        <v>32</v>
      </c>
      <c r="AD103" s="1">
        <v>25</v>
      </c>
      <c r="AE103" s="3" t="s">
        <v>27</v>
      </c>
    </row>
    <row r="104" spans="1:31" ht="15.75" customHeight="1" x14ac:dyDescent="0.35">
      <c r="A104" s="1" t="s">
        <v>163</v>
      </c>
      <c r="B104" s="1" t="s">
        <v>257</v>
      </c>
      <c r="C104" s="1" t="s">
        <v>258</v>
      </c>
      <c r="D104" s="1" t="s">
        <v>259</v>
      </c>
      <c r="E104" s="5">
        <v>44989</v>
      </c>
      <c r="F104" s="4" t="str">
        <f>IF(ISNUMBER(Table13[[#This Row],[Claim_Date2]]),"",Table13[[#This Row],[Claim_Date2]])</f>
        <v/>
      </c>
      <c r="G104" s="4" t="s">
        <v>1098</v>
      </c>
      <c r="H104" s="4" t="str">
        <f>LEFT(Table13[[#This Row],[Values Col 1]],3)</f>
        <v/>
      </c>
      <c r="I104" s="4" t="s">
        <v>1098</v>
      </c>
      <c r="J104" s="4" t="str">
        <f>MID(Table13[[#This Row],[Function Col]],5,2)</f>
        <v/>
      </c>
      <c r="K104" s="4" t="s">
        <v>1098</v>
      </c>
      <c r="L104" s="4" t="str">
        <f>RIGHT(Table13[[#This Row],[Function Col]],4)</f>
        <v/>
      </c>
      <c r="M104" s="4" t="s">
        <v>1098</v>
      </c>
      <c r="N104" s="4" t="str">
        <f>IF(Table13[[#This Row],[Function Col5]]="","",_xlfn.CONCAT(Table13[[#This Row],[Day Col]],"/",Table13[[#This Row],[Month Col]],"/",Table13[[#This Row],[Year Col]]))</f>
        <v/>
      </c>
      <c r="O104" s="4" t="s">
        <v>1098</v>
      </c>
      <c r="P104" s="4">
        <f>IF(ISNUMBER(Table13[[#This Row],[Claim_Date2]]),Table13[[#This Row],[Claim_Date2]],Table13[[#This Row],[Function Col32]])</f>
        <v>44989</v>
      </c>
      <c r="Q104" s="4">
        <v>44989</v>
      </c>
      <c r="R104" s="1" t="s">
        <v>85</v>
      </c>
      <c r="S104" s="1" t="s">
        <v>93</v>
      </c>
      <c r="T104" s="1" t="s">
        <v>61</v>
      </c>
      <c r="U104" s="1"/>
      <c r="V104" s="1">
        <v>-108</v>
      </c>
      <c r="W104" s="1">
        <f>IF(Table1[[#This Row],[Claim_Amount]]&lt;0,0,Table1[[#This Row],[Claim_Amount]])</f>
        <v>0</v>
      </c>
      <c r="X104" s="1" t="str">
        <f>IF(Table1[[#This Row],[Column1]]=0,"",Table1[[#This Row],[Column1]])</f>
        <v/>
      </c>
      <c r="Y104" s="1" t="s">
        <v>1098</v>
      </c>
      <c r="Z104" s="1">
        <v>2481</v>
      </c>
      <c r="AA104" s="1">
        <v>1278.94</v>
      </c>
      <c r="AB104" s="1" t="s">
        <v>42</v>
      </c>
      <c r="AC104" s="1" t="s">
        <v>57</v>
      </c>
      <c r="AD104">
        <v>9</v>
      </c>
      <c r="AE104" s="3" t="s">
        <v>65</v>
      </c>
    </row>
    <row r="105" spans="1:31" ht="15.75" customHeight="1" x14ac:dyDescent="0.35">
      <c r="A105" s="1" t="s">
        <v>231</v>
      </c>
      <c r="B105" t="s">
        <v>1083</v>
      </c>
      <c r="C105" t="s">
        <v>1084</v>
      </c>
      <c r="D105" s="1" t="s">
        <v>260</v>
      </c>
      <c r="E105" s="5">
        <v>45182</v>
      </c>
      <c r="F105" s="4" t="str">
        <f>IF(ISNUMBER(Table13[[#This Row],[Claim_Date2]]),"",Table13[[#This Row],[Claim_Date2]])</f>
        <v/>
      </c>
      <c r="G105" s="4" t="s">
        <v>1098</v>
      </c>
      <c r="H105" s="4" t="str">
        <f>LEFT(Table13[[#This Row],[Values Col 1]],3)</f>
        <v/>
      </c>
      <c r="I105" s="4" t="s">
        <v>1098</v>
      </c>
      <c r="J105" s="4" t="str">
        <f>MID(Table13[[#This Row],[Function Col]],5,2)</f>
        <v/>
      </c>
      <c r="K105" s="4" t="s">
        <v>1098</v>
      </c>
      <c r="L105" s="4" t="str">
        <f>RIGHT(Table13[[#This Row],[Function Col]],4)</f>
        <v/>
      </c>
      <c r="M105" s="4" t="s">
        <v>1098</v>
      </c>
      <c r="N105" s="4" t="str">
        <f>IF(Table13[[#This Row],[Function Col5]]="","",_xlfn.CONCAT(Table13[[#This Row],[Day Col]],"/",Table13[[#This Row],[Month Col]],"/",Table13[[#This Row],[Year Col]]))</f>
        <v/>
      </c>
      <c r="O105" s="4" t="s">
        <v>1098</v>
      </c>
      <c r="P105" s="4">
        <f>IF(ISNUMBER(Table13[[#This Row],[Claim_Date2]]),Table13[[#This Row],[Claim_Date2]],Table13[[#This Row],[Function Col32]])</f>
        <v>45182</v>
      </c>
      <c r="Q105" s="4">
        <v>45182</v>
      </c>
      <c r="R105" s="1" t="s">
        <v>16</v>
      </c>
      <c r="S105" s="1" t="s">
        <v>53</v>
      </c>
      <c r="T105" s="1" t="s">
        <v>54</v>
      </c>
      <c r="U105" s="1"/>
      <c r="W105">
        <f>IF(Table1[[#This Row],[Claim_Amount]]&lt;0,0,Table1[[#This Row],[Claim_Amount]])</f>
        <v>0</v>
      </c>
      <c r="X105" t="str">
        <f>IF(Table1[[#This Row],[Column1]]=0,"",Table1[[#This Row],[Column1]])</f>
        <v/>
      </c>
      <c r="Y105" t="s">
        <v>1098</v>
      </c>
      <c r="Z105">
        <v>2481</v>
      </c>
      <c r="AA105" s="1">
        <v>2937.55</v>
      </c>
      <c r="AB105" s="1" t="s">
        <v>25</v>
      </c>
      <c r="AC105" s="1" t="s">
        <v>32</v>
      </c>
      <c r="AD105">
        <v>9</v>
      </c>
      <c r="AE105" s="3" t="s">
        <v>37</v>
      </c>
    </row>
    <row r="106" spans="1:31" ht="15.75" customHeight="1" x14ac:dyDescent="0.35">
      <c r="A106" s="1" t="s">
        <v>261</v>
      </c>
      <c r="B106" s="1" t="s">
        <v>262</v>
      </c>
      <c r="C106" t="s">
        <v>1084</v>
      </c>
      <c r="D106" s="1" t="s">
        <v>81</v>
      </c>
      <c r="E106" s="5">
        <v>45062</v>
      </c>
      <c r="F106" s="4" t="str">
        <f>IF(ISNUMBER(Table13[[#This Row],[Claim_Date2]]),"",Table13[[#This Row],[Claim_Date2]])</f>
        <v/>
      </c>
      <c r="G106" s="4" t="s">
        <v>1098</v>
      </c>
      <c r="H106" s="4" t="str">
        <f>LEFT(Table13[[#This Row],[Values Col 1]],3)</f>
        <v/>
      </c>
      <c r="I106" s="4" t="s">
        <v>1098</v>
      </c>
      <c r="J106" s="4" t="str">
        <f>MID(Table13[[#This Row],[Function Col]],5,2)</f>
        <v/>
      </c>
      <c r="K106" s="4" t="s">
        <v>1098</v>
      </c>
      <c r="L106" s="4" t="str">
        <f>RIGHT(Table13[[#This Row],[Function Col]],4)</f>
        <v/>
      </c>
      <c r="M106" s="4" t="s">
        <v>1098</v>
      </c>
      <c r="N106" s="4" t="str">
        <f>IF(Table13[[#This Row],[Function Col5]]="","",_xlfn.CONCAT(Table13[[#This Row],[Day Col]],"/",Table13[[#This Row],[Month Col]],"/",Table13[[#This Row],[Year Col]]))</f>
        <v/>
      </c>
      <c r="O106" s="4" t="s">
        <v>1098</v>
      </c>
      <c r="P106" s="4">
        <f>IF(ISNUMBER(Table13[[#This Row],[Claim_Date2]]),Table13[[#This Row],[Claim_Date2]],Table13[[#This Row],[Function Col32]])</f>
        <v>45062</v>
      </c>
      <c r="Q106" s="4">
        <v>45062</v>
      </c>
      <c r="R106" s="1" t="s">
        <v>92</v>
      </c>
      <c r="S106" s="1" t="s">
        <v>23</v>
      </c>
      <c r="T106" s="1" t="s">
        <v>48</v>
      </c>
      <c r="U106" s="1"/>
      <c r="W106">
        <f>IF(Table1[[#This Row],[Claim_Amount]]&lt;0,0,Table1[[#This Row],[Claim_Amount]])</f>
        <v>0</v>
      </c>
      <c r="X106" t="str">
        <f>IF(Table1[[#This Row],[Column1]]=0,"",Table1[[#This Row],[Column1]])</f>
        <v/>
      </c>
      <c r="Y106" t="s">
        <v>1098</v>
      </c>
      <c r="Z106">
        <v>2481</v>
      </c>
      <c r="AA106">
        <v>832</v>
      </c>
      <c r="AB106" s="1" t="s">
        <v>25</v>
      </c>
      <c r="AC106" s="1" t="s">
        <v>1093</v>
      </c>
      <c r="AD106">
        <v>9</v>
      </c>
      <c r="AE106" s="3" t="s">
        <v>1097</v>
      </c>
    </row>
    <row r="107" spans="1:31" ht="15.75" customHeight="1" x14ac:dyDescent="0.35">
      <c r="A107" s="1" t="s">
        <v>38</v>
      </c>
      <c r="B107" t="s">
        <v>1083</v>
      </c>
      <c r="C107" s="1" t="s">
        <v>263</v>
      </c>
      <c r="D107" s="1" t="s">
        <v>264</v>
      </c>
      <c r="E107" s="5">
        <v>44976</v>
      </c>
      <c r="F107" s="4" t="str">
        <f>IF(ISNUMBER(Table13[[#This Row],[Claim_Date2]]),"",Table13[[#This Row],[Claim_Date2]])</f>
        <v/>
      </c>
      <c r="G107" s="4" t="s">
        <v>1098</v>
      </c>
      <c r="H107" s="4" t="str">
        <f>LEFT(Table13[[#This Row],[Values Col 1]],3)</f>
        <v/>
      </c>
      <c r="I107" s="4" t="s">
        <v>1098</v>
      </c>
      <c r="J107" s="4" t="str">
        <f>MID(Table13[[#This Row],[Function Col]],5,2)</f>
        <v/>
      </c>
      <c r="K107" s="4" t="s">
        <v>1098</v>
      </c>
      <c r="L107" s="4" t="str">
        <f>RIGHT(Table13[[#This Row],[Function Col]],4)</f>
        <v/>
      </c>
      <c r="M107" s="4" t="s">
        <v>1098</v>
      </c>
      <c r="N107" s="4" t="str">
        <f>IF(Table13[[#This Row],[Function Col5]]="","",_xlfn.CONCAT(Table13[[#This Row],[Day Col]],"/",Table13[[#This Row],[Month Col]],"/",Table13[[#This Row],[Year Col]]))</f>
        <v/>
      </c>
      <c r="O107" s="4" t="s">
        <v>1098</v>
      </c>
      <c r="P107" s="4">
        <f>IF(ISNUMBER(Table13[[#This Row],[Claim_Date2]]),Table13[[#This Row],[Claim_Date2]],Table13[[#This Row],[Function Col32]])</f>
        <v>44976</v>
      </c>
      <c r="Q107" s="4">
        <v>44976</v>
      </c>
      <c r="R107" s="1" t="s">
        <v>85</v>
      </c>
      <c r="S107" s="1" t="s">
        <v>31</v>
      </c>
      <c r="T107" s="1" t="s">
        <v>54</v>
      </c>
      <c r="U107" s="1"/>
      <c r="W107">
        <f>IF(Table1[[#This Row],[Claim_Amount]]&lt;0,0,Table1[[#This Row],[Claim_Amount]])</f>
        <v>0</v>
      </c>
      <c r="X107" t="str">
        <f>IF(Table1[[#This Row],[Column1]]=0,"",Table1[[#This Row],[Column1]])</f>
        <v/>
      </c>
      <c r="Y107" t="s">
        <v>1098</v>
      </c>
      <c r="Z107">
        <v>2481</v>
      </c>
      <c r="AA107">
        <v>832</v>
      </c>
      <c r="AB107" s="1" t="s">
        <v>1091</v>
      </c>
      <c r="AC107" s="1" t="s">
        <v>26</v>
      </c>
      <c r="AD107" s="1">
        <v>2</v>
      </c>
      <c r="AE107" s="3" t="s">
        <v>65</v>
      </c>
    </row>
    <row r="108" spans="1:31" ht="15.75" customHeight="1" x14ac:dyDescent="0.35">
      <c r="A108" s="1" t="s">
        <v>137</v>
      </c>
      <c r="B108" t="s">
        <v>1083</v>
      </c>
      <c r="C108" t="s">
        <v>1084</v>
      </c>
      <c r="D108" s="1" t="s">
        <v>265</v>
      </c>
      <c r="E108" s="5">
        <v>45003</v>
      </c>
      <c r="F108" s="4" t="str">
        <f>IF(ISNUMBER(Table13[[#This Row],[Claim_Date2]]),"",Table13[[#This Row],[Claim_Date2]])</f>
        <v/>
      </c>
      <c r="G108" s="4" t="s">
        <v>1098</v>
      </c>
      <c r="H108" s="4" t="str">
        <f>LEFT(Table13[[#This Row],[Values Col 1]],3)</f>
        <v/>
      </c>
      <c r="I108" s="4" t="s">
        <v>1098</v>
      </c>
      <c r="J108" s="4" t="str">
        <f>MID(Table13[[#This Row],[Function Col]],5,2)</f>
        <v/>
      </c>
      <c r="K108" s="4" t="s">
        <v>1098</v>
      </c>
      <c r="L108" s="4" t="str">
        <f>RIGHT(Table13[[#This Row],[Function Col]],4)</f>
        <v/>
      </c>
      <c r="M108" s="4" t="s">
        <v>1098</v>
      </c>
      <c r="N108" s="4" t="str">
        <f>IF(Table13[[#This Row],[Function Col5]]="","",_xlfn.CONCAT(Table13[[#This Row],[Day Col]],"/",Table13[[#This Row],[Month Col]],"/",Table13[[#This Row],[Year Col]]))</f>
        <v/>
      </c>
      <c r="O108" s="4" t="s">
        <v>1098</v>
      </c>
      <c r="P108" s="4">
        <f>IF(ISNUMBER(Table13[[#This Row],[Claim_Date2]]),Table13[[#This Row],[Claim_Date2]],Table13[[#This Row],[Function Col32]])</f>
        <v>45003</v>
      </c>
      <c r="Q108" s="4">
        <v>45003</v>
      </c>
      <c r="R108" s="1" t="s">
        <v>92</v>
      </c>
      <c r="S108" s="1" t="s">
        <v>47</v>
      </c>
      <c r="T108" s="1" t="s">
        <v>41</v>
      </c>
      <c r="U108" s="1"/>
      <c r="W108">
        <f>IF(Table1[[#This Row],[Claim_Amount]]&lt;0,0,Table1[[#This Row],[Claim_Amount]])</f>
        <v>0</v>
      </c>
      <c r="X108" t="str">
        <f>IF(Table1[[#This Row],[Column1]]=0,"",Table1[[#This Row],[Column1]])</f>
        <v/>
      </c>
      <c r="Y108" t="s">
        <v>1098</v>
      </c>
      <c r="Z108">
        <v>2481</v>
      </c>
      <c r="AA108">
        <v>832</v>
      </c>
      <c r="AB108" s="1" t="s">
        <v>1091</v>
      </c>
      <c r="AC108" s="1" t="s">
        <v>57</v>
      </c>
      <c r="AD108">
        <v>9</v>
      </c>
      <c r="AE108" s="3" t="s">
        <v>1097</v>
      </c>
    </row>
    <row r="109" spans="1:31" ht="15.75" customHeight="1" x14ac:dyDescent="0.35">
      <c r="A109" s="1" t="s">
        <v>192</v>
      </c>
      <c r="B109" s="1" t="s">
        <v>266</v>
      </c>
      <c r="C109" t="s">
        <v>1084</v>
      </c>
      <c r="D109" s="1" t="s">
        <v>267</v>
      </c>
      <c r="E109" s="5" t="s">
        <v>267</v>
      </c>
      <c r="F109" s="4" t="str">
        <f>IF(ISNUMBER(Table13[[#This Row],[Claim_Date2]]),"",Table13[[#This Row],[Claim_Date2]])</f>
        <v>Aug 02 2023</v>
      </c>
      <c r="G109" s="4" t="s">
        <v>267</v>
      </c>
      <c r="H109" s="4" t="str">
        <f>LEFT(Table13[[#This Row],[Values Col 1]],3)</f>
        <v>Aug</v>
      </c>
      <c r="I109" s="4" t="s">
        <v>1106</v>
      </c>
      <c r="J109" s="4" t="str">
        <f>MID(Table13[[#This Row],[Function Col]],5,2)</f>
        <v>02</v>
      </c>
      <c r="K109" s="4" t="s">
        <v>1130</v>
      </c>
      <c r="L109" s="4" t="str">
        <f>RIGHT(Table13[[#This Row],[Function Col]],4)</f>
        <v>2023</v>
      </c>
      <c r="M109" s="4" t="s">
        <v>1146</v>
      </c>
      <c r="N109" s="4" t="str">
        <f>IF(Table13[[#This Row],[Function Col5]]="","",_xlfn.CONCAT(Table13[[#This Row],[Day Col]],"/",Table13[[#This Row],[Month Col]],"/",Table13[[#This Row],[Year Col]]))</f>
        <v>02/Aug/2023</v>
      </c>
      <c r="O109" s="4" t="s">
        <v>1182</v>
      </c>
      <c r="P109" s="4" t="str">
        <f>IF(ISNUMBER(Table13[[#This Row],[Claim_Date2]]),Table13[[#This Row],[Claim_Date2]],Table13[[#This Row],[Function Col32]])</f>
        <v>02/Aug/2023</v>
      </c>
      <c r="Q109" s="4">
        <v>45140</v>
      </c>
      <c r="R109" s="1" t="s">
        <v>92</v>
      </c>
      <c r="S109" t="s">
        <v>1085</v>
      </c>
      <c r="T109" t="s">
        <v>1086</v>
      </c>
      <c r="V109" s="1">
        <v>-162</v>
      </c>
      <c r="W109" s="1">
        <f>IF(Table1[[#This Row],[Claim_Amount]]&lt;0,0,Table1[[#This Row],[Claim_Amount]])</f>
        <v>0</v>
      </c>
      <c r="X109" s="1" t="str">
        <f>IF(Table1[[#This Row],[Column1]]=0,"",Table1[[#This Row],[Column1]])</f>
        <v/>
      </c>
      <c r="Y109" s="1" t="s">
        <v>1098</v>
      </c>
      <c r="Z109" s="1">
        <v>2481</v>
      </c>
      <c r="AA109">
        <v>832</v>
      </c>
      <c r="AB109" s="1" t="s">
        <v>1091</v>
      </c>
      <c r="AC109" s="1" t="s">
        <v>57</v>
      </c>
      <c r="AD109">
        <v>9</v>
      </c>
      <c r="AE109" s="3" t="s">
        <v>19</v>
      </c>
    </row>
    <row r="110" spans="1:31" ht="15.75" customHeight="1" x14ac:dyDescent="0.35">
      <c r="A110" s="1" t="s">
        <v>66</v>
      </c>
      <c r="B110" s="1" t="s">
        <v>268</v>
      </c>
      <c r="C110" t="s">
        <v>1084</v>
      </c>
      <c r="D110" s="1" t="s">
        <v>269</v>
      </c>
      <c r="E110" s="5">
        <v>45002</v>
      </c>
      <c r="F110" s="4" t="str">
        <f>IF(ISNUMBER(Table13[[#This Row],[Claim_Date2]]),"",Table13[[#This Row],[Claim_Date2]])</f>
        <v/>
      </c>
      <c r="G110" s="4" t="s">
        <v>1098</v>
      </c>
      <c r="H110" s="4" t="str">
        <f>LEFT(Table13[[#This Row],[Values Col 1]],3)</f>
        <v/>
      </c>
      <c r="I110" s="4" t="s">
        <v>1098</v>
      </c>
      <c r="J110" s="4" t="str">
        <f>MID(Table13[[#This Row],[Function Col]],5,2)</f>
        <v/>
      </c>
      <c r="K110" s="4" t="s">
        <v>1098</v>
      </c>
      <c r="L110" s="4" t="str">
        <f>RIGHT(Table13[[#This Row],[Function Col]],4)</f>
        <v/>
      </c>
      <c r="M110" s="4" t="s">
        <v>1098</v>
      </c>
      <c r="N110" s="4" t="str">
        <f>IF(Table13[[#This Row],[Function Col5]]="","",_xlfn.CONCAT(Table13[[#This Row],[Day Col]],"/",Table13[[#This Row],[Month Col]],"/",Table13[[#This Row],[Year Col]]))</f>
        <v/>
      </c>
      <c r="O110" s="4" t="s">
        <v>1098</v>
      </c>
      <c r="P110" s="4">
        <f>IF(ISNUMBER(Table13[[#This Row],[Claim_Date2]]),Table13[[#This Row],[Claim_Date2]],Table13[[#This Row],[Function Col32]])</f>
        <v>45002</v>
      </c>
      <c r="Q110" s="4">
        <v>45002</v>
      </c>
      <c r="R110" s="1" t="s">
        <v>30</v>
      </c>
      <c r="S110" t="s">
        <v>1085</v>
      </c>
      <c r="T110" s="1" t="s">
        <v>61</v>
      </c>
      <c r="U110" s="1"/>
      <c r="W110">
        <f>IF(Table1[[#This Row],[Claim_Amount]]&lt;0,0,Table1[[#This Row],[Claim_Amount]])</f>
        <v>0</v>
      </c>
      <c r="X110" t="str">
        <f>IF(Table1[[#This Row],[Column1]]=0,"",Table1[[#This Row],[Column1]])</f>
        <v/>
      </c>
      <c r="Y110" t="s">
        <v>1098</v>
      </c>
      <c r="Z110">
        <v>2481</v>
      </c>
      <c r="AA110">
        <v>832</v>
      </c>
      <c r="AB110" s="1" t="s">
        <v>17</v>
      </c>
      <c r="AC110" s="1" t="s">
        <v>1093</v>
      </c>
      <c r="AD110">
        <v>9</v>
      </c>
      <c r="AE110" s="3" t="s">
        <v>37</v>
      </c>
    </row>
    <row r="111" spans="1:31" ht="15.75" customHeight="1" x14ac:dyDescent="0.35">
      <c r="A111" s="1" t="s">
        <v>148</v>
      </c>
      <c r="B111" s="1" t="s">
        <v>270</v>
      </c>
      <c r="C111" s="1" t="s">
        <v>271</v>
      </c>
      <c r="D111" s="1" t="s">
        <v>272</v>
      </c>
      <c r="E111" s="5">
        <v>45033</v>
      </c>
      <c r="F111" s="4" t="str">
        <f>IF(ISNUMBER(Table13[[#This Row],[Claim_Date2]]),"",Table13[[#This Row],[Claim_Date2]])</f>
        <v/>
      </c>
      <c r="G111" s="4" t="s">
        <v>1098</v>
      </c>
      <c r="H111" s="4" t="str">
        <f>LEFT(Table13[[#This Row],[Values Col 1]],3)</f>
        <v/>
      </c>
      <c r="I111" s="4" t="s">
        <v>1098</v>
      </c>
      <c r="J111" s="4" t="str">
        <f>MID(Table13[[#This Row],[Function Col]],5,2)</f>
        <v/>
      </c>
      <c r="K111" s="4" t="s">
        <v>1098</v>
      </c>
      <c r="L111" s="4" t="str">
        <f>RIGHT(Table13[[#This Row],[Function Col]],4)</f>
        <v/>
      </c>
      <c r="M111" s="4" t="s">
        <v>1098</v>
      </c>
      <c r="N111" s="4" t="str">
        <f>IF(Table13[[#This Row],[Function Col5]]="","",_xlfn.CONCAT(Table13[[#This Row],[Day Col]],"/",Table13[[#This Row],[Month Col]],"/",Table13[[#This Row],[Year Col]]))</f>
        <v/>
      </c>
      <c r="O111" s="4" t="s">
        <v>1098</v>
      </c>
      <c r="P111" s="4">
        <f>IF(ISNUMBER(Table13[[#This Row],[Claim_Date2]]),Table13[[#This Row],[Claim_Date2]],Table13[[#This Row],[Function Col32]])</f>
        <v>45033</v>
      </c>
      <c r="Q111" s="4">
        <v>45033</v>
      </c>
      <c r="R111" s="1" t="s">
        <v>16</v>
      </c>
      <c r="S111" s="1" t="s">
        <v>53</v>
      </c>
      <c r="T111" s="1" t="s">
        <v>54</v>
      </c>
      <c r="U111" s="1"/>
      <c r="V111" s="1">
        <v>-54</v>
      </c>
      <c r="W111" s="1">
        <f>IF(Table1[[#This Row],[Claim_Amount]]&lt;0,0,Table1[[#This Row],[Claim_Amount]])</f>
        <v>0</v>
      </c>
      <c r="X111" s="1" t="str">
        <f>IF(Table1[[#This Row],[Column1]]=0,"",Table1[[#This Row],[Column1]])</f>
        <v/>
      </c>
      <c r="Y111" s="1" t="s">
        <v>1098</v>
      </c>
      <c r="Z111" s="1">
        <v>2481</v>
      </c>
      <c r="AA111">
        <v>832</v>
      </c>
      <c r="AB111" s="1" t="s">
        <v>1091</v>
      </c>
      <c r="AC111" s="1" t="s">
        <v>32</v>
      </c>
      <c r="AD111">
        <v>9</v>
      </c>
      <c r="AE111" s="3" t="s">
        <v>27</v>
      </c>
    </row>
    <row r="112" spans="1:31" ht="15.75" customHeight="1" x14ac:dyDescent="0.35">
      <c r="A112" s="1" t="s">
        <v>110</v>
      </c>
      <c r="B112" s="1" t="s">
        <v>273</v>
      </c>
      <c r="C112" t="s">
        <v>1084</v>
      </c>
      <c r="D112" s="1" t="s">
        <v>274</v>
      </c>
      <c r="E112" s="5">
        <v>45079</v>
      </c>
      <c r="F112" s="4" t="str">
        <f>IF(ISNUMBER(Table13[[#This Row],[Claim_Date2]]),"",Table13[[#This Row],[Claim_Date2]])</f>
        <v/>
      </c>
      <c r="G112" s="4" t="s">
        <v>1098</v>
      </c>
      <c r="H112" s="4" t="str">
        <f>LEFT(Table13[[#This Row],[Values Col 1]],3)</f>
        <v/>
      </c>
      <c r="I112" s="4" t="s">
        <v>1098</v>
      </c>
      <c r="J112" s="4" t="str">
        <f>MID(Table13[[#This Row],[Function Col]],5,2)</f>
        <v/>
      </c>
      <c r="K112" s="4" t="s">
        <v>1098</v>
      </c>
      <c r="L112" s="4" t="str">
        <f>RIGHT(Table13[[#This Row],[Function Col]],4)</f>
        <v/>
      </c>
      <c r="M112" s="4" t="s">
        <v>1098</v>
      </c>
      <c r="N112" s="4" t="str">
        <f>IF(Table13[[#This Row],[Function Col5]]="","",_xlfn.CONCAT(Table13[[#This Row],[Day Col]],"/",Table13[[#This Row],[Month Col]],"/",Table13[[#This Row],[Year Col]]))</f>
        <v/>
      </c>
      <c r="O112" s="4" t="s">
        <v>1098</v>
      </c>
      <c r="P112" s="4">
        <f>IF(ISNUMBER(Table13[[#This Row],[Claim_Date2]]),Table13[[#This Row],[Claim_Date2]],Table13[[#This Row],[Function Col32]])</f>
        <v>45079</v>
      </c>
      <c r="Q112" s="4">
        <v>45079</v>
      </c>
      <c r="R112" s="1" t="s">
        <v>85</v>
      </c>
      <c r="S112" s="1" t="s">
        <v>31</v>
      </c>
      <c r="T112" t="s">
        <v>1086</v>
      </c>
      <c r="V112" s="1">
        <v>-190</v>
      </c>
      <c r="W112" s="1">
        <f>IF(Table1[[#This Row],[Claim_Amount]]&lt;0,0,Table1[[#This Row],[Claim_Amount]])</f>
        <v>0</v>
      </c>
      <c r="X112" s="1" t="str">
        <f>IF(Table1[[#This Row],[Column1]]=0,"",Table1[[#This Row],[Column1]])</f>
        <v/>
      </c>
      <c r="Y112" s="1" t="s">
        <v>1098</v>
      </c>
      <c r="Z112" s="1">
        <v>2481</v>
      </c>
      <c r="AA112">
        <v>832</v>
      </c>
      <c r="AB112" s="1" t="s">
        <v>1091</v>
      </c>
      <c r="AC112" s="1" t="s">
        <v>32</v>
      </c>
      <c r="AD112" s="1">
        <v>18</v>
      </c>
      <c r="AE112" s="3" t="s">
        <v>1097</v>
      </c>
    </row>
    <row r="113" spans="1:31" ht="15.75" customHeight="1" x14ac:dyDescent="0.35">
      <c r="A113" s="1" t="s">
        <v>275</v>
      </c>
      <c r="B113" t="s">
        <v>1083</v>
      </c>
      <c r="C113" t="s">
        <v>1084</v>
      </c>
      <c r="D113" s="1" t="s">
        <v>276</v>
      </c>
      <c r="E113" s="5">
        <v>45075</v>
      </c>
      <c r="F113" s="4" t="str">
        <f>IF(ISNUMBER(Table13[[#This Row],[Claim_Date2]]),"",Table13[[#This Row],[Claim_Date2]])</f>
        <v/>
      </c>
      <c r="G113" s="4" t="s">
        <v>1098</v>
      </c>
      <c r="H113" s="4" t="str">
        <f>LEFT(Table13[[#This Row],[Values Col 1]],3)</f>
        <v/>
      </c>
      <c r="I113" s="4" t="s">
        <v>1098</v>
      </c>
      <c r="J113" s="4" t="str">
        <f>MID(Table13[[#This Row],[Function Col]],5,2)</f>
        <v/>
      </c>
      <c r="K113" s="4" t="s">
        <v>1098</v>
      </c>
      <c r="L113" s="4" t="str">
        <f>RIGHT(Table13[[#This Row],[Function Col]],4)</f>
        <v/>
      </c>
      <c r="M113" s="4" t="s">
        <v>1098</v>
      </c>
      <c r="N113" s="4" t="str">
        <f>IF(Table13[[#This Row],[Function Col5]]="","",_xlfn.CONCAT(Table13[[#This Row],[Day Col]],"/",Table13[[#This Row],[Month Col]],"/",Table13[[#This Row],[Year Col]]))</f>
        <v/>
      </c>
      <c r="O113" s="4" t="s">
        <v>1098</v>
      </c>
      <c r="P113" s="4">
        <f>IF(ISNUMBER(Table13[[#This Row],[Claim_Date2]]),Table13[[#This Row],[Claim_Date2]],Table13[[#This Row],[Function Col32]])</f>
        <v>45075</v>
      </c>
      <c r="Q113" s="4">
        <v>45075</v>
      </c>
      <c r="R113" s="1" t="s">
        <v>16</v>
      </c>
      <c r="S113" s="1" t="s">
        <v>23</v>
      </c>
      <c r="T113" s="1" t="s">
        <v>41</v>
      </c>
      <c r="U113" s="1"/>
      <c r="W113">
        <f>IF(Table1[[#This Row],[Claim_Amount]]&lt;0,0,Table1[[#This Row],[Claim_Amount]])</f>
        <v>0</v>
      </c>
      <c r="X113" t="str">
        <f>IF(Table1[[#This Row],[Column1]]=0,"",Table1[[#This Row],[Column1]])</f>
        <v/>
      </c>
      <c r="Y113" t="s">
        <v>1098</v>
      </c>
      <c r="Z113">
        <v>2481</v>
      </c>
      <c r="AA113" s="1">
        <v>3749.33</v>
      </c>
      <c r="AB113" s="1" t="s">
        <v>17</v>
      </c>
      <c r="AC113" s="1" t="s">
        <v>57</v>
      </c>
      <c r="AD113">
        <v>9</v>
      </c>
      <c r="AE113" s="3" t="s">
        <v>27</v>
      </c>
    </row>
    <row r="114" spans="1:31" ht="15.75" customHeight="1" x14ac:dyDescent="0.35">
      <c r="A114" s="1" t="s">
        <v>277</v>
      </c>
      <c r="B114" t="s">
        <v>1083</v>
      </c>
      <c r="C114" s="1" t="s">
        <v>278</v>
      </c>
      <c r="D114" s="1" t="s">
        <v>279</v>
      </c>
      <c r="E114" s="5" t="s">
        <v>279</v>
      </c>
      <c r="F114" s="4" t="str">
        <f>IF(ISNUMBER(Table13[[#This Row],[Claim_Date2]]),"",Table13[[#This Row],[Claim_Date2]])</f>
        <v>Dec 09 2023</v>
      </c>
      <c r="G114" s="4" t="s">
        <v>279</v>
      </c>
      <c r="H114" s="4" t="str">
        <f>LEFT(Table13[[#This Row],[Values Col 1]],3)</f>
        <v>Dec</v>
      </c>
      <c r="I114" s="4" t="s">
        <v>1111</v>
      </c>
      <c r="J114" s="4" t="str">
        <f>MID(Table13[[#This Row],[Function Col]],5,2)</f>
        <v>09</v>
      </c>
      <c r="K114" s="4" t="s">
        <v>1127</v>
      </c>
      <c r="L114" s="4" t="str">
        <f>RIGHT(Table13[[#This Row],[Function Col]],4)</f>
        <v>2023</v>
      </c>
      <c r="M114" s="4" t="s">
        <v>1146</v>
      </c>
      <c r="N114" s="4" t="str">
        <f>IF(Table13[[#This Row],[Function Col5]]="","",_xlfn.CONCAT(Table13[[#This Row],[Day Col]],"/",Table13[[#This Row],[Month Col]],"/",Table13[[#This Row],[Year Col]]))</f>
        <v>09/Dec/2023</v>
      </c>
      <c r="O114" s="4" t="s">
        <v>1183</v>
      </c>
      <c r="P114" s="4" t="str">
        <f>IF(ISNUMBER(Table13[[#This Row],[Claim_Date2]]),Table13[[#This Row],[Claim_Date2]],Table13[[#This Row],[Function Col32]])</f>
        <v>09/Dec/2023</v>
      </c>
      <c r="Q114" s="4">
        <v>45269</v>
      </c>
      <c r="R114" s="1" t="s">
        <v>85</v>
      </c>
      <c r="S114" t="s">
        <v>1085</v>
      </c>
      <c r="T114" s="1" t="s">
        <v>24</v>
      </c>
      <c r="U114" s="1"/>
      <c r="W114">
        <f>IF(Table1[[#This Row],[Claim_Amount]]&lt;0,0,Table1[[#This Row],[Claim_Amount]])</f>
        <v>0</v>
      </c>
      <c r="X114" t="str">
        <f>IF(Table1[[#This Row],[Column1]]=0,"",Table1[[#This Row],[Column1]])</f>
        <v/>
      </c>
      <c r="Y114" t="s">
        <v>1098</v>
      </c>
      <c r="Z114">
        <v>2481</v>
      </c>
      <c r="AA114" s="1">
        <v>3600.92</v>
      </c>
      <c r="AB114" s="1" t="s">
        <v>17</v>
      </c>
      <c r="AC114" s="1" t="s">
        <v>26</v>
      </c>
      <c r="AD114" s="1">
        <v>35</v>
      </c>
      <c r="AE114" s="3" t="s">
        <v>37</v>
      </c>
    </row>
    <row r="115" spans="1:31" ht="15.75" customHeight="1" x14ac:dyDescent="0.35">
      <c r="A115" s="1" t="s">
        <v>43</v>
      </c>
      <c r="B115" t="s">
        <v>1083</v>
      </c>
      <c r="C115" s="1" t="s">
        <v>130</v>
      </c>
      <c r="D115" s="1" t="s">
        <v>248</v>
      </c>
      <c r="E115" s="5" t="s">
        <v>248</v>
      </c>
      <c r="F115" s="4" t="str">
        <f>IF(ISNUMBER(Table13[[#This Row],[Claim_Date2]]),"",Table13[[#This Row],[Claim_Date2]])</f>
        <v>May 27 2023</v>
      </c>
      <c r="G115" s="4" t="s">
        <v>248</v>
      </c>
      <c r="H115" s="4" t="str">
        <f>LEFT(Table13[[#This Row],[Values Col 1]],3)</f>
        <v>May</v>
      </c>
      <c r="I115" s="4" t="s">
        <v>1110</v>
      </c>
      <c r="J115" s="4" t="str">
        <f>MID(Table13[[#This Row],[Function Col]],5,2)</f>
        <v>27</v>
      </c>
      <c r="K115" s="4" t="s">
        <v>1124</v>
      </c>
      <c r="L115" s="4" t="str">
        <f>RIGHT(Table13[[#This Row],[Function Col]],4)</f>
        <v>2023</v>
      </c>
      <c r="M115" s="4" t="s">
        <v>1146</v>
      </c>
      <c r="N115" s="4" t="str">
        <f>IF(Table13[[#This Row],[Function Col5]]="","",_xlfn.CONCAT(Table13[[#This Row],[Day Col]],"/",Table13[[#This Row],[Month Col]],"/",Table13[[#This Row],[Year Col]]))</f>
        <v>27/May/2023</v>
      </c>
      <c r="O115" s="4" t="s">
        <v>1179</v>
      </c>
      <c r="P115" s="4" t="str">
        <f>IF(ISNUMBER(Table13[[#This Row],[Claim_Date2]]),Table13[[#This Row],[Claim_Date2]],Table13[[#This Row],[Function Col32]])</f>
        <v>27/May/2023</v>
      </c>
      <c r="Q115" s="4">
        <v>45073</v>
      </c>
      <c r="R115" s="1" t="s">
        <v>16</v>
      </c>
      <c r="S115" s="1" t="s">
        <v>23</v>
      </c>
      <c r="T115" t="s">
        <v>1086</v>
      </c>
      <c r="V115" s="1">
        <v>2891.96</v>
      </c>
      <c r="W115" s="1">
        <f>IF(Table1[[#This Row],[Claim_Amount]]&lt;0,0,Table1[[#This Row],[Claim_Amount]])</f>
        <v>2891.96</v>
      </c>
      <c r="X115" s="1">
        <f>IF(Table1[[#This Row],[Column1]]=0,"",Table1[[#This Row],[Column1]])</f>
        <v>2891.96</v>
      </c>
      <c r="Y115" s="1">
        <v>2891.96</v>
      </c>
      <c r="Z115" s="1">
        <v>2891.96</v>
      </c>
      <c r="AA115" s="1">
        <v>4570.49</v>
      </c>
      <c r="AB115" s="1" t="s">
        <v>25</v>
      </c>
      <c r="AC115" s="1" t="s">
        <v>18</v>
      </c>
      <c r="AD115" s="1">
        <v>59</v>
      </c>
      <c r="AE115" s="3" t="s">
        <v>37</v>
      </c>
    </row>
    <row r="116" spans="1:31" ht="15.75" customHeight="1" x14ac:dyDescent="0.35">
      <c r="A116" s="1" t="s">
        <v>179</v>
      </c>
      <c r="B116" s="1" t="s">
        <v>280</v>
      </c>
      <c r="C116" t="s">
        <v>1084</v>
      </c>
      <c r="D116" s="1" t="s">
        <v>281</v>
      </c>
      <c r="E116" s="5" t="s">
        <v>281</v>
      </c>
      <c r="F116" s="4" t="str">
        <f>IF(ISNUMBER(Table13[[#This Row],[Claim_Date2]]),"",Table13[[#This Row],[Claim_Date2]])</f>
        <v>Jun 02 2023</v>
      </c>
      <c r="G116" s="4" t="s">
        <v>281</v>
      </c>
      <c r="H116" s="4" t="str">
        <f>LEFT(Table13[[#This Row],[Values Col 1]],3)</f>
        <v>Jun</v>
      </c>
      <c r="I116" s="4" t="s">
        <v>1108</v>
      </c>
      <c r="J116" s="4" t="str">
        <f>MID(Table13[[#This Row],[Function Col]],5,2)</f>
        <v>02</v>
      </c>
      <c r="K116" s="4" t="s">
        <v>1130</v>
      </c>
      <c r="L116" s="4" t="str">
        <f>RIGHT(Table13[[#This Row],[Function Col]],4)</f>
        <v>2023</v>
      </c>
      <c r="M116" s="4" t="s">
        <v>1146</v>
      </c>
      <c r="N116" s="4" t="str">
        <f>IF(Table13[[#This Row],[Function Col5]]="","",_xlfn.CONCAT(Table13[[#This Row],[Day Col]],"/",Table13[[#This Row],[Month Col]],"/",Table13[[#This Row],[Year Col]]))</f>
        <v>02/Jun/2023</v>
      </c>
      <c r="O116" s="4" t="s">
        <v>1184</v>
      </c>
      <c r="P116" s="4" t="str">
        <f>IF(ISNUMBER(Table13[[#This Row],[Claim_Date2]]),Table13[[#This Row],[Claim_Date2]],Table13[[#This Row],[Function Col32]])</f>
        <v>02/Jun/2023</v>
      </c>
      <c r="Q116" s="4">
        <v>45079</v>
      </c>
      <c r="R116" s="1" t="s">
        <v>30</v>
      </c>
      <c r="S116" s="1" t="s">
        <v>23</v>
      </c>
      <c r="T116" s="1" t="s">
        <v>41</v>
      </c>
      <c r="U116" s="1"/>
      <c r="V116" s="1">
        <v>-174</v>
      </c>
      <c r="W116" s="1">
        <f>IF(Table1[[#This Row],[Claim_Amount]]&lt;0,0,Table1[[#This Row],[Claim_Amount]])</f>
        <v>0</v>
      </c>
      <c r="X116" s="1" t="str">
        <f>IF(Table1[[#This Row],[Column1]]=0,"",Table1[[#This Row],[Column1]])</f>
        <v/>
      </c>
      <c r="Y116" s="1" t="s">
        <v>1098</v>
      </c>
      <c r="Z116" s="1">
        <v>2481</v>
      </c>
      <c r="AA116" s="1">
        <v>4451.84</v>
      </c>
      <c r="AB116" s="1" t="s">
        <v>1091</v>
      </c>
      <c r="AC116" s="1" t="s">
        <v>1093</v>
      </c>
      <c r="AD116" s="1">
        <v>17</v>
      </c>
      <c r="AE116" s="3" t="s">
        <v>19</v>
      </c>
    </row>
    <row r="117" spans="1:31" ht="15.75" customHeight="1" x14ac:dyDescent="0.35">
      <c r="A117" s="1" t="s">
        <v>114</v>
      </c>
      <c r="B117" t="s">
        <v>1083</v>
      </c>
      <c r="C117" t="s">
        <v>1084</v>
      </c>
      <c r="D117" s="1" t="s">
        <v>282</v>
      </c>
      <c r="E117" s="5">
        <v>44934</v>
      </c>
      <c r="F117" s="4" t="str">
        <f>IF(ISNUMBER(Table13[[#This Row],[Claim_Date2]]),"",Table13[[#This Row],[Claim_Date2]])</f>
        <v/>
      </c>
      <c r="G117" s="4" t="s">
        <v>1098</v>
      </c>
      <c r="H117" s="4" t="str">
        <f>LEFT(Table13[[#This Row],[Values Col 1]],3)</f>
        <v/>
      </c>
      <c r="I117" s="4" t="s">
        <v>1098</v>
      </c>
      <c r="J117" s="4" t="str">
        <f>MID(Table13[[#This Row],[Function Col]],5,2)</f>
        <v/>
      </c>
      <c r="K117" s="4" t="s">
        <v>1098</v>
      </c>
      <c r="L117" s="4" t="str">
        <f>RIGHT(Table13[[#This Row],[Function Col]],4)</f>
        <v/>
      </c>
      <c r="M117" s="4" t="s">
        <v>1098</v>
      </c>
      <c r="N117" s="4" t="str">
        <f>IF(Table13[[#This Row],[Function Col5]]="","",_xlfn.CONCAT(Table13[[#This Row],[Day Col]],"/",Table13[[#This Row],[Month Col]],"/",Table13[[#This Row],[Year Col]]))</f>
        <v/>
      </c>
      <c r="O117" s="4" t="s">
        <v>1098</v>
      </c>
      <c r="P117" s="4">
        <f>IF(ISNUMBER(Table13[[#This Row],[Claim_Date2]]),Table13[[#This Row],[Claim_Date2]],Table13[[#This Row],[Function Col32]])</f>
        <v>44934</v>
      </c>
      <c r="Q117" s="4">
        <v>44934</v>
      </c>
      <c r="R117" s="1" t="s">
        <v>30</v>
      </c>
      <c r="S117" t="s">
        <v>1085</v>
      </c>
      <c r="T117" s="1" t="s">
        <v>24</v>
      </c>
      <c r="U117" s="1"/>
      <c r="V117" s="1">
        <v>-173</v>
      </c>
      <c r="W117" s="1">
        <f>IF(Table1[[#This Row],[Claim_Amount]]&lt;0,0,Table1[[#This Row],[Claim_Amount]])</f>
        <v>0</v>
      </c>
      <c r="X117" s="1" t="str">
        <f>IF(Table1[[#This Row],[Column1]]=0,"",Table1[[#This Row],[Column1]])</f>
        <v/>
      </c>
      <c r="Y117" s="1" t="s">
        <v>1098</v>
      </c>
      <c r="Z117" s="1">
        <v>2481</v>
      </c>
      <c r="AA117">
        <v>832</v>
      </c>
      <c r="AB117" s="1" t="s">
        <v>42</v>
      </c>
      <c r="AC117" s="1" t="s">
        <v>26</v>
      </c>
      <c r="AD117">
        <v>9</v>
      </c>
      <c r="AE117" s="3" t="s">
        <v>19</v>
      </c>
    </row>
    <row r="118" spans="1:31" ht="15.75" customHeight="1" x14ac:dyDescent="0.35">
      <c r="A118" s="1" t="s">
        <v>102</v>
      </c>
      <c r="B118" t="s">
        <v>1083</v>
      </c>
      <c r="C118" s="1" t="s">
        <v>139</v>
      </c>
      <c r="D118" s="1" t="s">
        <v>283</v>
      </c>
      <c r="E118" s="5">
        <v>44930</v>
      </c>
      <c r="F118" s="4" t="str">
        <f>IF(ISNUMBER(Table13[[#This Row],[Claim_Date2]]),"",Table13[[#This Row],[Claim_Date2]])</f>
        <v/>
      </c>
      <c r="G118" s="4" t="s">
        <v>1098</v>
      </c>
      <c r="H118" s="4" t="str">
        <f>LEFT(Table13[[#This Row],[Values Col 1]],3)</f>
        <v/>
      </c>
      <c r="I118" s="4" t="s">
        <v>1098</v>
      </c>
      <c r="J118" s="4" t="str">
        <f>MID(Table13[[#This Row],[Function Col]],5,2)</f>
        <v/>
      </c>
      <c r="K118" s="4" t="s">
        <v>1098</v>
      </c>
      <c r="L118" s="4" t="str">
        <f>RIGHT(Table13[[#This Row],[Function Col]],4)</f>
        <v/>
      </c>
      <c r="M118" s="4" t="s">
        <v>1098</v>
      </c>
      <c r="N118" s="4" t="str">
        <f>IF(Table13[[#This Row],[Function Col5]]="","",_xlfn.CONCAT(Table13[[#This Row],[Day Col]],"/",Table13[[#This Row],[Month Col]],"/",Table13[[#This Row],[Year Col]]))</f>
        <v/>
      </c>
      <c r="O118" s="4" t="s">
        <v>1098</v>
      </c>
      <c r="P118" s="4">
        <f>IF(ISNUMBER(Table13[[#This Row],[Claim_Date2]]),Table13[[#This Row],[Claim_Date2]],Table13[[#This Row],[Function Col32]])</f>
        <v>44930</v>
      </c>
      <c r="Q118" s="4">
        <v>44930</v>
      </c>
      <c r="R118" s="1" t="s">
        <v>77</v>
      </c>
      <c r="S118" s="1" t="s">
        <v>31</v>
      </c>
      <c r="T118" s="1" t="s">
        <v>41</v>
      </c>
      <c r="U118" s="1"/>
      <c r="V118" s="1">
        <v>1544.63</v>
      </c>
      <c r="W118" s="1">
        <f>IF(Table1[[#This Row],[Claim_Amount]]&lt;0,0,Table1[[#This Row],[Claim_Amount]])</f>
        <v>1544.63</v>
      </c>
      <c r="X118" s="1">
        <f>IF(Table1[[#This Row],[Column1]]=0,"",Table1[[#This Row],[Column1]])</f>
        <v>1544.63</v>
      </c>
      <c r="Y118" s="1">
        <v>1544.63</v>
      </c>
      <c r="Z118" s="1">
        <v>1544.63</v>
      </c>
      <c r="AA118">
        <v>832</v>
      </c>
      <c r="AB118" s="1" t="s">
        <v>17</v>
      </c>
      <c r="AC118" s="1" t="s">
        <v>26</v>
      </c>
      <c r="AD118" s="1">
        <v>42</v>
      </c>
      <c r="AE118" s="3" t="s">
        <v>37</v>
      </c>
    </row>
    <row r="119" spans="1:31" ht="15.75" customHeight="1" x14ac:dyDescent="0.35">
      <c r="A119" s="1" t="s">
        <v>192</v>
      </c>
      <c r="B119" t="s">
        <v>1083</v>
      </c>
      <c r="C119" t="s">
        <v>1084</v>
      </c>
      <c r="D119" s="1" t="s">
        <v>284</v>
      </c>
      <c r="E119" s="5">
        <v>44987</v>
      </c>
      <c r="F119" s="4" t="str">
        <f>IF(ISNUMBER(Table13[[#This Row],[Claim_Date2]]),"",Table13[[#This Row],[Claim_Date2]])</f>
        <v/>
      </c>
      <c r="G119" s="4" t="s">
        <v>1098</v>
      </c>
      <c r="H119" s="4" t="str">
        <f>LEFT(Table13[[#This Row],[Values Col 1]],3)</f>
        <v/>
      </c>
      <c r="I119" s="4" t="s">
        <v>1098</v>
      </c>
      <c r="J119" s="4" t="str">
        <f>MID(Table13[[#This Row],[Function Col]],5,2)</f>
        <v/>
      </c>
      <c r="K119" s="4" t="s">
        <v>1098</v>
      </c>
      <c r="L119" s="4" t="str">
        <f>RIGHT(Table13[[#This Row],[Function Col]],4)</f>
        <v/>
      </c>
      <c r="M119" s="4" t="s">
        <v>1098</v>
      </c>
      <c r="N119" s="4" t="str">
        <f>IF(Table13[[#This Row],[Function Col5]]="","",_xlfn.CONCAT(Table13[[#This Row],[Day Col]],"/",Table13[[#This Row],[Month Col]],"/",Table13[[#This Row],[Year Col]]))</f>
        <v/>
      </c>
      <c r="O119" s="4" t="s">
        <v>1098</v>
      </c>
      <c r="P119" s="4">
        <f>IF(ISNUMBER(Table13[[#This Row],[Claim_Date2]]),Table13[[#This Row],[Claim_Date2]],Table13[[#This Row],[Function Col32]])</f>
        <v>44987</v>
      </c>
      <c r="Q119" s="4">
        <v>44987</v>
      </c>
      <c r="R119" s="1" t="s">
        <v>92</v>
      </c>
      <c r="S119" s="1" t="s">
        <v>47</v>
      </c>
      <c r="T119" s="1" t="s">
        <v>24</v>
      </c>
      <c r="U119" s="1"/>
      <c r="V119" s="1">
        <v>-44</v>
      </c>
      <c r="W119" s="1">
        <f>IF(Table1[[#This Row],[Claim_Amount]]&lt;0,0,Table1[[#This Row],[Claim_Amount]])</f>
        <v>0</v>
      </c>
      <c r="X119" s="1" t="str">
        <f>IF(Table1[[#This Row],[Column1]]=0,"",Table1[[#This Row],[Column1]])</f>
        <v/>
      </c>
      <c r="Y119" s="1" t="s">
        <v>1098</v>
      </c>
      <c r="Z119" s="1">
        <v>2481</v>
      </c>
      <c r="AA119">
        <v>832</v>
      </c>
      <c r="AB119" s="1" t="s">
        <v>1091</v>
      </c>
      <c r="AC119" s="1" t="s">
        <v>32</v>
      </c>
      <c r="AD119">
        <v>9</v>
      </c>
      <c r="AE119" s="3" t="s">
        <v>1097</v>
      </c>
    </row>
    <row r="120" spans="1:31" ht="15.75" customHeight="1" x14ac:dyDescent="0.35">
      <c r="A120" s="1" t="s">
        <v>285</v>
      </c>
      <c r="B120" t="s">
        <v>1083</v>
      </c>
      <c r="C120" s="1" t="s">
        <v>158</v>
      </c>
      <c r="D120" s="1" t="s">
        <v>286</v>
      </c>
      <c r="E120" s="5">
        <v>45053</v>
      </c>
      <c r="F120" s="4" t="str">
        <f>IF(ISNUMBER(Table13[[#This Row],[Claim_Date2]]),"",Table13[[#This Row],[Claim_Date2]])</f>
        <v/>
      </c>
      <c r="G120" s="4" t="s">
        <v>1098</v>
      </c>
      <c r="H120" s="4" t="str">
        <f>LEFT(Table13[[#This Row],[Values Col 1]],3)</f>
        <v/>
      </c>
      <c r="I120" s="4" t="s">
        <v>1098</v>
      </c>
      <c r="J120" s="4" t="str">
        <f>MID(Table13[[#This Row],[Function Col]],5,2)</f>
        <v/>
      </c>
      <c r="K120" s="4" t="s">
        <v>1098</v>
      </c>
      <c r="L120" s="4" t="str">
        <f>RIGHT(Table13[[#This Row],[Function Col]],4)</f>
        <v/>
      </c>
      <c r="M120" s="4" t="s">
        <v>1098</v>
      </c>
      <c r="N120" s="4" t="str">
        <f>IF(Table13[[#This Row],[Function Col5]]="","",_xlfn.CONCAT(Table13[[#This Row],[Day Col]],"/",Table13[[#This Row],[Month Col]],"/",Table13[[#This Row],[Year Col]]))</f>
        <v/>
      </c>
      <c r="O120" s="4" t="s">
        <v>1098</v>
      </c>
      <c r="P120" s="4">
        <f>IF(ISNUMBER(Table13[[#This Row],[Claim_Date2]]),Table13[[#This Row],[Claim_Date2]],Table13[[#This Row],[Function Col32]])</f>
        <v>45053</v>
      </c>
      <c r="Q120" s="4">
        <v>45053</v>
      </c>
      <c r="R120" s="1" t="s">
        <v>30</v>
      </c>
      <c r="S120" s="1" t="s">
        <v>53</v>
      </c>
      <c r="T120" s="1" t="s">
        <v>54</v>
      </c>
      <c r="U120" s="1"/>
      <c r="V120" s="1">
        <v>3533.64</v>
      </c>
      <c r="W120" s="1">
        <f>IF(Table1[[#This Row],[Claim_Amount]]&lt;0,0,Table1[[#This Row],[Claim_Amount]])</f>
        <v>3533.64</v>
      </c>
      <c r="X120" s="1">
        <f>IF(Table1[[#This Row],[Column1]]=0,"",Table1[[#This Row],[Column1]])</f>
        <v>3533.64</v>
      </c>
      <c r="Y120" s="1">
        <v>3533.64</v>
      </c>
      <c r="Z120" s="1">
        <v>3533.64</v>
      </c>
      <c r="AA120">
        <v>832</v>
      </c>
      <c r="AB120" s="1" t="s">
        <v>1091</v>
      </c>
      <c r="AC120" s="1" t="s">
        <v>18</v>
      </c>
      <c r="AD120">
        <v>9</v>
      </c>
      <c r="AE120" s="3" t="s">
        <v>65</v>
      </c>
    </row>
    <row r="121" spans="1:31" ht="15.75" customHeight="1" x14ac:dyDescent="0.35">
      <c r="A121" s="1" t="s">
        <v>132</v>
      </c>
      <c r="B121" t="s">
        <v>1083</v>
      </c>
      <c r="C121" s="1" t="s">
        <v>218</v>
      </c>
      <c r="D121" s="1" t="s">
        <v>287</v>
      </c>
      <c r="E121" s="5">
        <v>45032</v>
      </c>
      <c r="F121" s="4" t="str">
        <f>IF(ISNUMBER(Table13[[#This Row],[Claim_Date2]]),"",Table13[[#This Row],[Claim_Date2]])</f>
        <v/>
      </c>
      <c r="G121" s="4" t="s">
        <v>1098</v>
      </c>
      <c r="H121" s="4" t="str">
        <f>LEFT(Table13[[#This Row],[Values Col 1]],3)</f>
        <v/>
      </c>
      <c r="I121" s="4" t="s">
        <v>1098</v>
      </c>
      <c r="J121" s="4" t="str">
        <f>MID(Table13[[#This Row],[Function Col]],5,2)</f>
        <v/>
      </c>
      <c r="K121" s="4" t="s">
        <v>1098</v>
      </c>
      <c r="L121" s="4" t="str">
        <f>RIGHT(Table13[[#This Row],[Function Col]],4)</f>
        <v/>
      </c>
      <c r="M121" s="4" t="s">
        <v>1098</v>
      </c>
      <c r="N121" s="4" t="str">
        <f>IF(Table13[[#This Row],[Function Col5]]="","",_xlfn.CONCAT(Table13[[#This Row],[Day Col]],"/",Table13[[#This Row],[Month Col]],"/",Table13[[#This Row],[Year Col]]))</f>
        <v/>
      </c>
      <c r="O121" s="4" t="s">
        <v>1098</v>
      </c>
      <c r="P121" s="4">
        <f>IF(ISNUMBER(Table13[[#This Row],[Claim_Date2]]),Table13[[#This Row],[Claim_Date2]],Table13[[#This Row],[Function Col32]])</f>
        <v>45032</v>
      </c>
      <c r="Q121" s="4">
        <v>45032</v>
      </c>
      <c r="R121" s="1" t="s">
        <v>16</v>
      </c>
      <c r="S121" s="1" t="s">
        <v>47</v>
      </c>
      <c r="T121" s="1" t="s">
        <v>48</v>
      </c>
      <c r="U121" s="1"/>
      <c r="W121">
        <f>IF(Table1[[#This Row],[Claim_Amount]]&lt;0,0,Table1[[#This Row],[Claim_Amount]])</f>
        <v>0</v>
      </c>
      <c r="X121" t="str">
        <f>IF(Table1[[#This Row],[Column1]]=0,"",Table1[[#This Row],[Column1]])</f>
        <v/>
      </c>
      <c r="Y121" t="s">
        <v>1098</v>
      </c>
      <c r="Z121">
        <v>2481</v>
      </c>
      <c r="AA121">
        <v>832</v>
      </c>
      <c r="AB121" s="1" t="s">
        <v>1091</v>
      </c>
      <c r="AC121" s="1" t="s">
        <v>26</v>
      </c>
      <c r="AD121">
        <v>9</v>
      </c>
      <c r="AE121" s="3" t="s">
        <v>27</v>
      </c>
    </row>
    <row r="122" spans="1:31" ht="15.75" customHeight="1" x14ac:dyDescent="0.35">
      <c r="A122" s="1" t="s">
        <v>168</v>
      </c>
      <c r="B122" t="s">
        <v>1083</v>
      </c>
      <c r="C122" s="1" t="s">
        <v>177</v>
      </c>
      <c r="D122" s="1" t="s">
        <v>288</v>
      </c>
      <c r="E122" s="5">
        <v>45038</v>
      </c>
      <c r="F122" s="4" t="str">
        <f>IF(ISNUMBER(Table13[[#This Row],[Claim_Date2]]),"",Table13[[#This Row],[Claim_Date2]])</f>
        <v/>
      </c>
      <c r="G122" s="4" t="s">
        <v>1098</v>
      </c>
      <c r="H122" s="4" t="str">
        <f>LEFT(Table13[[#This Row],[Values Col 1]],3)</f>
        <v/>
      </c>
      <c r="I122" s="4" t="s">
        <v>1098</v>
      </c>
      <c r="J122" s="4" t="str">
        <f>MID(Table13[[#This Row],[Function Col]],5,2)</f>
        <v/>
      </c>
      <c r="K122" s="4" t="s">
        <v>1098</v>
      </c>
      <c r="L122" s="4" t="str">
        <f>RIGHT(Table13[[#This Row],[Function Col]],4)</f>
        <v/>
      </c>
      <c r="M122" s="4" t="s">
        <v>1098</v>
      </c>
      <c r="N122" s="4" t="str">
        <f>IF(Table13[[#This Row],[Function Col5]]="","",_xlfn.CONCAT(Table13[[#This Row],[Day Col]],"/",Table13[[#This Row],[Month Col]],"/",Table13[[#This Row],[Year Col]]))</f>
        <v/>
      </c>
      <c r="O122" s="4" t="s">
        <v>1098</v>
      </c>
      <c r="P122" s="4">
        <f>IF(ISNUMBER(Table13[[#This Row],[Claim_Date2]]),Table13[[#This Row],[Claim_Date2]],Table13[[#This Row],[Function Col32]])</f>
        <v>45038</v>
      </c>
      <c r="Q122" s="4">
        <v>45038</v>
      </c>
      <c r="R122" s="1" t="s">
        <v>77</v>
      </c>
      <c r="S122" s="1" t="s">
        <v>31</v>
      </c>
      <c r="T122" t="s">
        <v>1086</v>
      </c>
      <c r="V122" s="1">
        <v>365.61</v>
      </c>
      <c r="W122" s="1">
        <f>IF(Table1[[#This Row],[Claim_Amount]]&lt;0,0,Table1[[#This Row],[Claim_Amount]])</f>
        <v>365.61</v>
      </c>
      <c r="X122" s="1">
        <f>IF(Table1[[#This Row],[Column1]]=0,"",Table1[[#This Row],[Column1]])</f>
        <v>365.61</v>
      </c>
      <c r="Y122" s="1">
        <v>365.61</v>
      </c>
      <c r="Z122" s="1">
        <v>365.61</v>
      </c>
      <c r="AA122">
        <v>832</v>
      </c>
      <c r="AB122" s="1" t="s">
        <v>25</v>
      </c>
      <c r="AC122" s="1" t="s">
        <v>32</v>
      </c>
      <c r="AD122" s="1">
        <v>26</v>
      </c>
      <c r="AE122" s="3" t="s">
        <v>65</v>
      </c>
    </row>
    <row r="123" spans="1:31" ht="15.75" customHeight="1" x14ac:dyDescent="0.35">
      <c r="A123" s="1" t="s">
        <v>202</v>
      </c>
      <c r="B123" t="s">
        <v>1083</v>
      </c>
      <c r="C123" t="s">
        <v>1084</v>
      </c>
      <c r="D123" s="1" t="s">
        <v>289</v>
      </c>
      <c r="E123" s="5">
        <v>45122</v>
      </c>
      <c r="F123" s="4" t="str">
        <f>IF(ISNUMBER(Table13[[#This Row],[Claim_Date2]]),"",Table13[[#This Row],[Claim_Date2]])</f>
        <v/>
      </c>
      <c r="G123" s="4" t="s">
        <v>1098</v>
      </c>
      <c r="H123" s="4" t="str">
        <f>LEFT(Table13[[#This Row],[Values Col 1]],3)</f>
        <v/>
      </c>
      <c r="I123" s="4" t="s">
        <v>1098</v>
      </c>
      <c r="J123" s="4" t="str">
        <f>MID(Table13[[#This Row],[Function Col]],5,2)</f>
        <v/>
      </c>
      <c r="K123" s="4" t="s">
        <v>1098</v>
      </c>
      <c r="L123" s="4" t="str">
        <f>RIGHT(Table13[[#This Row],[Function Col]],4)</f>
        <v/>
      </c>
      <c r="M123" s="4" t="s">
        <v>1098</v>
      </c>
      <c r="N123" s="4" t="str">
        <f>IF(Table13[[#This Row],[Function Col5]]="","",_xlfn.CONCAT(Table13[[#This Row],[Day Col]],"/",Table13[[#This Row],[Month Col]],"/",Table13[[#This Row],[Year Col]]))</f>
        <v/>
      </c>
      <c r="O123" s="4" t="s">
        <v>1098</v>
      </c>
      <c r="P123" s="4">
        <f>IF(ISNUMBER(Table13[[#This Row],[Claim_Date2]]),Table13[[#This Row],[Claim_Date2]],Table13[[#This Row],[Function Col32]])</f>
        <v>45122</v>
      </c>
      <c r="Q123" s="4">
        <v>45122</v>
      </c>
      <c r="R123" s="1" t="s">
        <v>77</v>
      </c>
      <c r="S123" s="1" t="s">
        <v>23</v>
      </c>
      <c r="T123" t="s">
        <v>1086</v>
      </c>
      <c r="W123">
        <f>IF(Table1[[#This Row],[Claim_Amount]]&lt;0,0,Table1[[#This Row],[Claim_Amount]])</f>
        <v>0</v>
      </c>
      <c r="X123" t="str">
        <f>IF(Table1[[#This Row],[Column1]]=0,"",Table1[[#This Row],[Column1]])</f>
        <v/>
      </c>
      <c r="Y123" t="s">
        <v>1098</v>
      </c>
      <c r="Z123">
        <v>2481</v>
      </c>
      <c r="AA123">
        <v>832</v>
      </c>
      <c r="AB123" s="1" t="s">
        <v>25</v>
      </c>
      <c r="AC123" s="1" t="s">
        <v>18</v>
      </c>
      <c r="AD123">
        <v>9</v>
      </c>
      <c r="AE123" s="3" t="s">
        <v>1097</v>
      </c>
    </row>
    <row r="124" spans="1:31" ht="15.75" customHeight="1" x14ac:dyDescent="0.35">
      <c r="A124" s="1" t="s">
        <v>277</v>
      </c>
      <c r="B124" s="1" t="s">
        <v>270</v>
      </c>
      <c r="C124" s="1" t="s">
        <v>290</v>
      </c>
      <c r="D124" s="1" t="s">
        <v>291</v>
      </c>
      <c r="E124" s="5" t="s">
        <v>291</v>
      </c>
      <c r="F124" s="4" t="str">
        <f>IF(ISNUMBER(Table13[[#This Row],[Claim_Date2]]),"",Table13[[#This Row],[Claim_Date2]])</f>
        <v>Dec 11 2023</v>
      </c>
      <c r="G124" s="4" t="s">
        <v>291</v>
      </c>
      <c r="H124" s="4" t="str">
        <f>LEFT(Table13[[#This Row],[Values Col 1]],3)</f>
        <v>Dec</v>
      </c>
      <c r="I124" s="4" t="s">
        <v>1111</v>
      </c>
      <c r="J124" s="4" t="str">
        <f>MID(Table13[[#This Row],[Function Col]],5,2)</f>
        <v>11</v>
      </c>
      <c r="K124" s="4" t="s">
        <v>1121</v>
      </c>
      <c r="L124" s="4" t="str">
        <f>RIGHT(Table13[[#This Row],[Function Col]],4)</f>
        <v>2023</v>
      </c>
      <c r="M124" s="4" t="s">
        <v>1146</v>
      </c>
      <c r="N124" s="4" t="str">
        <f>IF(Table13[[#This Row],[Function Col5]]="","",_xlfn.CONCAT(Table13[[#This Row],[Day Col]],"/",Table13[[#This Row],[Month Col]],"/",Table13[[#This Row],[Year Col]]))</f>
        <v>11/Dec/2023</v>
      </c>
      <c r="O124" s="4" t="s">
        <v>1185</v>
      </c>
      <c r="P124" s="4" t="str">
        <f>IF(ISNUMBER(Table13[[#This Row],[Claim_Date2]]),Table13[[#This Row],[Claim_Date2]],Table13[[#This Row],[Function Col32]])</f>
        <v>11/Dec/2023</v>
      </c>
      <c r="Q124" s="4">
        <v>45271</v>
      </c>
      <c r="R124" s="1" t="s">
        <v>30</v>
      </c>
      <c r="S124" s="1" t="s">
        <v>53</v>
      </c>
      <c r="T124" s="1" t="s">
        <v>54</v>
      </c>
      <c r="U124" s="1"/>
      <c r="W124">
        <f>IF(Table1[[#This Row],[Claim_Amount]]&lt;0,0,Table1[[#This Row],[Claim_Amount]])</f>
        <v>0</v>
      </c>
      <c r="X124" t="str">
        <f>IF(Table1[[#This Row],[Column1]]=0,"",Table1[[#This Row],[Column1]])</f>
        <v/>
      </c>
      <c r="Y124" t="s">
        <v>1098</v>
      </c>
      <c r="Z124">
        <v>2481</v>
      </c>
      <c r="AA124" s="1">
        <v>2330.1</v>
      </c>
      <c r="AB124" s="1" t="s">
        <v>42</v>
      </c>
      <c r="AC124" s="1" t="s">
        <v>18</v>
      </c>
      <c r="AD124">
        <v>9</v>
      </c>
      <c r="AE124" s="3" t="s">
        <v>19</v>
      </c>
    </row>
    <row r="125" spans="1:31" ht="15.75" customHeight="1" x14ac:dyDescent="0.35">
      <c r="A125" s="1" t="s">
        <v>166</v>
      </c>
      <c r="B125" t="s">
        <v>1083</v>
      </c>
      <c r="C125" s="1" t="s">
        <v>263</v>
      </c>
      <c r="D125" s="1" t="s">
        <v>292</v>
      </c>
      <c r="E125" s="5">
        <v>45050</v>
      </c>
      <c r="F125" s="4" t="str">
        <f>IF(ISNUMBER(Table13[[#This Row],[Claim_Date2]]),"",Table13[[#This Row],[Claim_Date2]])</f>
        <v/>
      </c>
      <c r="G125" s="4" t="s">
        <v>1098</v>
      </c>
      <c r="H125" s="4" t="str">
        <f>LEFT(Table13[[#This Row],[Values Col 1]],3)</f>
        <v/>
      </c>
      <c r="I125" s="4" t="s">
        <v>1098</v>
      </c>
      <c r="J125" s="4" t="str">
        <f>MID(Table13[[#This Row],[Function Col]],5,2)</f>
        <v/>
      </c>
      <c r="K125" s="4" t="s">
        <v>1098</v>
      </c>
      <c r="L125" s="4" t="str">
        <f>RIGHT(Table13[[#This Row],[Function Col]],4)</f>
        <v/>
      </c>
      <c r="M125" s="4" t="s">
        <v>1098</v>
      </c>
      <c r="N125" s="4" t="str">
        <f>IF(Table13[[#This Row],[Function Col5]]="","",_xlfn.CONCAT(Table13[[#This Row],[Day Col]],"/",Table13[[#This Row],[Month Col]],"/",Table13[[#This Row],[Year Col]]))</f>
        <v/>
      </c>
      <c r="O125" s="4" t="s">
        <v>1098</v>
      </c>
      <c r="P125" s="4">
        <f>IF(ISNUMBER(Table13[[#This Row],[Claim_Date2]]),Table13[[#This Row],[Claim_Date2]],Table13[[#This Row],[Function Col32]])</f>
        <v>45050</v>
      </c>
      <c r="Q125" s="4">
        <v>45050</v>
      </c>
      <c r="R125" s="1" t="s">
        <v>30</v>
      </c>
      <c r="S125" s="1" t="s">
        <v>23</v>
      </c>
      <c r="T125" s="1" t="s">
        <v>48</v>
      </c>
      <c r="U125" s="1"/>
      <c r="V125" s="1">
        <v>3009.04</v>
      </c>
      <c r="W125" s="1">
        <f>IF(Table1[[#This Row],[Claim_Amount]]&lt;0,0,Table1[[#This Row],[Claim_Amount]])</f>
        <v>3009.04</v>
      </c>
      <c r="X125" s="1">
        <f>IF(Table1[[#This Row],[Column1]]=0,"",Table1[[#This Row],[Column1]])</f>
        <v>3009.04</v>
      </c>
      <c r="Y125" s="1">
        <v>3009.04</v>
      </c>
      <c r="Z125" s="1">
        <v>3009.04</v>
      </c>
      <c r="AA125" s="1">
        <v>1261.43</v>
      </c>
      <c r="AB125" s="1" t="s">
        <v>25</v>
      </c>
      <c r="AC125" s="1" t="s">
        <v>1093</v>
      </c>
      <c r="AD125">
        <v>9</v>
      </c>
      <c r="AE125" s="3" t="s">
        <v>65</v>
      </c>
    </row>
    <row r="126" spans="1:31" ht="15.75" customHeight="1" x14ac:dyDescent="0.35">
      <c r="A126" s="1" t="s">
        <v>231</v>
      </c>
      <c r="B126" s="1" t="s">
        <v>293</v>
      </c>
      <c r="C126" t="s">
        <v>1084</v>
      </c>
      <c r="D126" s="1" t="s">
        <v>294</v>
      </c>
      <c r="E126" s="5" t="s">
        <v>294</v>
      </c>
      <c r="F126" s="4" t="str">
        <f>IF(ISNUMBER(Table13[[#This Row],[Claim_Date2]]),"",Table13[[#This Row],[Claim_Date2]])</f>
        <v>Jun 13 2023</v>
      </c>
      <c r="G126" s="4" t="s">
        <v>294</v>
      </c>
      <c r="H126" s="4" t="str">
        <f>LEFT(Table13[[#This Row],[Values Col 1]],3)</f>
        <v>Jun</v>
      </c>
      <c r="I126" s="4" t="s">
        <v>1108</v>
      </c>
      <c r="J126" s="4" t="str">
        <f>MID(Table13[[#This Row],[Function Col]],5,2)</f>
        <v>13</v>
      </c>
      <c r="K126" s="4" t="s">
        <v>1114</v>
      </c>
      <c r="L126" s="4" t="str">
        <f>RIGHT(Table13[[#This Row],[Function Col]],4)</f>
        <v>2023</v>
      </c>
      <c r="M126" s="4" t="s">
        <v>1146</v>
      </c>
      <c r="N126" s="4" t="str">
        <f>IF(Table13[[#This Row],[Function Col5]]="","",_xlfn.CONCAT(Table13[[#This Row],[Day Col]],"/",Table13[[#This Row],[Month Col]],"/",Table13[[#This Row],[Year Col]]))</f>
        <v>13/Jun/2023</v>
      </c>
      <c r="O126" s="4" t="s">
        <v>1186</v>
      </c>
      <c r="P126" s="4" t="str">
        <f>IF(ISNUMBER(Table13[[#This Row],[Claim_Date2]]),Table13[[#This Row],[Claim_Date2]],Table13[[#This Row],[Function Col32]])</f>
        <v>13/Jun/2023</v>
      </c>
      <c r="Q126" s="4">
        <v>45090</v>
      </c>
      <c r="R126" s="1" t="s">
        <v>30</v>
      </c>
      <c r="S126" t="s">
        <v>1085</v>
      </c>
      <c r="T126" s="1" t="s">
        <v>41</v>
      </c>
      <c r="U126" s="1"/>
      <c r="W126">
        <f>IF(Table1[[#This Row],[Claim_Amount]]&lt;0,0,Table1[[#This Row],[Claim_Amount]])</f>
        <v>0</v>
      </c>
      <c r="X126" t="str">
        <f>IF(Table1[[#This Row],[Column1]]=0,"",Table1[[#This Row],[Column1]])</f>
        <v/>
      </c>
      <c r="Y126" t="s">
        <v>1098</v>
      </c>
      <c r="Z126">
        <v>2481</v>
      </c>
      <c r="AA126">
        <v>832</v>
      </c>
      <c r="AB126" s="1" t="s">
        <v>25</v>
      </c>
      <c r="AC126" s="1" t="s">
        <v>57</v>
      </c>
      <c r="AD126">
        <v>9</v>
      </c>
      <c r="AE126" s="3" t="s">
        <v>65</v>
      </c>
    </row>
    <row r="127" spans="1:31" ht="15.75" customHeight="1" x14ac:dyDescent="0.35">
      <c r="A127" s="1" t="s">
        <v>13</v>
      </c>
      <c r="B127" t="s">
        <v>1083</v>
      </c>
      <c r="C127" t="s">
        <v>1084</v>
      </c>
      <c r="D127" s="1" t="s">
        <v>295</v>
      </c>
      <c r="E127" s="5" t="s">
        <v>295</v>
      </c>
      <c r="F127" s="4" t="str">
        <f>IF(ISNUMBER(Table13[[#This Row],[Claim_Date2]]),"",Table13[[#This Row],[Claim_Date2]])</f>
        <v>Nov 26 2023</v>
      </c>
      <c r="G127" s="4" t="s">
        <v>295</v>
      </c>
      <c r="H127" s="4" t="str">
        <f>LEFT(Table13[[#This Row],[Values Col 1]],3)</f>
        <v>Nov</v>
      </c>
      <c r="I127" s="4" t="s">
        <v>1105</v>
      </c>
      <c r="J127" s="4" t="str">
        <f>MID(Table13[[#This Row],[Function Col]],5,2)</f>
        <v>26</v>
      </c>
      <c r="K127" s="4" t="s">
        <v>1117</v>
      </c>
      <c r="L127" s="4" t="str">
        <f>RIGHT(Table13[[#This Row],[Function Col]],4)</f>
        <v>2023</v>
      </c>
      <c r="M127" s="4" t="s">
        <v>1146</v>
      </c>
      <c r="N127" s="4" t="str">
        <f>IF(Table13[[#This Row],[Function Col5]]="","",_xlfn.CONCAT(Table13[[#This Row],[Day Col]],"/",Table13[[#This Row],[Month Col]],"/",Table13[[#This Row],[Year Col]]))</f>
        <v>26/Nov/2023</v>
      </c>
      <c r="O127" s="4" t="s">
        <v>1187</v>
      </c>
      <c r="P127" s="4" t="str">
        <f>IF(ISNUMBER(Table13[[#This Row],[Claim_Date2]]),Table13[[#This Row],[Claim_Date2]],Table13[[#This Row],[Function Col32]])</f>
        <v>26/Nov/2023</v>
      </c>
      <c r="Q127" s="4">
        <v>45256</v>
      </c>
      <c r="R127" s="1" t="s">
        <v>77</v>
      </c>
      <c r="S127" s="1" t="s">
        <v>47</v>
      </c>
      <c r="T127" s="1" t="s">
        <v>41</v>
      </c>
      <c r="U127" s="1"/>
      <c r="W127">
        <f>IF(Table1[[#This Row],[Claim_Amount]]&lt;0,0,Table1[[#This Row],[Claim_Amount]])</f>
        <v>0</v>
      </c>
      <c r="X127" t="str">
        <f>IF(Table1[[#This Row],[Column1]]=0,"",Table1[[#This Row],[Column1]])</f>
        <v/>
      </c>
      <c r="Y127" t="s">
        <v>1098</v>
      </c>
      <c r="Z127">
        <v>2481</v>
      </c>
      <c r="AA127" s="1">
        <v>1534.45</v>
      </c>
      <c r="AB127" s="1" t="s">
        <v>1091</v>
      </c>
      <c r="AC127" s="1" t="s">
        <v>1093</v>
      </c>
      <c r="AD127" s="1">
        <v>15</v>
      </c>
      <c r="AE127" s="3" t="s">
        <v>27</v>
      </c>
    </row>
    <row r="128" spans="1:31" ht="15.75" customHeight="1" x14ac:dyDescent="0.35">
      <c r="A128" s="1" t="s">
        <v>137</v>
      </c>
      <c r="B128" t="s">
        <v>1083</v>
      </c>
      <c r="C128" t="s">
        <v>1084</v>
      </c>
      <c r="D128" s="1" t="s">
        <v>296</v>
      </c>
      <c r="E128" s="5">
        <v>45140</v>
      </c>
      <c r="F128" s="4" t="str">
        <f>IF(ISNUMBER(Table13[[#This Row],[Claim_Date2]]),"",Table13[[#This Row],[Claim_Date2]])</f>
        <v/>
      </c>
      <c r="G128" s="4" t="s">
        <v>1098</v>
      </c>
      <c r="H128" s="4" t="str">
        <f>LEFT(Table13[[#This Row],[Values Col 1]],3)</f>
        <v/>
      </c>
      <c r="I128" s="4" t="s">
        <v>1098</v>
      </c>
      <c r="J128" s="4" t="str">
        <f>MID(Table13[[#This Row],[Function Col]],5,2)</f>
        <v/>
      </c>
      <c r="K128" s="4" t="s">
        <v>1098</v>
      </c>
      <c r="L128" s="4" t="str">
        <f>RIGHT(Table13[[#This Row],[Function Col]],4)</f>
        <v/>
      </c>
      <c r="M128" s="4" t="s">
        <v>1098</v>
      </c>
      <c r="N128" s="4" t="str">
        <f>IF(Table13[[#This Row],[Function Col5]]="","",_xlfn.CONCAT(Table13[[#This Row],[Day Col]],"/",Table13[[#This Row],[Month Col]],"/",Table13[[#This Row],[Year Col]]))</f>
        <v/>
      </c>
      <c r="O128" s="4" t="s">
        <v>1098</v>
      </c>
      <c r="P128" s="4">
        <f>IF(ISNUMBER(Table13[[#This Row],[Claim_Date2]]),Table13[[#This Row],[Claim_Date2]],Table13[[#This Row],[Function Col32]])</f>
        <v>45140</v>
      </c>
      <c r="Q128" s="4">
        <v>45140</v>
      </c>
      <c r="R128" s="1" t="s">
        <v>77</v>
      </c>
      <c r="S128" s="1" t="s">
        <v>93</v>
      </c>
      <c r="T128" s="1" t="s">
        <v>41</v>
      </c>
      <c r="U128" s="1"/>
      <c r="V128" s="1">
        <v>1056.52</v>
      </c>
      <c r="W128" s="1">
        <f>IF(Table1[[#This Row],[Claim_Amount]]&lt;0,0,Table1[[#This Row],[Claim_Amount]])</f>
        <v>1056.52</v>
      </c>
      <c r="X128" s="1">
        <f>IF(Table1[[#This Row],[Column1]]=0,"",Table1[[#This Row],[Column1]])</f>
        <v>1056.52</v>
      </c>
      <c r="Y128" s="1">
        <v>1056.52</v>
      </c>
      <c r="Z128" s="1">
        <v>1056.52</v>
      </c>
      <c r="AA128">
        <v>832</v>
      </c>
      <c r="AB128" s="1" t="s">
        <v>25</v>
      </c>
      <c r="AC128" s="1" t="s">
        <v>57</v>
      </c>
      <c r="AD128" s="1">
        <v>46</v>
      </c>
      <c r="AE128" s="3" t="s">
        <v>19</v>
      </c>
    </row>
    <row r="129" spans="1:31" ht="15.75" customHeight="1" x14ac:dyDescent="0.35">
      <c r="A129" s="1" t="s">
        <v>38</v>
      </c>
      <c r="B129" t="s">
        <v>1083</v>
      </c>
      <c r="C129" s="1" t="s">
        <v>161</v>
      </c>
      <c r="D129" s="1" t="s">
        <v>297</v>
      </c>
      <c r="E129" s="5" t="s">
        <v>297</v>
      </c>
      <c r="F129" s="4" t="str">
        <f>IF(ISNUMBER(Table13[[#This Row],[Claim_Date2]]),"",Table13[[#This Row],[Claim_Date2]])</f>
        <v>Oct 28 2023</v>
      </c>
      <c r="G129" s="4" t="s">
        <v>297</v>
      </c>
      <c r="H129" s="4" t="str">
        <f>LEFT(Table13[[#This Row],[Values Col 1]],3)</f>
        <v>Oct</v>
      </c>
      <c r="I129" s="4" t="s">
        <v>1103</v>
      </c>
      <c r="J129" s="4" t="str">
        <f>MID(Table13[[#This Row],[Function Col]],5,2)</f>
        <v>28</v>
      </c>
      <c r="K129" s="4" t="s">
        <v>1134</v>
      </c>
      <c r="L129" s="4" t="str">
        <f>RIGHT(Table13[[#This Row],[Function Col]],4)</f>
        <v>2023</v>
      </c>
      <c r="M129" s="4" t="s">
        <v>1146</v>
      </c>
      <c r="N129" s="4" t="str">
        <f>IF(Table13[[#This Row],[Function Col5]]="","",_xlfn.CONCAT(Table13[[#This Row],[Day Col]],"/",Table13[[#This Row],[Month Col]],"/",Table13[[#This Row],[Year Col]]))</f>
        <v>28/Oct/2023</v>
      </c>
      <c r="O129" s="4" t="s">
        <v>1188</v>
      </c>
      <c r="P129" s="4" t="str">
        <f>IF(ISNUMBER(Table13[[#This Row],[Claim_Date2]]),Table13[[#This Row],[Claim_Date2]],Table13[[#This Row],[Function Col32]])</f>
        <v>28/Oct/2023</v>
      </c>
      <c r="Q129" s="4">
        <v>45227</v>
      </c>
      <c r="R129" s="1" t="s">
        <v>16</v>
      </c>
      <c r="S129" s="1" t="s">
        <v>47</v>
      </c>
      <c r="T129" s="1" t="s">
        <v>24</v>
      </c>
      <c r="U129" s="1"/>
      <c r="W129">
        <f>IF(Table1[[#This Row],[Claim_Amount]]&lt;0,0,Table1[[#This Row],[Claim_Amount]])</f>
        <v>0</v>
      </c>
      <c r="X129" t="str">
        <f>IF(Table1[[#This Row],[Column1]]=0,"",Table1[[#This Row],[Column1]])</f>
        <v/>
      </c>
      <c r="Y129" t="s">
        <v>1098</v>
      </c>
      <c r="Z129">
        <v>2481</v>
      </c>
      <c r="AA129" s="1">
        <v>4787.25</v>
      </c>
      <c r="AB129" s="1" t="s">
        <v>17</v>
      </c>
      <c r="AC129" s="1" t="s">
        <v>18</v>
      </c>
      <c r="AD129" s="1">
        <v>47</v>
      </c>
      <c r="AE129" s="3" t="s">
        <v>37</v>
      </c>
    </row>
    <row r="130" spans="1:31" ht="15.75" customHeight="1" x14ac:dyDescent="0.35">
      <c r="A130" s="1" t="s">
        <v>170</v>
      </c>
      <c r="B130" t="s">
        <v>1083</v>
      </c>
      <c r="C130" s="1" t="s">
        <v>271</v>
      </c>
      <c r="D130" s="1" t="s">
        <v>298</v>
      </c>
      <c r="E130" s="5">
        <v>45049</v>
      </c>
      <c r="F130" s="4" t="str">
        <f>IF(ISNUMBER(Table13[[#This Row],[Claim_Date2]]),"",Table13[[#This Row],[Claim_Date2]])</f>
        <v/>
      </c>
      <c r="G130" s="4" t="s">
        <v>1098</v>
      </c>
      <c r="H130" s="4" t="str">
        <f>LEFT(Table13[[#This Row],[Values Col 1]],3)</f>
        <v/>
      </c>
      <c r="I130" s="4" t="s">
        <v>1098</v>
      </c>
      <c r="J130" s="4" t="str">
        <f>MID(Table13[[#This Row],[Function Col]],5,2)</f>
        <v/>
      </c>
      <c r="K130" s="4" t="s">
        <v>1098</v>
      </c>
      <c r="L130" s="4" t="str">
        <f>RIGHT(Table13[[#This Row],[Function Col]],4)</f>
        <v/>
      </c>
      <c r="M130" s="4" t="s">
        <v>1098</v>
      </c>
      <c r="N130" s="4" t="str">
        <f>IF(Table13[[#This Row],[Function Col5]]="","",_xlfn.CONCAT(Table13[[#This Row],[Day Col]],"/",Table13[[#This Row],[Month Col]],"/",Table13[[#This Row],[Year Col]]))</f>
        <v/>
      </c>
      <c r="O130" s="4" t="s">
        <v>1098</v>
      </c>
      <c r="P130" s="4">
        <f>IF(ISNUMBER(Table13[[#This Row],[Claim_Date2]]),Table13[[#This Row],[Claim_Date2]],Table13[[#This Row],[Function Col32]])</f>
        <v>45049</v>
      </c>
      <c r="Q130" s="4">
        <v>45049</v>
      </c>
      <c r="R130" s="1" t="s">
        <v>85</v>
      </c>
      <c r="S130" s="1" t="s">
        <v>31</v>
      </c>
      <c r="T130" s="1" t="s">
        <v>48</v>
      </c>
      <c r="U130" s="1"/>
      <c r="W130">
        <f>IF(Table1[[#This Row],[Claim_Amount]]&lt;0,0,Table1[[#This Row],[Claim_Amount]])</f>
        <v>0</v>
      </c>
      <c r="X130" t="str">
        <f>IF(Table1[[#This Row],[Column1]]=0,"",Table1[[#This Row],[Column1]])</f>
        <v/>
      </c>
      <c r="Y130" t="s">
        <v>1098</v>
      </c>
      <c r="Z130">
        <v>2481</v>
      </c>
      <c r="AA130">
        <v>832</v>
      </c>
      <c r="AB130" s="1" t="s">
        <v>1091</v>
      </c>
      <c r="AC130" s="1" t="s">
        <v>1093</v>
      </c>
      <c r="AD130" s="1">
        <v>29</v>
      </c>
      <c r="AE130" s="3" t="s">
        <v>37</v>
      </c>
    </row>
    <row r="131" spans="1:31" ht="15.75" customHeight="1" x14ac:dyDescent="0.35">
      <c r="A131" s="1" t="s">
        <v>231</v>
      </c>
      <c r="B131" s="1" t="s">
        <v>299</v>
      </c>
      <c r="C131" t="s">
        <v>1084</v>
      </c>
      <c r="D131" s="1" t="s">
        <v>300</v>
      </c>
      <c r="E131" s="5">
        <v>45138</v>
      </c>
      <c r="F131" s="4" t="str">
        <f>IF(ISNUMBER(Table13[[#This Row],[Claim_Date2]]),"",Table13[[#This Row],[Claim_Date2]])</f>
        <v/>
      </c>
      <c r="G131" s="4" t="s">
        <v>1098</v>
      </c>
      <c r="H131" s="4" t="str">
        <f>LEFT(Table13[[#This Row],[Values Col 1]],3)</f>
        <v/>
      </c>
      <c r="I131" s="4" t="s">
        <v>1098</v>
      </c>
      <c r="J131" s="4" t="str">
        <f>MID(Table13[[#This Row],[Function Col]],5,2)</f>
        <v/>
      </c>
      <c r="K131" s="4" t="s">
        <v>1098</v>
      </c>
      <c r="L131" s="4" t="str">
        <f>RIGHT(Table13[[#This Row],[Function Col]],4)</f>
        <v/>
      </c>
      <c r="M131" s="4" t="s">
        <v>1098</v>
      </c>
      <c r="N131" s="4" t="str">
        <f>IF(Table13[[#This Row],[Function Col5]]="","",_xlfn.CONCAT(Table13[[#This Row],[Day Col]],"/",Table13[[#This Row],[Month Col]],"/",Table13[[#This Row],[Year Col]]))</f>
        <v/>
      </c>
      <c r="O131" s="4" t="s">
        <v>1098</v>
      </c>
      <c r="P131" s="4">
        <f>IF(ISNUMBER(Table13[[#This Row],[Claim_Date2]]),Table13[[#This Row],[Claim_Date2]],Table13[[#This Row],[Function Col32]])</f>
        <v>45138</v>
      </c>
      <c r="Q131" s="4">
        <v>45138</v>
      </c>
      <c r="R131" s="1" t="s">
        <v>16</v>
      </c>
      <c r="S131" s="1" t="s">
        <v>93</v>
      </c>
      <c r="T131" s="1" t="s">
        <v>61</v>
      </c>
      <c r="U131" s="1"/>
      <c r="V131" s="1">
        <v>-159</v>
      </c>
      <c r="W131" s="1">
        <f>IF(Table1[[#This Row],[Claim_Amount]]&lt;0,0,Table1[[#This Row],[Claim_Amount]])</f>
        <v>0</v>
      </c>
      <c r="X131" s="1" t="str">
        <f>IF(Table1[[#This Row],[Column1]]=0,"",Table1[[#This Row],[Column1]])</f>
        <v/>
      </c>
      <c r="Y131" s="1" t="s">
        <v>1098</v>
      </c>
      <c r="Z131" s="1">
        <v>2481</v>
      </c>
      <c r="AA131" s="1">
        <v>1511.2</v>
      </c>
      <c r="AB131" s="1" t="s">
        <v>42</v>
      </c>
      <c r="AC131" s="1" t="s">
        <v>18</v>
      </c>
      <c r="AD131">
        <v>9</v>
      </c>
      <c r="AE131" s="3" t="s">
        <v>65</v>
      </c>
    </row>
    <row r="132" spans="1:31" ht="15.75" customHeight="1" x14ac:dyDescent="0.35">
      <c r="A132" s="1" t="s">
        <v>117</v>
      </c>
      <c r="B132" t="s">
        <v>1083</v>
      </c>
      <c r="C132" t="s">
        <v>1084</v>
      </c>
      <c r="D132" s="1" t="s">
        <v>301</v>
      </c>
      <c r="E132" s="5" t="s">
        <v>301</v>
      </c>
      <c r="F132" s="4" t="str">
        <f>IF(ISNUMBER(Table13[[#This Row],[Claim_Date2]]),"",Table13[[#This Row],[Claim_Date2]])</f>
        <v>Nov 25 2023</v>
      </c>
      <c r="G132" s="4" t="s">
        <v>301</v>
      </c>
      <c r="H132" s="4" t="str">
        <f>LEFT(Table13[[#This Row],[Values Col 1]],3)</f>
        <v>Nov</v>
      </c>
      <c r="I132" s="4" t="s">
        <v>1105</v>
      </c>
      <c r="J132" s="4" t="str">
        <f>MID(Table13[[#This Row],[Function Col]],5,2)</f>
        <v>25</v>
      </c>
      <c r="K132" s="4" t="s">
        <v>1123</v>
      </c>
      <c r="L132" s="4" t="str">
        <f>RIGHT(Table13[[#This Row],[Function Col]],4)</f>
        <v>2023</v>
      </c>
      <c r="M132" s="4" t="s">
        <v>1146</v>
      </c>
      <c r="N132" s="4" t="str">
        <f>IF(Table13[[#This Row],[Function Col5]]="","",_xlfn.CONCAT(Table13[[#This Row],[Day Col]],"/",Table13[[#This Row],[Month Col]],"/",Table13[[#This Row],[Year Col]]))</f>
        <v>25/Nov/2023</v>
      </c>
      <c r="O132" s="4" t="s">
        <v>1189</v>
      </c>
      <c r="P132" s="4" t="str">
        <f>IF(ISNUMBER(Table13[[#This Row],[Claim_Date2]]),Table13[[#This Row],[Claim_Date2]],Table13[[#This Row],[Function Col32]])</f>
        <v>25/Nov/2023</v>
      </c>
      <c r="Q132" s="4">
        <v>45255</v>
      </c>
      <c r="R132" s="1" t="s">
        <v>77</v>
      </c>
      <c r="S132" s="1" t="s">
        <v>53</v>
      </c>
      <c r="T132" s="1" t="s">
        <v>24</v>
      </c>
      <c r="U132" s="1"/>
      <c r="W132">
        <f>IF(Table1[[#This Row],[Claim_Amount]]&lt;0,0,Table1[[#This Row],[Claim_Amount]])</f>
        <v>0</v>
      </c>
      <c r="X132" t="str">
        <f>IF(Table1[[#This Row],[Column1]]=0,"",Table1[[#This Row],[Column1]])</f>
        <v/>
      </c>
      <c r="Y132" t="s">
        <v>1098</v>
      </c>
      <c r="Z132">
        <v>2481</v>
      </c>
      <c r="AA132">
        <v>832</v>
      </c>
      <c r="AB132" s="1" t="s">
        <v>25</v>
      </c>
      <c r="AC132" s="1" t="s">
        <v>18</v>
      </c>
      <c r="AD132">
        <v>9</v>
      </c>
      <c r="AE132" s="3" t="s">
        <v>19</v>
      </c>
    </row>
    <row r="133" spans="1:31" ht="15.75" customHeight="1" x14ac:dyDescent="0.35">
      <c r="A133" s="1" t="s">
        <v>302</v>
      </c>
      <c r="B133" s="1" t="s">
        <v>303</v>
      </c>
      <c r="C133" s="1" t="s">
        <v>158</v>
      </c>
      <c r="D133" s="1" t="s">
        <v>304</v>
      </c>
      <c r="E133" s="5" t="s">
        <v>304</v>
      </c>
      <c r="F133" s="4" t="str">
        <f>IF(ISNUMBER(Table13[[#This Row],[Claim_Date2]]),"",Table13[[#This Row],[Claim_Date2]])</f>
        <v>Mar 12 2023</v>
      </c>
      <c r="G133" s="4" t="s">
        <v>304</v>
      </c>
      <c r="H133" s="4" t="str">
        <f>LEFT(Table13[[#This Row],[Values Col 1]],3)</f>
        <v>Mar</v>
      </c>
      <c r="I133" s="4" t="s">
        <v>1100</v>
      </c>
      <c r="J133" s="4" t="str">
        <f>MID(Table13[[#This Row],[Function Col]],5,2)</f>
        <v>12</v>
      </c>
      <c r="K133" s="4" t="s">
        <v>1135</v>
      </c>
      <c r="L133" s="4" t="str">
        <f>RIGHT(Table13[[#This Row],[Function Col]],4)</f>
        <v>2023</v>
      </c>
      <c r="M133" s="4" t="s">
        <v>1146</v>
      </c>
      <c r="N133" s="4" t="str">
        <f>IF(Table13[[#This Row],[Function Col5]]="","",_xlfn.CONCAT(Table13[[#This Row],[Day Col]],"/",Table13[[#This Row],[Month Col]],"/",Table13[[#This Row],[Year Col]]))</f>
        <v>12/Mar/2023</v>
      </c>
      <c r="O133" s="4" t="s">
        <v>1190</v>
      </c>
      <c r="P133" s="4" t="str">
        <f>IF(ISNUMBER(Table13[[#This Row],[Claim_Date2]]),Table13[[#This Row],[Claim_Date2]],Table13[[#This Row],[Function Col32]])</f>
        <v>12/Mar/2023</v>
      </c>
      <c r="Q133" s="4">
        <v>44997</v>
      </c>
      <c r="R133" s="1" t="s">
        <v>85</v>
      </c>
      <c r="S133" s="1" t="s">
        <v>23</v>
      </c>
      <c r="T133" t="s">
        <v>1086</v>
      </c>
      <c r="V133" s="1">
        <v>-65</v>
      </c>
      <c r="W133" s="1">
        <f>IF(Table1[[#This Row],[Claim_Amount]]&lt;0,0,Table1[[#This Row],[Claim_Amount]])</f>
        <v>0</v>
      </c>
      <c r="X133" s="1" t="str">
        <f>IF(Table1[[#This Row],[Column1]]=0,"",Table1[[#This Row],[Column1]])</f>
        <v/>
      </c>
      <c r="Y133" s="1" t="s">
        <v>1098</v>
      </c>
      <c r="Z133" s="1">
        <v>2481</v>
      </c>
      <c r="AA133">
        <v>832</v>
      </c>
      <c r="AB133" s="1" t="s">
        <v>1091</v>
      </c>
      <c r="AC133" s="1" t="s">
        <v>1093</v>
      </c>
      <c r="AD133">
        <v>9</v>
      </c>
      <c r="AE133" s="3" t="s">
        <v>19</v>
      </c>
    </row>
    <row r="134" spans="1:31" ht="15.75" customHeight="1" x14ac:dyDescent="0.35">
      <c r="A134" s="1" t="s">
        <v>89</v>
      </c>
      <c r="B134" t="s">
        <v>1083</v>
      </c>
      <c r="C134" s="1" t="s">
        <v>305</v>
      </c>
      <c r="D134" s="1" t="s">
        <v>306</v>
      </c>
      <c r="E134" s="5" t="s">
        <v>306</v>
      </c>
      <c r="F134" s="4" t="str">
        <f>IF(ISNUMBER(Table13[[#This Row],[Claim_Date2]]),"",Table13[[#This Row],[Claim_Date2]])</f>
        <v>May 21 2023</v>
      </c>
      <c r="G134" s="4" t="s">
        <v>306</v>
      </c>
      <c r="H134" s="4" t="str">
        <f>LEFT(Table13[[#This Row],[Values Col 1]],3)</f>
        <v>May</v>
      </c>
      <c r="I134" s="4" t="s">
        <v>1110</v>
      </c>
      <c r="J134" s="4" t="str">
        <f>MID(Table13[[#This Row],[Function Col]],5,2)</f>
        <v>21</v>
      </c>
      <c r="K134" s="4" t="s">
        <v>1136</v>
      </c>
      <c r="L134" s="4" t="str">
        <f>RIGHT(Table13[[#This Row],[Function Col]],4)</f>
        <v>2023</v>
      </c>
      <c r="M134" s="4" t="s">
        <v>1146</v>
      </c>
      <c r="N134" s="4" t="str">
        <f>IF(Table13[[#This Row],[Function Col5]]="","",_xlfn.CONCAT(Table13[[#This Row],[Day Col]],"/",Table13[[#This Row],[Month Col]],"/",Table13[[#This Row],[Year Col]]))</f>
        <v>21/May/2023</v>
      </c>
      <c r="O134" s="4" t="s">
        <v>1191</v>
      </c>
      <c r="P134" s="4" t="str">
        <f>IF(ISNUMBER(Table13[[#This Row],[Claim_Date2]]),Table13[[#This Row],[Claim_Date2]],Table13[[#This Row],[Function Col32]])</f>
        <v>21/May/2023</v>
      </c>
      <c r="Q134" s="4">
        <v>45067</v>
      </c>
      <c r="R134" s="1" t="s">
        <v>92</v>
      </c>
      <c r="S134" s="1" t="s">
        <v>23</v>
      </c>
      <c r="T134" s="1" t="s">
        <v>54</v>
      </c>
      <c r="U134" s="1"/>
      <c r="V134" s="1">
        <v>-182</v>
      </c>
      <c r="W134" s="1">
        <f>IF(Table1[[#This Row],[Claim_Amount]]&lt;0,0,Table1[[#This Row],[Claim_Amount]])</f>
        <v>0</v>
      </c>
      <c r="X134" s="1" t="str">
        <f>IF(Table1[[#This Row],[Column1]]=0,"",Table1[[#This Row],[Column1]])</f>
        <v/>
      </c>
      <c r="Y134" s="1" t="s">
        <v>1098</v>
      </c>
      <c r="Z134" s="1">
        <v>2481</v>
      </c>
      <c r="AA134" s="1">
        <v>4040.53</v>
      </c>
      <c r="AB134" s="1" t="s">
        <v>25</v>
      </c>
      <c r="AC134" s="1" t="s">
        <v>26</v>
      </c>
      <c r="AD134" s="1">
        <v>33</v>
      </c>
      <c r="AE134" s="3" t="s">
        <v>65</v>
      </c>
    </row>
    <row r="135" spans="1:31" ht="15.75" customHeight="1" x14ac:dyDescent="0.35">
      <c r="A135" s="1" t="s">
        <v>212</v>
      </c>
      <c r="B135" t="s">
        <v>1083</v>
      </c>
      <c r="C135" t="s">
        <v>1084</v>
      </c>
      <c r="D135" s="1" t="s">
        <v>307</v>
      </c>
      <c r="E135" s="5">
        <v>45130</v>
      </c>
      <c r="F135" s="4" t="str">
        <f>IF(ISNUMBER(Table13[[#This Row],[Claim_Date2]]),"",Table13[[#This Row],[Claim_Date2]])</f>
        <v/>
      </c>
      <c r="G135" s="4" t="s">
        <v>1098</v>
      </c>
      <c r="H135" s="4" t="str">
        <f>LEFT(Table13[[#This Row],[Values Col 1]],3)</f>
        <v/>
      </c>
      <c r="I135" s="4" t="s">
        <v>1098</v>
      </c>
      <c r="J135" s="4" t="str">
        <f>MID(Table13[[#This Row],[Function Col]],5,2)</f>
        <v/>
      </c>
      <c r="K135" s="4" t="s">
        <v>1098</v>
      </c>
      <c r="L135" s="4" t="str">
        <f>RIGHT(Table13[[#This Row],[Function Col]],4)</f>
        <v/>
      </c>
      <c r="M135" s="4" t="s">
        <v>1098</v>
      </c>
      <c r="N135" s="4" t="str">
        <f>IF(Table13[[#This Row],[Function Col5]]="","",_xlfn.CONCAT(Table13[[#This Row],[Day Col]],"/",Table13[[#This Row],[Month Col]],"/",Table13[[#This Row],[Year Col]]))</f>
        <v/>
      </c>
      <c r="O135" s="4" t="s">
        <v>1098</v>
      </c>
      <c r="P135" s="4">
        <f>IF(ISNUMBER(Table13[[#This Row],[Claim_Date2]]),Table13[[#This Row],[Claim_Date2]],Table13[[#This Row],[Function Col32]])</f>
        <v>45130</v>
      </c>
      <c r="Q135" s="4">
        <v>45130</v>
      </c>
      <c r="R135" s="1" t="s">
        <v>77</v>
      </c>
      <c r="S135" s="1" t="s">
        <v>53</v>
      </c>
      <c r="T135" s="1" t="s">
        <v>54</v>
      </c>
      <c r="U135" s="1"/>
      <c r="W135">
        <f>IF(Table1[[#This Row],[Claim_Amount]]&lt;0,0,Table1[[#This Row],[Claim_Amount]])</f>
        <v>0</v>
      </c>
      <c r="X135" t="str">
        <f>IF(Table1[[#This Row],[Column1]]=0,"",Table1[[#This Row],[Column1]])</f>
        <v/>
      </c>
      <c r="Y135" t="s">
        <v>1098</v>
      </c>
      <c r="Z135">
        <v>2481</v>
      </c>
      <c r="AA135" s="1">
        <v>1534.87</v>
      </c>
      <c r="AB135" s="1" t="s">
        <v>25</v>
      </c>
      <c r="AC135" s="1" t="s">
        <v>26</v>
      </c>
      <c r="AD135">
        <v>9</v>
      </c>
      <c r="AE135" s="3" t="s">
        <v>37</v>
      </c>
    </row>
    <row r="136" spans="1:31" ht="15.75" customHeight="1" x14ac:dyDescent="0.35">
      <c r="A136" s="1" t="s">
        <v>20</v>
      </c>
      <c r="B136" s="1" t="s">
        <v>266</v>
      </c>
      <c r="C136" s="1" t="s">
        <v>308</v>
      </c>
      <c r="D136" s="1" t="s">
        <v>309</v>
      </c>
      <c r="E136" s="5">
        <v>45014</v>
      </c>
      <c r="F136" s="4" t="str">
        <f>IF(ISNUMBER(Table13[[#This Row],[Claim_Date2]]),"",Table13[[#This Row],[Claim_Date2]])</f>
        <v/>
      </c>
      <c r="G136" s="4" t="s">
        <v>1098</v>
      </c>
      <c r="H136" s="4" t="str">
        <f>LEFT(Table13[[#This Row],[Values Col 1]],3)</f>
        <v/>
      </c>
      <c r="I136" s="4" t="s">
        <v>1098</v>
      </c>
      <c r="J136" s="4" t="str">
        <f>MID(Table13[[#This Row],[Function Col]],5,2)</f>
        <v/>
      </c>
      <c r="K136" s="4" t="s">
        <v>1098</v>
      </c>
      <c r="L136" s="4" t="str">
        <f>RIGHT(Table13[[#This Row],[Function Col]],4)</f>
        <v/>
      </c>
      <c r="M136" s="4" t="s">
        <v>1098</v>
      </c>
      <c r="N136" s="4" t="str">
        <f>IF(Table13[[#This Row],[Function Col5]]="","",_xlfn.CONCAT(Table13[[#This Row],[Day Col]],"/",Table13[[#This Row],[Month Col]],"/",Table13[[#This Row],[Year Col]]))</f>
        <v/>
      </c>
      <c r="O136" s="4" t="s">
        <v>1098</v>
      </c>
      <c r="P136" s="4">
        <f>IF(ISNUMBER(Table13[[#This Row],[Claim_Date2]]),Table13[[#This Row],[Claim_Date2]],Table13[[#This Row],[Function Col32]])</f>
        <v>45014</v>
      </c>
      <c r="Q136" s="4">
        <v>45014</v>
      </c>
      <c r="R136" s="1" t="s">
        <v>85</v>
      </c>
      <c r="S136" s="1" t="s">
        <v>53</v>
      </c>
      <c r="T136" t="s">
        <v>1086</v>
      </c>
      <c r="V136" s="1">
        <v>3932.66</v>
      </c>
      <c r="W136" s="1">
        <f>IF(Table1[[#This Row],[Claim_Amount]]&lt;0,0,Table1[[#This Row],[Claim_Amount]])</f>
        <v>3932.66</v>
      </c>
      <c r="X136" s="1">
        <f>IF(Table1[[#This Row],[Column1]]=0,"",Table1[[#This Row],[Column1]])</f>
        <v>3932.66</v>
      </c>
      <c r="Y136" s="1">
        <v>3932.66</v>
      </c>
      <c r="Z136" s="1">
        <v>3932.66</v>
      </c>
      <c r="AA136" s="1">
        <v>4479.22</v>
      </c>
      <c r="AB136" s="1" t="s">
        <v>17</v>
      </c>
      <c r="AC136" s="1" t="s">
        <v>18</v>
      </c>
      <c r="AD136">
        <v>9</v>
      </c>
      <c r="AE136" s="3" t="s">
        <v>1097</v>
      </c>
    </row>
    <row r="137" spans="1:31" ht="15.75" customHeight="1" x14ac:dyDescent="0.35">
      <c r="A137" s="1" t="s">
        <v>285</v>
      </c>
      <c r="B137" s="1" t="s">
        <v>310</v>
      </c>
      <c r="C137" t="s">
        <v>1084</v>
      </c>
      <c r="D137" s="1" t="s">
        <v>311</v>
      </c>
      <c r="E137" s="5">
        <v>45205</v>
      </c>
      <c r="F137" s="4" t="str">
        <f>IF(ISNUMBER(Table13[[#This Row],[Claim_Date2]]),"",Table13[[#This Row],[Claim_Date2]])</f>
        <v/>
      </c>
      <c r="G137" s="4" t="s">
        <v>1098</v>
      </c>
      <c r="H137" s="4" t="str">
        <f>LEFT(Table13[[#This Row],[Values Col 1]],3)</f>
        <v/>
      </c>
      <c r="I137" s="4" t="s">
        <v>1098</v>
      </c>
      <c r="J137" s="4" t="str">
        <f>MID(Table13[[#This Row],[Function Col]],5,2)</f>
        <v/>
      </c>
      <c r="K137" s="4" t="s">
        <v>1098</v>
      </c>
      <c r="L137" s="4" t="str">
        <f>RIGHT(Table13[[#This Row],[Function Col]],4)</f>
        <v/>
      </c>
      <c r="M137" s="4" t="s">
        <v>1098</v>
      </c>
      <c r="N137" s="4" t="str">
        <f>IF(Table13[[#This Row],[Function Col5]]="","",_xlfn.CONCAT(Table13[[#This Row],[Day Col]],"/",Table13[[#This Row],[Month Col]],"/",Table13[[#This Row],[Year Col]]))</f>
        <v/>
      </c>
      <c r="O137" s="4" t="s">
        <v>1098</v>
      </c>
      <c r="P137" s="4">
        <f>IF(ISNUMBER(Table13[[#This Row],[Claim_Date2]]),Table13[[#This Row],[Claim_Date2]],Table13[[#This Row],[Function Col32]])</f>
        <v>45205</v>
      </c>
      <c r="Q137" s="4">
        <v>45205</v>
      </c>
      <c r="R137" s="1" t="s">
        <v>85</v>
      </c>
      <c r="S137" s="1" t="s">
        <v>31</v>
      </c>
      <c r="T137" s="1" t="s">
        <v>61</v>
      </c>
      <c r="U137" s="1"/>
      <c r="W137">
        <f>IF(Table1[[#This Row],[Claim_Amount]]&lt;0,0,Table1[[#This Row],[Claim_Amount]])</f>
        <v>0</v>
      </c>
      <c r="X137" t="str">
        <f>IF(Table1[[#This Row],[Column1]]=0,"",Table1[[#This Row],[Column1]])</f>
        <v/>
      </c>
      <c r="Y137" t="s">
        <v>1098</v>
      </c>
      <c r="Z137">
        <v>2481</v>
      </c>
      <c r="AA137">
        <v>832</v>
      </c>
      <c r="AB137" s="1" t="s">
        <v>25</v>
      </c>
      <c r="AC137" s="1" t="s">
        <v>26</v>
      </c>
      <c r="AD137" s="1">
        <v>19</v>
      </c>
      <c r="AE137" s="3" t="s">
        <v>1097</v>
      </c>
    </row>
    <row r="138" spans="1:31" ht="15.75" customHeight="1" x14ac:dyDescent="0.35">
      <c r="A138" s="1" t="s">
        <v>170</v>
      </c>
      <c r="B138" t="s">
        <v>1083</v>
      </c>
      <c r="C138" t="s">
        <v>1084</v>
      </c>
      <c r="D138" s="1" t="s">
        <v>312</v>
      </c>
      <c r="E138" s="5" t="s">
        <v>312</v>
      </c>
      <c r="F138" s="4" t="str">
        <f>IF(ISNUMBER(Table13[[#This Row],[Claim_Date2]]),"",Table13[[#This Row],[Claim_Date2]])</f>
        <v>Dec 19 2023</v>
      </c>
      <c r="G138" s="4" t="s">
        <v>312</v>
      </c>
      <c r="H138" s="4" t="str">
        <f>LEFT(Table13[[#This Row],[Values Col 1]],3)</f>
        <v>Dec</v>
      </c>
      <c r="I138" s="4" t="s">
        <v>1111</v>
      </c>
      <c r="J138" s="4" t="str">
        <f>MID(Table13[[#This Row],[Function Col]],5,2)</f>
        <v>19</v>
      </c>
      <c r="K138" s="4" t="s">
        <v>1137</v>
      </c>
      <c r="L138" s="4" t="str">
        <f>RIGHT(Table13[[#This Row],[Function Col]],4)</f>
        <v>2023</v>
      </c>
      <c r="M138" s="4" t="s">
        <v>1146</v>
      </c>
      <c r="N138" s="4" t="str">
        <f>IF(Table13[[#This Row],[Function Col5]]="","",_xlfn.CONCAT(Table13[[#This Row],[Day Col]],"/",Table13[[#This Row],[Month Col]],"/",Table13[[#This Row],[Year Col]]))</f>
        <v>19/Dec/2023</v>
      </c>
      <c r="O138" s="4" t="s">
        <v>1192</v>
      </c>
      <c r="P138" s="4" t="str">
        <f>IF(ISNUMBER(Table13[[#This Row],[Claim_Date2]]),Table13[[#This Row],[Claim_Date2]],Table13[[#This Row],[Function Col32]])</f>
        <v>19/Dec/2023</v>
      </c>
      <c r="Q138" s="4">
        <v>45279</v>
      </c>
      <c r="R138" s="1" t="s">
        <v>16</v>
      </c>
      <c r="S138" s="1" t="s">
        <v>47</v>
      </c>
      <c r="T138" t="s">
        <v>1086</v>
      </c>
      <c r="V138" s="1">
        <v>4872.8999999999996</v>
      </c>
      <c r="W138" s="1">
        <f>IF(Table1[[#This Row],[Claim_Amount]]&lt;0,0,Table1[[#This Row],[Claim_Amount]])</f>
        <v>4872.8999999999996</v>
      </c>
      <c r="X138" s="1">
        <f>IF(Table1[[#This Row],[Column1]]=0,"",Table1[[#This Row],[Column1]])</f>
        <v>4872.8999999999996</v>
      </c>
      <c r="Y138" s="1">
        <v>4872.8999999999996</v>
      </c>
      <c r="Z138" s="1">
        <v>4872.8999999999996</v>
      </c>
      <c r="AA138" s="1">
        <v>2213.59</v>
      </c>
      <c r="AB138" s="1" t="s">
        <v>42</v>
      </c>
      <c r="AC138" s="1" t="s">
        <v>57</v>
      </c>
      <c r="AD138">
        <v>9</v>
      </c>
      <c r="AE138" s="3" t="s">
        <v>1097</v>
      </c>
    </row>
    <row r="139" spans="1:31" ht="15.75" customHeight="1" x14ac:dyDescent="0.35">
      <c r="A139" s="1" t="s">
        <v>78</v>
      </c>
      <c r="B139" t="s">
        <v>1083</v>
      </c>
      <c r="C139" t="s">
        <v>1084</v>
      </c>
      <c r="D139" s="1" t="s">
        <v>313</v>
      </c>
      <c r="E139" s="5">
        <v>45178</v>
      </c>
      <c r="F139" s="4" t="str">
        <f>IF(ISNUMBER(Table13[[#This Row],[Claim_Date2]]),"",Table13[[#This Row],[Claim_Date2]])</f>
        <v/>
      </c>
      <c r="G139" s="4" t="s">
        <v>1098</v>
      </c>
      <c r="H139" s="4" t="str">
        <f>LEFT(Table13[[#This Row],[Values Col 1]],3)</f>
        <v/>
      </c>
      <c r="I139" s="4" t="s">
        <v>1098</v>
      </c>
      <c r="J139" s="4" t="str">
        <f>MID(Table13[[#This Row],[Function Col]],5,2)</f>
        <v/>
      </c>
      <c r="K139" s="4" t="s">
        <v>1098</v>
      </c>
      <c r="L139" s="4" t="str">
        <f>RIGHT(Table13[[#This Row],[Function Col]],4)</f>
        <v/>
      </c>
      <c r="M139" s="4" t="s">
        <v>1098</v>
      </c>
      <c r="N139" s="4" t="str">
        <f>IF(Table13[[#This Row],[Function Col5]]="","",_xlfn.CONCAT(Table13[[#This Row],[Day Col]],"/",Table13[[#This Row],[Month Col]],"/",Table13[[#This Row],[Year Col]]))</f>
        <v/>
      </c>
      <c r="O139" s="4" t="s">
        <v>1098</v>
      </c>
      <c r="P139" s="4">
        <f>IF(ISNUMBER(Table13[[#This Row],[Claim_Date2]]),Table13[[#This Row],[Claim_Date2]],Table13[[#This Row],[Function Col32]])</f>
        <v>45178</v>
      </c>
      <c r="Q139" s="4">
        <v>45178</v>
      </c>
      <c r="R139" s="1" t="s">
        <v>30</v>
      </c>
      <c r="S139" s="1" t="s">
        <v>53</v>
      </c>
      <c r="T139" s="1" t="s">
        <v>48</v>
      </c>
      <c r="U139" s="1"/>
      <c r="V139" s="1">
        <v>-159</v>
      </c>
      <c r="W139" s="1">
        <f>IF(Table1[[#This Row],[Claim_Amount]]&lt;0,0,Table1[[#This Row],[Claim_Amount]])</f>
        <v>0</v>
      </c>
      <c r="X139" s="1" t="str">
        <f>IF(Table1[[#This Row],[Column1]]=0,"",Table1[[#This Row],[Column1]])</f>
        <v/>
      </c>
      <c r="Y139" s="1" t="s">
        <v>1098</v>
      </c>
      <c r="Z139" s="1">
        <v>2481</v>
      </c>
      <c r="AA139">
        <v>832</v>
      </c>
      <c r="AB139" s="1" t="s">
        <v>42</v>
      </c>
      <c r="AC139" s="1" t="s">
        <v>18</v>
      </c>
      <c r="AD139" s="1">
        <v>45</v>
      </c>
      <c r="AE139" s="3" t="s">
        <v>19</v>
      </c>
    </row>
    <row r="140" spans="1:31" ht="15.75" customHeight="1" x14ac:dyDescent="0.35">
      <c r="A140" s="1" t="s">
        <v>38</v>
      </c>
      <c r="B140" t="s">
        <v>1083</v>
      </c>
      <c r="C140" s="1" t="s">
        <v>314</v>
      </c>
      <c r="D140" s="1" t="s">
        <v>315</v>
      </c>
      <c r="E140" s="5">
        <v>45126</v>
      </c>
      <c r="F140" s="4" t="str">
        <f>IF(ISNUMBER(Table13[[#This Row],[Claim_Date2]]),"",Table13[[#This Row],[Claim_Date2]])</f>
        <v/>
      </c>
      <c r="G140" s="4" t="s">
        <v>1098</v>
      </c>
      <c r="H140" s="4" t="str">
        <f>LEFT(Table13[[#This Row],[Values Col 1]],3)</f>
        <v/>
      </c>
      <c r="I140" s="4" t="s">
        <v>1098</v>
      </c>
      <c r="J140" s="4" t="str">
        <f>MID(Table13[[#This Row],[Function Col]],5,2)</f>
        <v/>
      </c>
      <c r="K140" s="4" t="s">
        <v>1098</v>
      </c>
      <c r="L140" s="4" t="str">
        <f>RIGHT(Table13[[#This Row],[Function Col]],4)</f>
        <v/>
      </c>
      <c r="M140" s="4" t="s">
        <v>1098</v>
      </c>
      <c r="N140" s="4" t="str">
        <f>IF(Table13[[#This Row],[Function Col5]]="","",_xlfn.CONCAT(Table13[[#This Row],[Day Col]],"/",Table13[[#This Row],[Month Col]],"/",Table13[[#This Row],[Year Col]]))</f>
        <v/>
      </c>
      <c r="O140" s="4" t="s">
        <v>1098</v>
      </c>
      <c r="P140" s="4">
        <f>IF(ISNUMBER(Table13[[#This Row],[Claim_Date2]]),Table13[[#This Row],[Claim_Date2]],Table13[[#This Row],[Function Col32]])</f>
        <v>45126</v>
      </c>
      <c r="Q140" s="4">
        <v>45126</v>
      </c>
      <c r="R140" s="1" t="s">
        <v>16</v>
      </c>
      <c r="S140" s="1" t="s">
        <v>23</v>
      </c>
      <c r="T140" s="1" t="s">
        <v>41</v>
      </c>
      <c r="U140" s="1"/>
      <c r="V140" s="1">
        <v>2251.44</v>
      </c>
      <c r="W140" s="1">
        <f>IF(Table1[[#This Row],[Claim_Amount]]&lt;0,0,Table1[[#This Row],[Claim_Amount]])</f>
        <v>2251.44</v>
      </c>
      <c r="X140" s="1">
        <f>IF(Table1[[#This Row],[Column1]]=0,"",Table1[[#This Row],[Column1]])</f>
        <v>2251.44</v>
      </c>
      <c r="Y140" s="1">
        <v>2251.44</v>
      </c>
      <c r="Z140" s="1">
        <v>2251.44</v>
      </c>
      <c r="AA140" s="1">
        <v>705.91</v>
      </c>
      <c r="AB140" s="1" t="s">
        <v>25</v>
      </c>
      <c r="AC140" s="1" t="s">
        <v>1093</v>
      </c>
      <c r="AD140">
        <v>9</v>
      </c>
      <c r="AE140" s="3" t="s">
        <v>1097</v>
      </c>
    </row>
    <row r="141" spans="1:31" ht="15.75" customHeight="1" x14ac:dyDescent="0.35">
      <c r="A141" s="1" t="s">
        <v>70</v>
      </c>
      <c r="B141" s="1" t="s">
        <v>316</v>
      </c>
      <c r="C141" t="s">
        <v>1084</v>
      </c>
      <c r="D141" s="1" t="s">
        <v>234</v>
      </c>
      <c r="E141" s="5" t="s">
        <v>234</v>
      </c>
      <c r="F141" s="4" t="str">
        <f>IF(ISNUMBER(Table13[[#This Row],[Claim_Date2]]),"",Table13[[#This Row],[Claim_Date2]])</f>
        <v>Nov 02 2023</v>
      </c>
      <c r="G141" s="4" t="s">
        <v>234</v>
      </c>
      <c r="H141" s="4" t="str">
        <f>LEFT(Table13[[#This Row],[Values Col 1]],3)</f>
        <v>Nov</v>
      </c>
      <c r="I141" s="4" t="s">
        <v>1105</v>
      </c>
      <c r="J141" s="4" t="str">
        <f>MID(Table13[[#This Row],[Function Col]],5,2)</f>
        <v>02</v>
      </c>
      <c r="K141" s="4" t="s">
        <v>1130</v>
      </c>
      <c r="L141" s="4" t="str">
        <f>RIGHT(Table13[[#This Row],[Function Col]],4)</f>
        <v>2023</v>
      </c>
      <c r="M141" s="4" t="s">
        <v>1146</v>
      </c>
      <c r="N141" s="4" t="str">
        <f>IF(Table13[[#This Row],[Function Col5]]="","",_xlfn.CONCAT(Table13[[#This Row],[Day Col]],"/",Table13[[#This Row],[Month Col]],"/",Table13[[#This Row],[Year Col]]))</f>
        <v>02/Nov/2023</v>
      </c>
      <c r="O141" s="4" t="s">
        <v>1175</v>
      </c>
      <c r="P141" s="4" t="str">
        <f>IF(ISNUMBER(Table13[[#This Row],[Claim_Date2]]),Table13[[#This Row],[Claim_Date2]],Table13[[#This Row],[Function Col32]])</f>
        <v>02/Nov/2023</v>
      </c>
      <c r="Q141" s="4">
        <v>45232</v>
      </c>
      <c r="R141" s="1" t="s">
        <v>85</v>
      </c>
      <c r="S141" s="1" t="s">
        <v>31</v>
      </c>
      <c r="T141" s="1" t="s">
        <v>48</v>
      </c>
      <c r="U141" s="1"/>
      <c r="V141" s="1">
        <v>-115</v>
      </c>
      <c r="W141" s="1">
        <f>IF(Table1[[#This Row],[Claim_Amount]]&lt;0,0,Table1[[#This Row],[Claim_Amount]])</f>
        <v>0</v>
      </c>
      <c r="X141" s="1" t="str">
        <f>IF(Table1[[#This Row],[Column1]]=0,"",Table1[[#This Row],[Column1]])</f>
        <v/>
      </c>
      <c r="Y141" s="1" t="s">
        <v>1098</v>
      </c>
      <c r="Z141" s="1">
        <v>2481</v>
      </c>
      <c r="AA141">
        <v>832</v>
      </c>
      <c r="AB141" s="1" t="s">
        <v>1091</v>
      </c>
      <c r="AC141" s="1" t="s">
        <v>18</v>
      </c>
      <c r="AD141">
        <v>9</v>
      </c>
      <c r="AE141" s="3" t="s">
        <v>65</v>
      </c>
    </row>
    <row r="142" spans="1:31" ht="15.75" customHeight="1" x14ac:dyDescent="0.35">
      <c r="A142" s="1" t="s">
        <v>275</v>
      </c>
      <c r="B142" s="1" t="s">
        <v>317</v>
      </c>
      <c r="C142" t="s">
        <v>1084</v>
      </c>
      <c r="D142" s="1" t="s">
        <v>318</v>
      </c>
      <c r="E142" s="5">
        <v>45081</v>
      </c>
      <c r="F142" s="4" t="str">
        <f>IF(ISNUMBER(Table13[[#This Row],[Claim_Date2]]),"",Table13[[#This Row],[Claim_Date2]])</f>
        <v/>
      </c>
      <c r="G142" s="4" t="s">
        <v>1098</v>
      </c>
      <c r="H142" s="4" t="str">
        <f>LEFT(Table13[[#This Row],[Values Col 1]],3)</f>
        <v/>
      </c>
      <c r="I142" s="4" t="s">
        <v>1098</v>
      </c>
      <c r="J142" s="4" t="str">
        <f>MID(Table13[[#This Row],[Function Col]],5,2)</f>
        <v/>
      </c>
      <c r="K142" s="4" t="s">
        <v>1098</v>
      </c>
      <c r="L142" s="4" t="str">
        <f>RIGHT(Table13[[#This Row],[Function Col]],4)</f>
        <v/>
      </c>
      <c r="M142" s="4" t="s">
        <v>1098</v>
      </c>
      <c r="N142" s="4" t="str">
        <f>IF(Table13[[#This Row],[Function Col5]]="","",_xlfn.CONCAT(Table13[[#This Row],[Day Col]],"/",Table13[[#This Row],[Month Col]],"/",Table13[[#This Row],[Year Col]]))</f>
        <v/>
      </c>
      <c r="O142" s="4" t="s">
        <v>1098</v>
      </c>
      <c r="P142" s="4">
        <f>IF(ISNUMBER(Table13[[#This Row],[Claim_Date2]]),Table13[[#This Row],[Claim_Date2]],Table13[[#This Row],[Function Col32]])</f>
        <v>45081</v>
      </c>
      <c r="Q142" s="4">
        <v>45081</v>
      </c>
      <c r="R142" s="1" t="s">
        <v>16</v>
      </c>
      <c r="S142" s="1" t="s">
        <v>93</v>
      </c>
      <c r="T142" s="1" t="s">
        <v>48</v>
      </c>
      <c r="U142" s="1"/>
      <c r="V142" s="1">
        <v>-86</v>
      </c>
      <c r="W142" s="1">
        <f>IF(Table1[[#This Row],[Claim_Amount]]&lt;0,0,Table1[[#This Row],[Claim_Amount]])</f>
        <v>0</v>
      </c>
      <c r="X142" s="1" t="str">
        <f>IF(Table1[[#This Row],[Column1]]=0,"",Table1[[#This Row],[Column1]])</f>
        <v/>
      </c>
      <c r="Y142" s="1" t="s">
        <v>1098</v>
      </c>
      <c r="Z142" s="1">
        <v>2481</v>
      </c>
      <c r="AA142">
        <v>832</v>
      </c>
      <c r="AB142" s="1" t="s">
        <v>42</v>
      </c>
      <c r="AC142" s="1" t="s">
        <v>18</v>
      </c>
      <c r="AD142">
        <v>9</v>
      </c>
      <c r="AE142" s="3" t="s">
        <v>37</v>
      </c>
    </row>
    <row r="143" spans="1:31" ht="15.75" customHeight="1" x14ac:dyDescent="0.35">
      <c r="A143" s="1" t="s">
        <v>154</v>
      </c>
      <c r="B143" s="1" t="s">
        <v>319</v>
      </c>
      <c r="C143" s="1" t="s">
        <v>152</v>
      </c>
      <c r="D143" s="1" t="s">
        <v>320</v>
      </c>
      <c r="E143" s="5">
        <v>45082</v>
      </c>
      <c r="F143" s="4" t="str">
        <f>IF(ISNUMBER(Table13[[#This Row],[Claim_Date2]]),"",Table13[[#This Row],[Claim_Date2]])</f>
        <v/>
      </c>
      <c r="G143" s="4" t="s">
        <v>1098</v>
      </c>
      <c r="H143" s="4" t="str">
        <f>LEFT(Table13[[#This Row],[Values Col 1]],3)</f>
        <v/>
      </c>
      <c r="I143" s="4" t="s">
        <v>1098</v>
      </c>
      <c r="J143" s="4" t="str">
        <f>MID(Table13[[#This Row],[Function Col]],5,2)</f>
        <v/>
      </c>
      <c r="K143" s="4" t="s">
        <v>1098</v>
      </c>
      <c r="L143" s="4" t="str">
        <f>RIGHT(Table13[[#This Row],[Function Col]],4)</f>
        <v/>
      </c>
      <c r="M143" s="4" t="s">
        <v>1098</v>
      </c>
      <c r="N143" s="4" t="str">
        <f>IF(Table13[[#This Row],[Function Col5]]="","",_xlfn.CONCAT(Table13[[#This Row],[Day Col]],"/",Table13[[#This Row],[Month Col]],"/",Table13[[#This Row],[Year Col]]))</f>
        <v/>
      </c>
      <c r="O143" s="4" t="s">
        <v>1098</v>
      </c>
      <c r="P143" s="4">
        <f>IF(ISNUMBER(Table13[[#This Row],[Claim_Date2]]),Table13[[#This Row],[Claim_Date2]],Table13[[#This Row],[Function Col32]])</f>
        <v>45082</v>
      </c>
      <c r="Q143" s="4">
        <v>45082</v>
      </c>
      <c r="R143" s="1" t="s">
        <v>92</v>
      </c>
      <c r="S143" s="1" t="s">
        <v>47</v>
      </c>
      <c r="T143" s="1" t="s">
        <v>48</v>
      </c>
      <c r="U143" s="1"/>
      <c r="V143" s="1">
        <v>-94</v>
      </c>
      <c r="W143" s="1">
        <f>IF(Table1[[#This Row],[Claim_Amount]]&lt;0,0,Table1[[#This Row],[Claim_Amount]])</f>
        <v>0</v>
      </c>
      <c r="X143" s="1" t="str">
        <f>IF(Table1[[#This Row],[Column1]]=0,"",Table1[[#This Row],[Column1]])</f>
        <v/>
      </c>
      <c r="Y143" s="1" t="s">
        <v>1098</v>
      </c>
      <c r="Z143" s="1">
        <v>2481</v>
      </c>
      <c r="AA143">
        <v>832</v>
      </c>
      <c r="AB143" s="1" t="s">
        <v>1091</v>
      </c>
      <c r="AC143" s="1" t="s">
        <v>18</v>
      </c>
      <c r="AD143">
        <v>9</v>
      </c>
      <c r="AE143" s="3" t="s">
        <v>1097</v>
      </c>
    </row>
    <row r="144" spans="1:31" ht="15.75" customHeight="1" x14ac:dyDescent="0.35">
      <c r="A144" s="1" t="s">
        <v>321</v>
      </c>
      <c r="B144" t="s">
        <v>1083</v>
      </c>
      <c r="C144" s="1" t="s">
        <v>258</v>
      </c>
      <c r="D144" s="1" t="s">
        <v>322</v>
      </c>
      <c r="E144" s="5" t="s">
        <v>322</v>
      </c>
      <c r="F144" s="4" t="str">
        <f>IF(ISNUMBER(Table13[[#This Row],[Claim_Date2]]),"",Table13[[#This Row],[Claim_Date2]])</f>
        <v>May 30 2023</v>
      </c>
      <c r="G144" s="4" t="s">
        <v>322</v>
      </c>
      <c r="H144" s="4" t="str">
        <f>LEFT(Table13[[#This Row],[Values Col 1]],3)</f>
        <v>May</v>
      </c>
      <c r="I144" s="4" t="s">
        <v>1110</v>
      </c>
      <c r="J144" s="4" t="str">
        <f>MID(Table13[[#This Row],[Function Col]],5,2)</f>
        <v>30</v>
      </c>
      <c r="K144" s="4" t="s">
        <v>1126</v>
      </c>
      <c r="L144" s="4" t="str">
        <f>RIGHT(Table13[[#This Row],[Function Col]],4)</f>
        <v>2023</v>
      </c>
      <c r="M144" s="4" t="s">
        <v>1146</v>
      </c>
      <c r="N144" s="4" t="str">
        <f>IF(Table13[[#This Row],[Function Col5]]="","",_xlfn.CONCAT(Table13[[#This Row],[Day Col]],"/",Table13[[#This Row],[Month Col]],"/",Table13[[#This Row],[Year Col]]))</f>
        <v>30/May/2023</v>
      </c>
      <c r="O144" s="4" t="s">
        <v>1193</v>
      </c>
      <c r="P144" s="4" t="str">
        <f>IF(ISNUMBER(Table13[[#This Row],[Claim_Date2]]),Table13[[#This Row],[Claim_Date2]],Table13[[#This Row],[Function Col32]])</f>
        <v>30/May/2023</v>
      </c>
      <c r="Q144" s="4">
        <v>45076</v>
      </c>
      <c r="R144" s="1" t="s">
        <v>16</v>
      </c>
      <c r="S144" t="s">
        <v>1085</v>
      </c>
      <c r="T144" s="1" t="s">
        <v>48</v>
      </c>
      <c r="U144" s="1"/>
      <c r="W144">
        <f>IF(Table1[[#This Row],[Claim_Amount]]&lt;0,0,Table1[[#This Row],[Claim_Amount]])</f>
        <v>0</v>
      </c>
      <c r="X144" t="str">
        <f>IF(Table1[[#This Row],[Column1]]=0,"",Table1[[#This Row],[Column1]])</f>
        <v/>
      </c>
      <c r="Y144" t="s">
        <v>1098</v>
      </c>
      <c r="Z144">
        <v>2481</v>
      </c>
      <c r="AA144">
        <v>832</v>
      </c>
      <c r="AB144" s="1" t="s">
        <v>42</v>
      </c>
      <c r="AC144" s="1" t="s">
        <v>26</v>
      </c>
      <c r="AD144">
        <v>9</v>
      </c>
      <c r="AE144" s="3" t="s">
        <v>65</v>
      </c>
    </row>
    <row r="145" spans="1:31" ht="15.75" customHeight="1" x14ac:dyDescent="0.35">
      <c r="A145" s="1" t="s">
        <v>66</v>
      </c>
      <c r="B145" s="1" t="s">
        <v>323</v>
      </c>
      <c r="C145" s="1" t="s">
        <v>135</v>
      </c>
      <c r="D145" s="1" t="s">
        <v>324</v>
      </c>
      <c r="E145" s="5">
        <v>45289</v>
      </c>
      <c r="F145" s="4" t="str">
        <f>IF(ISNUMBER(Table13[[#This Row],[Claim_Date2]]),"",Table13[[#This Row],[Claim_Date2]])</f>
        <v/>
      </c>
      <c r="G145" s="4" t="s">
        <v>1098</v>
      </c>
      <c r="H145" s="4" t="str">
        <f>LEFT(Table13[[#This Row],[Values Col 1]],3)</f>
        <v/>
      </c>
      <c r="I145" s="4" t="s">
        <v>1098</v>
      </c>
      <c r="J145" s="4" t="str">
        <f>MID(Table13[[#This Row],[Function Col]],5,2)</f>
        <v/>
      </c>
      <c r="K145" s="4" t="s">
        <v>1098</v>
      </c>
      <c r="L145" s="4" t="str">
        <f>RIGHT(Table13[[#This Row],[Function Col]],4)</f>
        <v/>
      </c>
      <c r="M145" s="4" t="s">
        <v>1098</v>
      </c>
      <c r="N145" s="4" t="str">
        <f>IF(Table13[[#This Row],[Function Col5]]="","",_xlfn.CONCAT(Table13[[#This Row],[Day Col]],"/",Table13[[#This Row],[Month Col]],"/",Table13[[#This Row],[Year Col]]))</f>
        <v/>
      </c>
      <c r="O145" s="4" t="s">
        <v>1098</v>
      </c>
      <c r="P145" s="4">
        <f>IF(ISNUMBER(Table13[[#This Row],[Claim_Date2]]),Table13[[#This Row],[Claim_Date2]],Table13[[#This Row],[Function Col32]])</f>
        <v>45289</v>
      </c>
      <c r="Q145" s="4">
        <v>45289</v>
      </c>
      <c r="R145" s="1" t="s">
        <v>85</v>
      </c>
      <c r="S145" s="1" t="s">
        <v>31</v>
      </c>
      <c r="T145" t="s">
        <v>1086</v>
      </c>
      <c r="V145" s="1">
        <v>-114</v>
      </c>
      <c r="W145" s="1">
        <f>IF(Table1[[#This Row],[Claim_Amount]]&lt;0,0,Table1[[#This Row],[Claim_Amount]])</f>
        <v>0</v>
      </c>
      <c r="X145" s="1" t="str">
        <f>IF(Table1[[#This Row],[Column1]]=0,"",Table1[[#This Row],[Column1]])</f>
        <v/>
      </c>
      <c r="Y145" s="1" t="s">
        <v>1098</v>
      </c>
      <c r="Z145" s="1">
        <v>2481</v>
      </c>
      <c r="AA145">
        <v>832</v>
      </c>
      <c r="AB145" s="1" t="s">
        <v>17</v>
      </c>
      <c r="AC145" s="1" t="s">
        <v>32</v>
      </c>
      <c r="AD145" s="1">
        <v>42</v>
      </c>
      <c r="AE145" s="3" t="s">
        <v>37</v>
      </c>
    </row>
    <row r="146" spans="1:31" ht="15.75" customHeight="1" x14ac:dyDescent="0.35">
      <c r="A146" s="1" t="s">
        <v>179</v>
      </c>
      <c r="B146" s="1" t="s">
        <v>325</v>
      </c>
      <c r="C146" t="s">
        <v>1084</v>
      </c>
      <c r="D146" s="1" t="s">
        <v>326</v>
      </c>
      <c r="E146" s="5" t="s">
        <v>326</v>
      </c>
      <c r="F146" s="4" t="str">
        <f>IF(ISNUMBER(Table13[[#This Row],[Claim_Date2]]),"",Table13[[#This Row],[Claim_Date2]])</f>
        <v>Oct 01 2023</v>
      </c>
      <c r="G146" s="4" t="s">
        <v>326</v>
      </c>
      <c r="H146" s="4" t="str">
        <f>LEFT(Table13[[#This Row],[Values Col 1]],3)</f>
        <v>Oct</v>
      </c>
      <c r="I146" s="4" t="s">
        <v>1103</v>
      </c>
      <c r="J146" s="4" t="str">
        <f>MID(Table13[[#This Row],[Function Col]],5,2)</f>
        <v>01</v>
      </c>
      <c r="K146" s="4" t="s">
        <v>1138</v>
      </c>
      <c r="L146" s="4" t="str">
        <f>RIGHT(Table13[[#This Row],[Function Col]],4)</f>
        <v>2023</v>
      </c>
      <c r="M146" s="4" t="s">
        <v>1146</v>
      </c>
      <c r="N146" s="4" t="str">
        <f>IF(Table13[[#This Row],[Function Col5]]="","",_xlfn.CONCAT(Table13[[#This Row],[Day Col]],"/",Table13[[#This Row],[Month Col]],"/",Table13[[#This Row],[Year Col]]))</f>
        <v>01/Oct/2023</v>
      </c>
      <c r="O146" s="4" t="s">
        <v>1194</v>
      </c>
      <c r="P146" s="4" t="str">
        <f>IF(ISNUMBER(Table13[[#This Row],[Claim_Date2]]),Table13[[#This Row],[Claim_Date2]],Table13[[#This Row],[Function Col32]])</f>
        <v>01/Oct/2023</v>
      </c>
      <c r="Q146" s="4">
        <v>45200</v>
      </c>
      <c r="R146" s="1" t="s">
        <v>85</v>
      </c>
      <c r="S146" t="s">
        <v>1085</v>
      </c>
      <c r="T146" s="1" t="s">
        <v>48</v>
      </c>
      <c r="U146" s="1"/>
      <c r="V146" s="1">
        <v>2741.04</v>
      </c>
      <c r="W146" s="1">
        <f>IF(Table1[[#This Row],[Claim_Amount]]&lt;0,0,Table1[[#This Row],[Claim_Amount]])</f>
        <v>2741.04</v>
      </c>
      <c r="X146" s="1">
        <f>IF(Table1[[#This Row],[Column1]]=0,"",Table1[[#This Row],[Column1]])</f>
        <v>2741.04</v>
      </c>
      <c r="Y146" s="1">
        <v>2741.04</v>
      </c>
      <c r="Z146" s="1">
        <v>2741.04</v>
      </c>
      <c r="AA146" s="1">
        <v>591.38</v>
      </c>
      <c r="AB146" s="1" t="s">
        <v>42</v>
      </c>
      <c r="AC146" s="1" t="s">
        <v>18</v>
      </c>
      <c r="AD146">
        <v>9</v>
      </c>
      <c r="AE146" s="3" t="s">
        <v>19</v>
      </c>
    </row>
    <row r="147" spans="1:31" ht="15.75" customHeight="1" x14ac:dyDescent="0.35">
      <c r="A147" s="1" t="s">
        <v>209</v>
      </c>
      <c r="B147" t="s">
        <v>1083</v>
      </c>
      <c r="C147" t="s">
        <v>1084</v>
      </c>
      <c r="D147" s="1" t="s">
        <v>327</v>
      </c>
      <c r="E147" s="5">
        <v>45096</v>
      </c>
      <c r="F147" s="4" t="str">
        <f>IF(ISNUMBER(Table13[[#This Row],[Claim_Date2]]),"",Table13[[#This Row],[Claim_Date2]])</f>
        <v/>
      </c>
      <c r="G147" s="4" t="s">
        <v>1098</v>
      </c>
      <c r="H147" s="4" t="str">
        <f>LEFT(Table13[[#This Row],[Values Col 1]],3)</f>
        <v/>
      </c>
      <c r="I147" s="4" t="s">
        <v>1098</v>
      </c>
      <c r="J147" s="4" t="str">
        <f>MID(Table13[[#This Row],[Function Col]],5,2)</f>
        <v/>
      </c>
      <c r="K147" s="4" t="s">
        <v>1098</v>
      </c>
      <c r="L147" s="4" t="str">
        <f>RIGHT(Table13[[#This Row],[Function Col]],4)</f>
        <v/>
      </c>
      <c r="M147" s="4" t="s">
        <v>1098</v>
      </c>
      <c r="N147" s="4" t="str">
        <f>IF(Table13[[#This Row],[Function Col5]]="","",_xlfn.CONCAT(Table13[[#This Row],[Day Col]],"/",Table13[[#This Row],[Month Col]],"/",Table13[[#This Row],[Year Col]]))</f>
        <v/>
      </c>
      <c r="O147" s="4" t="s">
        <v>1098</v>
      </c>
      <c r="P147" s="4">
        <f>IF(ISNUMBER(Table13[[#This Row],[Claim_Date2]]),Table13[[#This Row],[Claim_Date2]],Table13[[#This Row],[Function Col32]])</f>
        <v>45096</v>
      </c>
      <c r="Q147" s="4">
        <v>45096</v>
      </c>
      <c r="R147" s="1" t="s">
        <v>16</v>
      </c>
      <c r="S147" s="1" t="s">
        <v>31</v>
      </c>
      <c r="T147" s="1" t="s">
        <v>24</v>
      </c>
      <c r="U147" s="1"/>
      <c r="W147">
        <f>IF(Table1[[#This Row],[Claim_Amount]]&lt;0,0,Table1[[#This Row],[Claim_Amount]])</f>
        <v>0</v>
      </c>
      <c r="X147" t="str">
        <f>IF(Table1[[#This Row],[Column1]]=0,"",Table1[[#This Row],[Column1]])</f>
        <v/>
      </c>
      <c r="Y147" t="s">
        <v>1098</v>
      </c>
      <c r="Z147">
        <v>2481</v>
      </c>
      <c r="AA147">
        <v>832</v>
      </c>
      <c r="AB147" s="1" t="s">
        <v>25</v>
      </c>
      <c r="AC147" s="1" t="s">
        <v>57</v>
      </c>
      <c r="AD147">
        <v>9</v>
      </c>
      <c r="AE147" s="3" t="s">
        <v>65</v>
      </c>
    </row>
    <row r="148" spans="1:31" ht="15.75" customHeight="1" x14ac:dyDescent="0.35">
      <c r="A148" s="1" t="s">
        <v>28</v>
      </c>
      <c r="B148" t="s">
        <v>1083</v>
      </c>
      <c r="C148" t="s">
        <v>1084</v>
      </c>
      <c r="D148" s="1" t="s">
        <v>328</v>
      </c>
      <c r="E148" s="5" t="s">
        <v>328</v>
      </c>
      <c r="F148" s="4" t="str">
        <f>IF(ISNUMBER(Table13[[#This Row],[Claim_Date2]]),"",Table13[[#This Row],[Claim_Date2]])</f>
        <v>Mar 01 2023</v>
      </c>
      <c r="G148" s="4" t="s">
        <v>328</v>
      </c>
      <c r="H148" s="4" t="str">
        <f>LEFT(Table13[[#This Row],[Values Col 1]],3)</f>
        <v>Mar</v>
      </c>
      <c r="I148" s="4" t="s">
        <v>1100</v>
      </c>
      <c r="J148" s="4" t="str">
        <f>MID(Table13[[#This Row],[Function Col]],5,2)</f>
        <v>01</v>
      </c>
      <c r="K148" s="4" t="s">
        <v>1138</v>
      </c>
      <c r="L148" s="4" t="str">
        <f>RIGHT(Table13[[#This Row],[Function Col]],4)</f>
        <v>2023</v>
      </c>
      <c r="M148" s="4" t="s">
        <v>1146</v>
      </c>
      <c r="N148" s="4" t="str">
        <f>IF(Table13[[#This Row],[Function Col5]]="","",_xlfn.CONCAT(Table13[[#This Row],[Day Col]],"/",Table13[[#This Row],[Month Col]],"/",Table13[[#This Row],[Year Col]]))</f>
        <v>01/Mar/2023</v>
      </c>
      <c r="O148" s="4" t="s">
        <v>1195</v>
      </c>
      <c r="P148" s="4" t="str">
        <f>IF(ISNUMBER(Table13[[#This Row],[Claim_Date2]]),Table13[[#This Row],[Claim_Date2]],Table13[[#This Row],[Function Col32]])</f>
        <v>01/Mar/2023</v>
      </c>
      <c r="Q148" s="4">
        <v>44986</v>
      </c>
      <c r="R148" s="1" t="s">
        <v>85</v>
      </c>
      <c r="S148" s="1" t="s">
        <v>31</v>
      </c>
      <c r="T148" s="1" t="s">
        <v>41</v>
      </c>
      <c r="U148" s="1"/>
      <c r="V148" s="1">
        <v>-62</v>
      </c>
      <c r="W148" s="1">
        <f>IF(Table1[[#This Row],[Claim_Amount]]&lt;0,0,Table1[[#This Row],[Claim_Amount]])</f>
        <v>0</v>
      </c>
      <c r="X148" s="1" t="str">
        <f>IF(Table1[[#This Row],[Column1]]=0,"",Table1[[#This Row],[Column1]])</f>
        <v/>
      </c>
      <c r="Y148" s="1" t="s">
        <v>1098</v>
      </c>
      <c r="Z148" s="1">
        <v>2481</v>
      </c>
      <c r="AA148" s="1">
        <v>1774.09</v>
      </c>
      <c r="AB148" s="1" t="s">
        <v>25</v>
      </c>
      <c r="AC148" s="1" t="s">
        <v>1093</v>
      </c>
      <c r="AD148" s="1">
        <v>20</v>
      </c>
      <c r="AE148" s="3" t="s">
        <v>27</v>
      </c>
    </row>
    <row r="149" spans="1:31" ht="15.75" customHeight="1" x14ac:dyDescent="0.35">
      <c r="A149" s="1" t="s">
        <v>166</v>
      </c>
      <c r="B149" s="1" t="s">
        <v>329</v>
      </c>
      <c r="C149" t="s">
        <v>1084</v>
      </c>
      <c r="D149" s="1" t="s">
        <v>330</v>
      </c>
      <c r="E149" s="5">
        <v>45258</v>
      </c>
      <c r="F149" s="4" t="str">
        <f>IF(ISNUMBER(Table13[[#This Row],[Claim_Date2]]),"",Table13[[#This Row],[Claim_Date2]])</f>
        <v/>
      </c>
      <c r="G149" s="4" t="s">
        <v>1098</v>
      </c>
      <c r="H149" s="4" t="str">
        <f>LEFT(Table13[[#This Row],[Values Col 1]],3)</f>
        <v/>
      </c>
      <c r="I149" s="4" t="s">
        <v>1098</v>
      </c>
      <c r="J149" s="4" t="str">
        <f>MID(Table13[[#This Row],[Function Col]],5,2)</f>
        <v/>
      </c>
      <c r="K149" s="4" t="s">
        <v>1098</v>
      </c>
      <c r="L149" s="4" t="str">
        <f>RIGHT(Table13[[#This Row],[Function Col]],4)</f>
        <v/>
      </c>
      <c r="M149" s="4" t="s">
        <v>1098</v>
      </c>
      <c r="N149" s="4" t="str">
        <f>IF(Table13[[#This Row],[Function Col5]]="","",_xlfn.CONCAT(Table13[[#This Row],[Day Col]],"/",Table13[[#This Row],[Month Col]],"/",Table13[[#This Row],[Year Col]]))</f>
        <v/>
      </c>
      <c r="O149" s="4" t="s">
        <v>1098</v>
      </c>
      <c r="P149" s="4">
        <f>IF(ISNUMBER(Table13[[#This Row],[Claim_Date2]]),Table13[[#This Row],[Claim_Date2]],Table13[[#This Row],[Function Col32]])</f>
        <v>45258</v>
      </c>
      <c r="Q149" s="4">
        <v>45258</v>
      </c>
      <c r="R149" s="1" t="s">
        <v>16</v>
      </c>
      <c r="S149" s="1" t="s">
        <v>93</v>
      </c>
      <c r="T149" s="1" t="s">
        <v>54</v>
      </c>
      <c r="U149" s="1"/>
      <c r="W149">
        <f>IF(Table1[[#This Row],[Claim_Amount]]&lt;0,0,Table1[[#This Row],[Claim_Amount]])</f>
        <v>0</v>
      </c>
      <c r="X149" t="str">
        <f>IF(Table1[[#This Row],[Column1]]=0,"",Table1[[#This Row],[Column1]])</f>
        <v/>
      </c>
      <c r="Y149" t="s">
        <v>1098</v>
      </c>
      <c r="Z149">
        <v>2481</v>
      </c>
      <c r="AA149">
        <v>832</v>
      </c>
      <c r="AB149" s="1" t="s">
        <v>17</v>
      </c>
      <c r="AC149" s="1" t="s">
        <v>1093</v>
      </c>
      <c r="AD149" s="1">
        <v>40</v>
      </c>
      <c r="AE149" s="3" t="s">
        <v>65</v>
      </c>
    </row>
    <row r="150" spans="1:31" ht="15.75" customHeight="1" x14ac:dyDescent="0.35">
      <c r="A150" s="1" t="s">
        <v>13</v>
      </c>
      <c r="B150" t="s">
        <v>1083</v>
      </c>
      <c r="C150" s="1" t="s">
        <v>331</v>
      </c>
      <c r="D150" s="1" t="s">
        <v>332</v>
      </c>
      <c r="E150" s="5" t="s">
        <v>332</v>
      </c>
      <c r="F150" s="4" t="str">
        <f>IF(ISNUMBER(Table13[[#This Row],[Claim_Date2]]),"",Table13[[#This Row],[Claim_Date2]])</f>
        <v>Aug 19 2023</v>
      </c>
      <c r="G150" s="4" t="s">
        <v>332</v>
      </c>
      <c r="H150" s="4" t="str">
        <f>LEFT(Table13[[#This Row],[Values Col 1]],3)</f>
        <v>Aug</v>
      </c>
      <c r="I150" s="4" t="s">
        <v>1106</v>
      </c>
      <c r="J150" s="4" t="str">
        <f>MID(Table13[[#This Row],[Function Col]],5,2)</f>
        <v>19</v>
      </c>
      <c r="K150" s="4" t="s">
        <v>1137</v>
      </c>
      <c r="L150" s="4" t="str">
        <f>RIGHT(Table13[[#This Row],[Function Col]],4)</f>
        <v>2023</v>
      </c>
      <c r="M150" s="4" t="s">
        <v>1146</v>
      </c>
      <c r="N150" s="4" t="str">
        <f>IF(Table13[[#This Row],[Function Col5]]="","",_xlfn.CONCAT(Table13[[#This Row],[Day Col]],"/",Table13[[#This Row],[Month Col]],"/",Table13[[#This Row],[Year Col]]))</f>
        <v>19/Aug/2023</v>
      </c>
      <c r="O150" s="4" t="s">
        <v>1196</v>
      </c>
      <c r="P150" s="4" t="str">
        <f>IF(ISNUMBER(Table13[[#This Row],[Claim_Date2]]),Table13[[#This Row],[Claim_Date2]],Table13[[#This Row],[Function Col32]])</f>
        <v>19/Aug/2023</v>
      </c>
      <c r="Q150" s="4">
        <v>45157</v>
      </c>
      <c r="R150" s="1" t="s">
        <v>77</v>
      </c>
      <c r="S150" s="1" t="s">
        <v>53</v>
      </c>
      <c r="T150" s="1" t="s">
        <v>61</v>
      </c>
      <c r="U150" s="1"/>
      <c r="W150">
        <f>IF(Table1[[#This Row],[Claim_Amount]]&lt;0,0,Table1[[#This Row],[Claim_Amount]])</f>
        <v>0</v>
      </c>
      <c r="X150" t="str">
        <f>IF(Table1[[#This Row],[Column1]]=0,"",Table1[[#This Row],[Column1]])</f>
        <v/>
      </c>
      <c r="Y150" t="s">
        <v>1098</v>
      </c>
      <c r="Z150">
        <v>2481</v>
      </c>
      <c r="AA150" s="1">
        <v>3774.01</v>
      </c>
      <c r="AB150" s="1" t="s">
        <v>1091</v>
      </c>
      <c r="AC150" s="1" t="s">
        <v>26</v>
      </c>
      <c r="AD150">
        <v>9</v>
      </c>
      <c r="AE150" s="3" t="s">
        <v>65</v>
      </c>
    </row>
    <row r="151" spans="1:31" ht="15.75" customHeight="1" x14ac:dyDescent="0.35">
      <c r="A151" s="1" t="s">
        <v>242</v>
      </c>
      <c r="B151" s="1" t="s">
        <v>333</v>
      </c>
      <c r="C151" s="1" t="s">
        <v>152</v>
      </c>
      <c r="D151" s="1" t="s">
        <v>334</v>
      </c>
      <c r="E151" s="5" t="s">
        <v>334</v>
      </c>
      <c r="F151" s="4" t="str">
        <f>IF(ISNUMBER(Table13[[#This Row],[Claim_Date2]]),"",Table13[[#This Row],[Claim_Date2]])</f>
        <v>Sep 08 2023</v>
      </c>
      <c r="G151" s="4" t="s">
        <v>334</v>
      </c>
      <c r="H151" s="4" t="str">
        <f>LEFT(Table13[[#This Row],[Values Col 1]],3)</f>
        <v>Sep</v>
      </c>
      <c r="I151" s="4" t="s">
        <v>1102</v>
      </c>
      <c r="J151" s="4" t="str">
        <f>MID(Table13[[#This Row],[Function Col]],5,2)</f>
        <v>08</v>
      </c>
      <c r="K151" s="4" t="s">
        <v>1119</v>
      </c>
      <c r="L151" s="4" t="str">
        <f>RIGHT(Table13[[#This Row],[Function Col]],4)</f>
        <v>2023</v>
      </c>
      <c r="M151" s="4" t="s">
        <v>1146</v>
      </c>
      <c r="N151" s="4" t="str">
        <f>IF(Table13[[#This Row],[Function Col5]]="","",_xlfn.CONCAT(Table13[[#This Row],[Day Col]],"/",Table13[[#This Row],[Month Col]],"/",Table13[[#This Row],[Year Col]]))</f>
        <v>08/Sep/2023</v>
      </c>
      <c r="O151" s="4" t="s">
        <v>1197</v>
      </c>
      <c r="P151" s="4" t="str">
        <f>IF(ISNUMBER(Table13[[#This Row],[Claim_Date2]]),Table13[[#This Row],[Claim_Date2]],Table13[[#This Row],[Function Col32]])</f>
        <v>08/Sep/2023</v>
      </c>
      <c r="Q151" s="4">
        <v>45177</v>
      </c>
      <c r="R151" s="1" t="s">
        <v>16</v>
      </c>
      <c r="S151" s="1" t="s">
        <v>31</v>
      </c>
      <c r="T151" s="1" t="s">
        <v>54</v>
      </c>
      <c r="U151" s="1"/>
      <c r="V151" s="1">
        <v>1973.76</v>
      </c>
      <c r="W151" s="1">
        <f>IF(Table1[[#This Row],[Claim_Amount]]&lt;0,0,Table1[[#This Row],[Claim_Amount]])</f>
        <v>1973.76</v>
      </c>
      <c r="X151" s="1">
        <f>IF(Table1[[#This Row],[Column1]]=0,"",Table1[[#This Row],[Column1]])</f>
        <v>1973.76</v>
      </c>
      <c r="Y151" s="1">
        <v>1973.76</v>
      </c>
      <c r="Z151" s="1">
        <v>1973.76</v>
      </c>
      <c r="AA151">
        <v>832</v>
      </c>
      <c r="AB151" s="1" t="s">
        <v>1091</v>
      </c>
      <c r="AC151" s="1" t="s">
        <v>18</v>
      </c>
      <c r="AD151">
        <v>9</v>
      </c>
      <c r="AE151" s="3" t="s">
        <v>27</v>
      </c>
    </row>
    <row r="152" spans="1:31" ht="15.75" customHeight="1" x14ac:dyDescent="0.35">
      <c r="A152" s="1" t="s">
        <v>110</v>
      </c>
      <c r="B152" s="1" t="s">
        <v>335</v>
      </c>
      <c r="C152" s="1" t="s">
        <v>243</v>
      </c>
      <c r="D152" s="1" t="s">
        <v>284</v>
      </c>
      <c r="E152" s="5">
        <v>44987</v>
      </c>
      <c r="F152" s="4" t="str">
        <f>IF(ISNUMBER(Table13[[#This Row],[Claim_Date2]]),"",Table13[[#This Row],[Claim_Date2]])</f>
        <v/>
      </c>
      <c r="G152" s="4" t="s">
        <v>1098</v>
      </c>
      <c r="H152" s="4" t="str">
        <f>LEFT(Table13[[#This Row],[Values Col 1]],3)</f>
        <v/>
      </c>
      <c r="I152" s="4" t="s">
        <v>1098</v>
      </c>
      <c r="J152" s="4" t="str">
        <f>MID(Table13[[#This Row],[Function Col]],5,2)</f>
        <v/>
      </c>
      <c r="K152" s="4" t="s">
        <v>1098</v>
      </c>
      <c r="L152" s="4" t="str">
        <f>RIGHT(Table13[[#This Row],[Function Col]],4)</f>
        <v/>
      </c>
      <c r="M152" s="4" t="s">
        <v>1098</v>
      </c>
      <c r="N152" s="4" t="str">
        <f>IF(Table13[[#This Row],[Function Col5]]="","",_xlfn.CONCAT(Table13[[#This Row],[Day Col]],"/",Table13[[#This Row],[Month Col]],"/",Table13[[#This Row],[Year Col]]))</f>
        <v/>
      </c>
      <c r="O152" s="4" t="s">
        <v>1098</v>
      </c>
      <c r="P152" s="4">
        <f>IF(ISNUMBER(Table13[[#This Row],[Claim_Date2]]),Table13[[#This Row],[Claim_Date2]],Table13[[#This Row],[Function Col32]])</f>
        <v>44987</v>
      </c>
      <c r="Q152" s="4">
        <v>44987</v>
      </c>
      <c r="R152" s="1" t="s">
        <v>16</v>
      </c>
      <c r="S152" s="1" t="s">
        <v>93</v>
      </c>
      <c r="T152" s="1" t="s">
        <v>41</v>
      </c>
      <c r="U152" s="1"/>
      <c r="V152" s="1">
        <v>-140</v>
      </c>
      <c r="W152" s="1">
        <f>IF(Table1[[#This Row],[Claim_Amount]]&lt;0,0,Table1[[#This Row],[Claim_Amount]])</f>
        <v>0</v>
      </c>
      <c r="X152" s="1" t="str">
        <f>IF(Table1[[#This Row],[Column1]]=0,"",Table1[[#This Row],[Column1]])</f>
        <v/>
      </c>
      <c r="Y152" s="1" t="s">
        <v>1098</v>
      </c>
      <c r="Z152" s="1">
        <v>2481</v>
      </c>
      <c r="AA152" s="1">
        <v>2120.2800000000002</v>
      </c>
      <c r="AB152" s="1" t="s">
        <v>1091</v>
      </c>
      <c r="AC152" s="1" t="s">
        <v>1093</v>
      </c>
      <c r="AD152" s="1">
        <v>27</v>
      </c>
      <c r="AE152" s="3" t="s">
        <v>37</v>
      </c>
    </row>
    <row r="153" spans="1:31" ht="15.75" customHeight="1" x14ac:dyDescent="0.35">
      <c r="A153" s="1" t="s">
        <v>13</v>
      </c>
      <c r="B153" t="s">
        <v>1083</v>
      </c>
      <c r="C153" s="1" t="s">
        <v>336</v>
      </c>
      <c r="D153" s="1" t="s">
        <v>337</v>
      </c>
      <c r="E153" s="5">
        <v>45012</v>
      </c>
      <c r="F153" s="4" t="str">
        <f>IF(ISNUMBER(Table13[[#This Row],[Claim_Date2]]),"",Table13[[#This Row],[Claim_Date2]])</f>
        <v/>
      </c>
      <c r="G153" s="4" t="s">
        <v>1098</v>
      </c>
      <c r="H153" s="4" t="str">
        <f>LEFT(Table13[[#This Row],[Values Col 1]],3)</f>
        <v/>
      </c>
      <c r="I153" s="4" t="s">
        <v>1098</v>
      </c>
      <c r="J153" s="4" t="str">
        <f>MID(Table13[[#This Row],[Function Col]],5,2)</f>
        <v/>
      </c>
      <c r="K153" s="4" t="s">
        <v>1098</v>
      </c>
      <c r="L153" s="4" t="str">
        <f>RIGHT(Table13[[#This Row],[Function Col]],4)</f>
        <v/>
      </c>
      <c r="M153" s="4" t="s">
        <v>1098</v>
      </c>
      <c r="N153" s="4" t="str">
        <f>IF(Table13[[#This Row],[Function Col5]]="","",_xlfn.CONCAT(Table13[[#This Row],[Day Col]],"/",Table13[[#This Row],[Month Col]],"/",Table13[[#This Row],[Year Col]]))</f>
        <v/>
      </c>
      <c r="O153" s="4" t="s">
        <v>1098</v>
      </c>
      <c r="P153" s="4">
        <f>IF(ISNUMBER(Table13[[#This Row],[Claim_Date2]]),Table13[[#This Row],[Claim_Date2]],Table13[[#This Row],[Function Col32]])</f>
        <v>45012</v>
      </c>
      <c r="Q153" s="4">
        <v>45012</v>
      </c>
      <c r="R153" s="1" t="s">
        <v>85</v>
      </c>
      <c r="S153" s="1" t="s">
        <v>93</v>
      </c>
      <c r="T153" s="1" t="s">
        <v>41</v>
      </c>
      <c r="U153" s="1"/>
      <c r="V153" s="1">
        <v>4217.83</v>
      </c>
      <c r="W153" s="1">
        <f>IF(Table1[[#This Row],[Claim_Amount]]&lt;0,0,Table1[[#This Row],[Claim_Amount]])</f>
        <v>4217.83</v>
      </c>
      <c r="X153" s="1">
        <f>IF(Table1[[#This Row],[Column1]]=0,"",Table1[[#This Row],[Column1]])</f>
        <v>4217.83</v>
      </c>
      <c r="Y153" s="1">
        <v>4217.83</v>
      </c>
      <c r="Z153" s="1">
        <v>4217.83</v>
      </c>
      <c r="AA153" s="1">
        <v>4334.34</v>
      </c>
      <c r="AB153" s="1" t="s">
        <v>25</v>
      </c>
      <c r="AC153" s="1" t="s">
        <v>18</v>
      </c>
      <c r="AD153">
        <v>9</v>
      </c>
      <c r="AE153" s="3" t="s">
        <v>1097</v>
      </c>
    </row>
    <row r="154" spans="1:31" ht="15.75" customHeight="1" x14ac:dyDescent="0.35">
      <c r="A154" s="1" t="s">
        <v>163</v>
      </c>
      <c r="B154" t="s">
        <v>1083</v>
      </c>
      <c r="C154" t="s">
        <v>1084</v>
      </c>
      <c r="D154" s="1" t="s">
        <v>338</v>
      </c>
      <c r="E154" s="5">
        <v>45290</v>
      </c>
      <c r="F154" s="4" t="str">
        <f>IF(ISNUMBER(Table13[[#This Row],[Claim_Date2]]),"",Table13[[#This Row],[Claim_Date2]])</f>
        <v/>
      </c>
      <c r="G154" s="4" t="s">
        <v>1098</v>
      </c>
      <c r="H154" s="4" t="str">
        <f>LEFT(Table13[[#This Row],[Values Col 1]],3)</f>
        <v/>
      </c>
      <c r="I154" s="4" t="s">
        <v>1098</v>
      </c>
      <c r="J154" s="4" t="str">
        <f>MID(Table13[[#This Row],[Function Col]],5,2)</f>
        <v/>
      </c>
      <c r="K154" s="4" t="s">
        <v>1098</v>
      </c>
      <c r="L154" s="4" t="str">
        <f>RIGHT(Table13[[#This Row],[Function Col]],4)</f>
        <v/>
      </c>
      <c r="M154" s="4" t="s">
        <v>1098</v>
      </c>
      <c r="N154" s="4" t="str">
        <f>IF(Table13[[#This Row],[Function Col5]]="","",_xlfn.CONCAT(Table13[[#This Row],[Day Col]],"/",Table13[[#This Row],[Month Col]],"/",Table13[[#This Row],[Year Col]]))</f>
        <v/>
      </c>
      <c r="O154" s="4" t="s">
        <v>1098</v>
      </c>
      <c r="P154" s="4">
        <f>IF(ISNUMBER(Table13[[#This Row],[Claim_Date2]]),Table13[[#This Row],[Claim_Date2]],Table13[[#This Row],[Function Col32]])</f>
        <v>45290</v>
      </c>
      <c r="Q154" s="4">
        <v>45290</v>
      </c>
      <c r="R154" s="1" t="s">
        <v>85</v>
      </c>
      <c r="S154" s="1" t="s">
        <v>23</v>
      </c>
      <c r="T154" s="1" t="s">
        <v>54</v>
      </c>
      <c r="U154" s="1"/>
      <c r="W154">
        <f>IF(Table1[[#This Row],[Claim_Amount]]&lt;0,0,Table1[[#This Row],[Claim_Amount]])</f>
        <v>0</v>
      </c>
      <c r="X154" t="str">
        <f>IF(Table1[[#This Row],[Column1]]=0,"",Table1[[#This Row],[Column1]])</f>
        <v/>
      </c>
      <c r="Y154" t="s">
        <v>1098</v>
      </c>
      <c r="Z154">
        <v>2481</v>
      </c>
      <c r="AA154" s="1">
        <v>211.84</v>
      </c>
      <c r="AB154" s="1" t="s">
        <v>1091</v>
      </c>
      <c r="AC154" s="1" t="s">
        <v>32</v>
      </c>
      <c r="AD154">
        <v>9</v>
      </c>
      <c r="AE154" s="3" t="s">
        <v>1097</v>
      </c>
    </row>
    <row r="155" spans="1:31" ht="15.75" customHeight="1" x14ac:dyDescent="0.35">
      <c r="A155" s="1" t="s">
        <v>148</v>
      </c>
      <c r="B155" t="s">
        <v>1083</v>
      </c>
      <c r="C155" s="1" t="s">
        <v>228</v>
      </c>
      <c r="D155" s="1" t="s">
        <v>339</v>
      </c>
      <c r="E155" s="5" t="s">
        <v>339</v>
      </c>
      <c r="F155" s="4" t="str">
        <f>IF(ISNUMBER(Table13[[#This Row],[Claim_Date2]]),"",Table13[[#This Row],[Claim_Date2]])</f>
        <v>May 18 2023</v>
      </c>
      <c r="G155" s="4" t="s">
        <v>339</v>
      </c>
      <c r="H155" s="4" t="str">
        <f>LEFT(Table13[[#This Row],[Values Col 1]],3)</f>
        <v>May</v>
      </c>
      <c r="I155" s="4" t="s">
        <v>1110</v>
      </c>
      <c r="J155" s="4" t="str">
        <f>MID(Table13[[#This Row],[Function Col]],5,2)</f>
        <v>18</v>
      </c>
      <c r="K155" s="4" t="s">
        <v>1129</v>
      </c>
      <c r="L155" s="4" t="str">
        <f>RIGHT(Table13[[#This Row],[Function Col]],4)</f>
        <v>2023</v>
      </c>
      <c r="M155" s="4" t="s">
        <v>1146</v>
      </c>
      <c r="N155" s="4" t="str">
        <f>IF(Table13[[#This Row],[Function Col5]]="","",_xlfn.CONCAT(Table13[[#This Row],[Day Col]],"/",Table13[[#This Row],[Month Col]],"/",Table13[[#This Row],[Year Col]]))</f>
        <v>18/May/2023</v>
      </c>
      <c r="O155" s="4" t="s">
        <v>1198</v>
      </c>
      <c r="P155" s="4" t="str">
        <f>IF(ISNUMBER(Table13[[#This Row],[Claim_Date2]]),Table13[[#This Row],[Claim_Date2]],Table13[[#This Row],[Function Col32]])</f>
        <v>18/May/2023</v>
      </c>
      <c r="Q155" s="4">
        <v>45064</v>
      </c>
      <c r="R155" s="1" t="s">
        <v>85</v>
      </c>
      <c r="S155" s="1" t="s">
        <v>31</v>
      </c>
      <c r="T155" s="1" t="s">
        <v>54</v>
      </c>
      <c r="U155" s="1"/>
      <c r="V155" s="1">
        <v>-20</v>
      </c>
      <c r="W155" s="1">
        <f>IF(Table1[[#This Row],[Claim_Amount]]&lt;0,0,Table1[[#This Row],[Claim_Amount]])</f>
        <v>0</v>
      </c>
      <c r="X155" s="1" t="str">
        <f>IF(Table1[[#This Row],[Column1]]=0,"",Table1[[#This Row],[Column1]])</f>
        <v/>
      </c>
      <c r="Y155" s="1" t="s">
        <v>1098</v>
      </c>
      <c r="Z155" s="1">
        <v>2481</v>
      </c>
      <c r="AA155">
        <v>832</v>
      </c>
      <c r="AB155" s="1" t="s">
        <v>25</v>
      </c>
      <c r="AC155" s="1" t="s">
        <v>18</v>
      </c>
      <c r="AD155" s="1">
        <v>19</v>
      </c>
      <c r="AE155" s="3" t="s">
        <v>37</v>
      </c>
    </row>
    <row r="156" spans="1:31" ht="15.75" customHeight="1" x14ac:dyDescent="0.35">
      <c r="A156" s="1" t="s">
        <v>247</v>
      </c>
      <c r="B156" s="1" t="s">
        <v>340</v>
      </c>
      <c r="C156" s="1" t="s">
        <v>218</v>
      </c>
      <c r="D156" s="1" t="s">
        <v>341</v>
      </c>
      <c r="E156" s="5" t="s">
        <v>341</v>
      </c>
      <c r="F156" s="4" t="str">
        <f>IF(ISNUMBER(Table13[[#This Row],[Claim_Date2]]),"",Table13[[#This Row],[Claim_Date2]])</f>
        <v>Oct 29 2023</v>
      </c>
      <c r="G156" s="4" t="s">
        <v>341</v>
      </c>
      <c r="H156" s="4" t="str">
        <f>LEFT(Table13[[#This Row],[Values Col 1]],3)</f>
        <v>Oct</v>
      </c>
      <c r="I156" s="4" t="s">
        <v>1103</v>
      </c>
      <c r="J156" s="4" t="str">
        <f>MID(Table13[[#This Row],[Function Col]],5,2)</f>
        <v>29</v>
      </c>
      <c r="K156" s="4" t="s">
        <v>1139</v>
      </c>
      <c r="L156" s="4" t="str">
        <f>RIGHT(Table13[[#This Row],[Function Col]],4)</f>
        <v>2023</v>
      </c>
      <c r="M156" s="4" t="s">
        <v>1146</v>
      </c>
      <c r="N156" s="4" t="str">
        <f>IF(Table13[[#This Row],[Function Col5]]="","",_xlfn.CONCAT(Table13[[#This Row],[Day Col]],"/",Table13[[#This Row],[Month Col]],"/",Table13[[#This Row],[Year Col]]))</f>
        <v>29/Oct/2023</v>
      </c>
      <c r="O156" s="4" t="s">
        <v>1199</v>
      </c>
      <c r="P156" s="4" t="str">
        <f>IF(ISNUMBER(Table13[[#This Row],[Claim_Date2]]),Table13[[#This Row],[Claim_Date2]],Table13[[#This Row],[Function Col32]])</f>
        <v>29/Oct/2023</v>
      </c>
      <c r="Q156" s="4">
        <v>45228</v>
      </c>
      <c r="R156" s="1" t="s">
        <v>92</v>
      </c>
      <c r="S156" t="s">
        <v>1085</v>
      </c>
      <c r="T156" s="1" t="s">
        <v>54</v>
      </c>
      <c r="U156" s="1"/>
      <c r="W156">
        <f>IF(Table1[[#This Row],[Claim_Amount]]&lt;0,0,Table1[[#This Row],[Claim_Amount]])</f>
        <v>0</v>
      </c>
      <c r="X156" t="str">
        <f>IF(Table1[[#This Row],[Column1]]=0,"",Table1[[#This Row],[Column1]])</f>
        <v/>
      </c>
      <c r="Y156" t="s">
        <v>1098</v>
      </c>
      <c r="Z156">
        <v>2481</v>
      </c>
      <c r="AA156" s="1">
        <v>3935</v>
      </c>
      <c r="AB156" s="1" t="s">
        <v>25</v>
      </c>
      <c r="AC156" s="1" t="s">
        <v>57</v>
      </c>
      <c r="AD156">
        <v>9</v>
      </c>
      <c r="AE156" s="3" t="s">
        <v>27</v>
      </c>
    </row>
    <row r="157" spans="1:31" ht="15.75" customHeight="1" x14ac:dyDescent="0.35">
      <c r="A157" s="1" t="s">
        <v>154</v>
      </c>
      <c r="B157" s="1" t="s">
        <v>342</v>
      </c>
      <c r="C157" t="s">
        <v>1084</v>
      </c>
      <c r="D157" s="1" t="s">
        <v>343</v>
      </c>
      <c r="E157" s="5" t="s">
        <v>343</v>
      </c>
      <c r="F157" s="4" t="str">
        <f>IF(ISNUMBER(Table13[[#This Row],[Claim_Date2]]),"",Table13[[#This Row],[Claim_Date2]])</f>
        <v>May 17 2023</v>
      </c>
      <c r="G157" s="4" t="s">
        <v>343</v>
      </c>
      <c r="H157" s="4" t="str">
        <f>LEFT(Table13[[#This Row],[Values Col 1]],3)</f>
        <v>May</v>
      </c>
      <c r="I157" s="4" t="s">
        <v>1110</v>
      </c>
      <c r="J157" s="4" t="str">
        <f>MID(Table13[[#This Row],[Function Col]],5,2)</f>
        <v>17</v>
      </c>
      <c r="K157" s="4" t="s">
        <v>1140</v>
      </c>
      <c r="L157" s="4" t="str">
        <f>RIGHT(Table13[[#This Row],[Function Col]],4)</f>
        <v>2023</v>
      </c>
      <c r="M157" s="4" t="s">
        <v>1146</v>
      </c>
      <c r="N157" s="4" t="str">
        <f>IF(Table13[[#This Row],[Function Col5]]="","",_xlfn.CONCAT(Table13[[#This Row],[Day Col]],"/",Table13[[#This Row],[Month Col]],"/",Table13[[#This Row],[Year Col]]))</f>
        <v>17/May/2023</v>
      </c>
      <c r="O157" s="4" t="s">
        <v>1200</v>
      </c>
      <c r="P157" s="4" t="str">
        <f>IF(ISNUMBER(Table13[[#This Row],[Claim_Date2]]),Table13[[#This Row],[Claim_Date2]],Table13[[#This Row],[Function Col32]])</f>
        <v>17/May/2023</v>
      </c>
      <c r="Q157" s="4">
        <v>45063</v>
      </c>
      <c r="R157" s="1" t="s">
        <v>16</v>
      </c>
      <c r="S157" s="1" t="s">
        <v>23</v>
      </c>
      <c r="T157" s="1" t="s">
        <v>24</v>
      </c>
      <c r="U157" s="1"/>
      <c r="V157" s="1">
        <v>4815.72</v>
      </c>
      <c r="W157" s="1">
        <f>IF(Table1[[#This Row],[Claim_Amount]]&lt;0,0,Table1[[#This Row],[Claim_Amount]])</f>
        <v>4815.72</v>
      </c>
      <c r="X157" s="1">
        <f>IF(Table1[[#This Row],[Column1]]=0,"",Table1[[#This Row],[Column1]])</f>
        <v>4815.72</v>
      </c>
      <c r="Y157" s="1">
        <v>4815.72</v>
      </c>
      <c r="Z157" s="1">
        <v>4815.72</v>
      </c>
      <c r="AA157">
        <v>832</v>
      </c>
      <c r="AB157" s="1" t="s">
        <v>17</v>
      </c>
      <c r="AC157" s="1" t="s">
        <v>18</v>
      </c>
      <c r="AD157" s="1">
        <v>15</v>
      </c>
      <c r="AE157" s="3" t="s">
        <v>27</v>
      </c>
    </row>
    <row r="158" spans="1:31" ht="15.75" customHeight="1" x14ac:dyDescent="0.35">
      <c r="A158" s="1" t="s">
        <v>170</v>
      </c>
      <c r="B158" t="s">
        <v>1083</v>
      </c>
      <c r="C158" t="s">
        <v>1084</v>
      </c>
      <c r="D158" s="1" t="s">
        <v>344</v>
      </c>
      <c r="E158" s="5">
        <v>45222</v>
      </c>
      <c r="F158" s="4" t="str">
        <f>IF(ISNUMBER(Table13[[#This Row],[Claim_Date2]]),"",Table13[[#This Row],[Claim_Date2]])</f>
        <v/>
      </c>
      <c r="G158" s="4" t="s">
        <v>1098</v>
      </c>
      <c r="H158" s="4" t="str">
        <f>LEFT(Table13[[#This Row],[Values Col 1]],3)</f>
        <v/>
      </c>
      <c r="I158" s="4" t="s">
        <v>1098</v>
      </c>
      <c r="J158" s="4" t="str">
        <f>MID(Table13[[#This Row],[Function Col]],5,2)</f>
        <v/>
      </c>
      <c r="K158" s="4" t="s">
        <v>1098</v>
      </c>
      <c r="L158" s="4" t="str">
        <f>RIGHT(Table13[[#This Row],[Function Col]],4)</f>
        <v/>
      </c>
      <c r="M158" s="4" t="s">
        <v>1098</v>
      </c>
      <c r="N158" s="4" t="str">
        <f>IF(Table13[[#This Row],[Function Col5]]="","",_xlfn.CONCAT(Table13[[#This Row],[Day Col]],"/",Table13[[#This Row],[Month Col]],"/",Table13[[#This Row],[Year Col]]))</f>
        <v/>
      </c>
      <c r="O158" s="4" t="s">
        <v>1098</v>
      </c>
      <c r="P158" s="4">
        <f>IF(ISNUMBER(Table13[[#This Row],[Claim_Date2]]),Table13[[#This Row],[Claim_Date2]],Table13[[#This Row],[Function Col32]])</f>
        <v>45222</v>
      </c>
      <c r="Q158" s="4">
        <v>45222</v>
      </c>
      <c r="R158" s="1" t="s">
        <v>16</v>
      </c>
      <c r="S158" s="1" t="s">
        <v>53</v>
      </c>
      <c r="T158" s="1" t="s">
        <v>48</v>
      </c>
      <c r="U158" s="1"/>
      <c r="V158" s="1">
        <v>2287.36</v>
      </c>
      <c r="W158" s="1">
        <f>IF(Table1[[#This Row],[Claim_Amount]]&lt;0,0,Table1[[#This Row],[Claim_Amount]])</f>
        <v>2287.36</v>
      </c>
      <c r="X158" s="1">
        <f>IF(Table1[[#This Row],[Column1]]=0,"",Table1[[#This Row],[Column1]])</f>
        <v>2287.36</v>
      </c>
      <c r="Y158" s="1">
        <v>2287.36</v>
      </c>
      <c r="Z158" s="1">
        <v>2287.36</v>
      </c>
      <c r="AA158">
        <v>832</v>
      </c>
      <c r="AB158" s="1" t="s">
        <v>42</v>
      </c>
      <c r="AC158" s="1" t="s">
        <v>32</v>
      </c>
      <c r="AD158">
        <v>9</v>
      </c>
      <c r="AE158" s="3" t="s">
        <v>27</v>
      </c>
    </row>
    <row r="159" spans="1:31" ht="15.75" customHeight="1" x14ac:dyDescent="0.35">
      <c r="A159" s="1" t="s">
        <v>66</v>
      </c>
      <c r="B159" t="s">
        <v>1083</v>
      </c>
      <c r="C159" t="s">
        <v>1084</v>
      </c>
      <c r="D159" s="1" t="s">
        <v>196</v>
      </c>
      <c r="E159" s="5">
        <v>45267</v>
      </c>
      <c r="F159" s="4" t="str">
        <f>IF(ISNUMBER(Table13[[#This Row],[Claim_Date2]]),"",Table13[[#This Row],[Claim_Date2]])</f>
        <v/>
      </c>
      <c r="G159" s="4" t="s">
        <v>1098</v>
      </c>
      <c r="H159" s="4" t="str">
        <f>LEFT(Table13[[#This Row],[Values Col 1]],3)</f>
        <v/>
      </c>
      <c r="I159" s="4" t="s">
        <v>1098</v>
      </c>
      <c r="J159" s="4" t="str">
        <f>MID(Table13[[#This Row],[Function Col]],5,2)</f>
        <v/>
      </c>
      <c r="K159" s="4" t="s">
        <v>1098</v>
      </c>
      <c r="L159" s="4" t="str">
        <f>RIGHT(Table13[[#This Row],[Function Col]],4)</f>
        <v/>
      </c>
      <c r="M159" s="4" t="s">
        <v>1098</v>
      </c>
      <c r="N159" s="4" t="str">
        <f>IF(Table13[[#This Row],[Function Col5]]="","",_xlfn.CONCAT(Table13[[#This Row],[Day Col]],"/",Table13[[#This Row],[Month Col]],"/",Table13[[#This Row],[Year Col]]))</f>
        <v/>
      </c>
      <c r="O159" s="4" t="s">
        <v>1098</v>
      </c>
      <c r="P159" s="4">
        <f>IF(ISNUMBER(Table13[[#This Row],[Claim_Date2]]),Table13[[#This Row],[Claim_Date2]],Table13[[#This Row],[Function Col32]])</f>
        <v>45267</v>
      </c>
      <c r="Q159" s="4">
        <v>45267</v>
      </c>
      <c r="R159" s="1" t="s">
        <v>85</v>
      </c>
      <c r="S159" s="1" t="s">
        <v>23</v>
      </c>
      <c r="T159" s="1" t="s">
        <v>54</v>
      </c>
      <c r="U159" s="1"/>
      <c r="W159">
        <f>IF(Table1[[#This Row],[Claim_Amount]]&lt;0,0,Table1[[#This Row],[Claim_Amount]])</f>
        <v>0</v>
      </c>
      <c r="X159" t="str">
        <f>IF(Table1[[#This Row],[Column1]]=0,"",Table1[[#This Row],[Column1]])</f>
        <v/>
      </c>
      <c r="Y159" t="s">
        <v>1098</v>
      </c>
      <c r="Z159">
        <v>2481</v>
      </c>
      <c r="AA159">
        <v>832</v>
      </c>
      <c r="AB159" s="1" t="s">
        <v>42</v>
      </c>
      <c r="AC159" s="1" t="s">
        <v>32</v>
      </c>
      <c r="AD159">
        <v>9</v>
      </c>
      <c r="AE159" s="3" t="s">
        <v>65</v>
      </c>
    </row>
    <row r="160" spans="1:31" ht="15.75" customHeight="1" x14ac:dyDescent="0.35">
      <c r="A160" s="1" t="s">
        <v>209</v>
      </c>
      <c r="B160" t="s">
        <v>1083</v>
      </c>
      <c r="C160" s="1" t="s">
        <v>135</v>
      </c>
      <c r="D160" s="1" t="s">
        <v>345</v>
      </c>
      <c r="E160" s="5">
        <v>44977</v>
      </c>
      <c r="F160" s="4" t="str">
        <f>IF(ISNUMBER(Table13[[#This Row],[Claim_Date2]]),"",Table13[[#This Row],[Claim_Date2]])</f>
        <v/>
      </c>
      <c r="G160" s="4" t="s">
        <v>1098</v>
      </c>
      <c r="H160" s="4" t="str">
        <f>LEFT(Table13[[#This Row],[Values Col 1]],3)</f>
        <v/>
      </c>
      <c r="I160" s="4" t="s">
        <v>1098</v>
      </c>
      <c r="J160" s="4" t="str">
        <f>MID(Table13[[#This Row],[Function Col]],5,2)</f>
        <v/>
      </c>
      <c r="K160" s="4" t="s">
        <v>1098</v>
      </c>
      <c r="L160" s="4" t="str">
        <f>RIGHT(Table13[[#This Row],[Function Col]],4)</f>
        <v/>
      </c>
      <c r="M160" s="4" t="s">
        <v>1098</v>
      </c>
      <c r="N160" s="4" t="str">
        <f>IF(Table13[[#This Row],[Function Col5]]="","",_xlfn.CONCAT(Table13[[#This Row],[Day Col]],"/",Table13[[#This Row],[Month Col]],"/",Table13[[#This Row],[Year Col]]))</f>
        <v/>
      </c>
      <c r="O160" s="4" t="s">
        <v>1098</v>
      </c>
      <c r="P160" s="4">
        <f>IF(ISNUMBER(Table13[[#This Row],[Claim_Date2]]),Table13[[#This Row],[Claim_Date2]],Table13[[#This Row],[Function Col32]])</f>
        <v>44977</v>
      </c>
      <c r="Q160" s="4">
        <v>44977</v>
      </c>
      <c r="R160" s="1" t="s">
        <v>16</v>
      </c>
      <c r="S160" s="1" t="s">
        <v>23</v>
      </c>
      <c r="T160" s="1" t="s">
        <v>24</v>
      </c>
      <c r="U160" s="1"/>
      <c r="V160" s="1">
        <v>-10</v>
      </c>
      <c r="W160" s="1">
        <f>IF(Table1[[#This Row],[Claim_Amount]]&lt;0,0,Table1[[#This Row],[Claim_Amount]])</f>
        <v>0</v>
      </c>
      <c r="X160" s="1" t="str">
        <f>IF(Table1[[#This Row],[Column1]]=0,"",Table1[[#This Row],[Column1]])</f>
        <v/>
      </c>
      <c r="Y160" s="1" t="s">
        <v>1098</v>
      </c>
      <c r="Z160" s="1">
        <v>2481</v>
      </c>
      <c r="AA160">
        <v>832</v>
      </c>
      <c r="AB160" s="1" t="s">
        <v>17</v>
      </c>
      <c r="AC160" s="1" t="s">
        <v>32</v>
      </c>
      <c r="AD160">
        <v>9</v>
      </c>
      <c r="AE160" s="3" t="s">
        <v>19</v>
      </c>
    </row>
    <row r="161" spans="1:31" ht="15.75" customHeight="1" x14ac:dyDescent="0.35">
      <c r="A161" s="1" t="s">
        <v>43</v>
      </c>
      <c r="B161" t="s">
        <v>1083</v>
      </c>
      <c r="C161" t="s">
        <v>1084</v>
      </c>
      <c r="D161" s="1" t="s">
        <v>346</v>
      </c>
      <c r="E161" s="5">
        <v>45267</v>
      </c>
      <c r="F161" s="4" t="str">
        <f>IF(ISNUMBER(Table13[[#This Row],[Claim_Date2]]),"",Table13[[#This Row],[Claim_Date2]])</f>
        <v/>
      </c>
      <c r="G161" s="4" t="s">
        <v>1098</v>
      </c>
      <c r="H161" s="4" t="str">
        <f>LEFT(Table13[[#This Row],[Values Col 1]],3)</f>
        <v/>
      </c>
      <c r="I161" s="4" t="s">
        <v>1098</v>
      </c>
      <c r="J161" s="4" t="str">
        <f>MID(Table13[[#This Row],[Function Col]],5,2)</f>
        <v/>
      </c>
      <c r="K161" s="4" t="s">
        <v>1098</v>
      </c>
      <c r="L161" s="4" t="str">
        <f>RIGHT(Table13[[#This Row],[Function Col]],4)</f>
        <v/>
      </c>
      <c r="M161" s="4" t="s">
        <v>1098</v>
      </c>
      <c r="N161" s="4" t="str">
        <f>IF(Table13[[#This Row],[Function Col5]]="","",_xlfn.CONCAT(Table13[[#This Row],[Day Col]],"/",Table13[[#This Row],[Month Col]],"/",Table13[[#This Row],[Year Col]]))</f>
        <v/>
      </c>
      <c r="O161" s="4" t="s">
        <v>1098</v>
      </c>
      <c r="P161" s="4">
        <f>IF(ISNUMBER(Table13[[#This Row],[Claim_Date2]]),Table13[[#This Row],[Claim_Date2]],Table13[[#This Row],[Function Col32]])</f>
        <v>45267</v>
      </c>
      <c r="Q161" s="4">
        <v>45267</v>
      </c>
      <c r="R161" s="1" t="s">
        <v>77</v>
      </c>
      <c r="S161" t="s">
        <v>1085</v>
      </c>
      <c r="T161" s="1" t="s">
        <v>41</v>
      </c>
      <c r="U161" s="1"/>
      <c r="V161" s="1">
        <v>-69</v>
      </c>
      <c r="W161" s="1">
        <f>IF(Table1[[#This Row],[Claim_Amount]]&lt;0,0,Table1[[#This Row],[Claim_Amount]])</f>
        <v>0</v>
      </c>
      <c r="X161" s="1" t="str">
        <f>IF(Table1[[#This Row],[Column1]]=0,"",Table1[[#This Row],[Column1]])</f>
        <v/>
      </c>
      <c r="Y161" s="1" t="s">
        <v>1098</v>
      </c>
      <c r="Z161" s="1">
        <v>2481</v>
      </c>
      <c r="AA161">
        <v>832</v>
      </c>
      <c r="AB161" s="1" t="s">
        <v>25</v>
      </c>
      <c r="AC161" s="1" t="s">
        <v>26</v>
      </c>
      <c r="AD161">
        <v>9</v>
      </c>
      <c r="AE161" s="3" t="s">
        <v>19</v>
      </c>
    </row>
    <row r="162" spans="1:31" ht="15.75" customHeight="1" x14ac:dyDescent="0.35">
      <c r="A162" s="1" t="s">
        <v>277</v>
      </c>
      <c r="B162" s="1" t="s">
        <v>347</v>
      </c>
      <c r="C162" t="s">
        <v>1084</v>
      </c>
      <c r="D162" s="1" t="s">
        <v>348</v>
      </c>
      <c r="E162" s="5">
        <v>44931</v>
      </c>
      <c r="F162" s="4" t="str">
        <f>IF(ISNUMBER(Table13[[#This Row],[Claim_Date2]]),"",Table13[[#This Row],[Claim_Date2]])</f>
        <v/>
      </c>
      <c r="G162" s="4" t="s">
        <v>1098</v>
      </c>
      <c r="H162" s="4" t="str">
        <f>LEFT(Table13[[#This Row],[Values Col 1]],3)</f>
        <v/>
      </c>
      <c r="I162" s="4" t="s">
        <v>1098</v>
      </c>
      <c r="J162" s="4" t="str">
        <f>MID(Table13[[#This Row],[Function Col]],5,2)</f>
        <v/>
      </c>
      <c r="K162" s="4" t="s">
        <v>1098</v>
      </c>
      <c r="L162" s="4" t="str">
        <f>RIGHT(Table13[[#This Row],[Function Col]],4)</f>
        <v/>
      </c>
      <c r="M162" s="4" t="s">
        <v>1098</v>
      </c>
      <c r="N162" s="4" t="str">
        <f>IF(Table13[[#This Row],[Function Col5]]="","",_xlfn.CONCAT(Table13[[#This Row],[Day Col]],"/",Table13[[#This Row],[Month Col]],"/",Table13[[#This Row],[Year Col]]))</f>
        <v/>
      </c>
      <c r="O162" s="4" t="s">
        <v>1098</v>
      </c>
      <c r="P162" s="4">
        <f>IF(ISNUMBER(Table13[[#This Row],[Claim_Date2]]),Table13[[#This Row],[Claim_Date2]],Table13[[#This Row],[Function Col32]])</f>
        <v>44931</v>
      </c>
      <c r="Q162" s="4">
        <v>44931</v>
      </c>
      <c r="R162" s="1" t="s">
        <v>85</v>
      </c>
      <c r="S162" s="1" t="s">
        <v>23</v>
      </c>
      <c r="T162" s="1" t="s">
        <v>48</v>
      </c>
      <c r="U162" s="1"/>
      <c r="V162" s="1">
        <v>3485.45</v>
      </c>
      <c r="W162" s="1">
        <f>IF(Table1[[#This Row],[Claim_Amount]]&lt;0,0,Table1[[#This Row],[Claim_Amount]])</f>
        <v>3485.45</v>
      </c>
      <c r="X162" s="1">
        <f>IF(Table1[[#This Row],[Column1]]=0,"",Table1[[#This Row],[Column1]])</f>
        <v>3485.45</v>
      </c>
      <c r="Y162" s="1">
        <v>3485.45</v>
      </c>
      <c r="Z162" s="1">
        <v>3485.45</v>
      </c>
      <c r="AA162" s="1">
        <v>1183.29</v>
      </c>
      <c r="AB162" s="1" t="s">
        <v>25</v>
      </c>
      <c r="AC162" s="1" t="s">
        <v>26</v>
      </c>
      <c r="AD162">
        <v>9</v>
      </c>
      <c r="AE162" s="3" t="s">
        <v>27</v>
      </c>
    </row>
    <row r="163" spans="1:31" ht="15.75" customHeight="1" x14ac:dyDescent="0.35">
      <c r="A163" s="1" t="s">
        <v>277</v>
      </c>
      <c r="B163" s="1" t="s">
        <v>349</v>
      </c>
      <c r="C163" s="1" t="s">
        <v>336</v>
      </c>
      <c r="D163" s="1" t="s">
        <v>350</v>
      </c>
      <c r="E163" s="5">
        <v>44962</v>
      </c>
      <c r="F163" s="4" t="str">
        <f>IF(ISNUMBER(Table13[[#This Row],[Claim_Date2]]),"",Table13[[#This Row],[Claim_Date2]])</f>
        <v/>
      </c>
      <c r="G163" s="4" t="s">
        <v>1098</v>
      </c>
      <c r="H163" s="4" t="str">
        <f>LEFT(Table13[[#This Row],[Values Col 1]],3)</f>
        <v/>
      </c>
      <c r="I163" s="4" t="s">
        <v>1098</v>
      </c>
      <c r="J163" s="4" t="str">
        <f>MID(Table13[[#This Row],[Function Col]],5,2)</f>
        <v/>
      </c>
      <c r="K163" s="4" t="s">
        <v>1098</v>
      </c>
      <c r="L163" s="4" t="str">
        <f>RIGHT(Table13[[#This Row],[Function Col]],4)</f>
        <v/>
      </c>
      <c r="M163" s="4" t="s">
        <v>1098</v>
      </c>
      <c r="N163" s="4" t="str">
        <f>IF(Table13[[#This Row],[Function Col5]]="","",_xlfn.CONCAT(Table13[[#This Row],[Day Col]],"/",Table13[[#This Row],[Month Col]],"/",Table13[[#This Row],[Year Col]]))</f>
        <v/>
      </c>
      <c r="O163" s="4" t="s">
        <v>1098</v>
      </c>
      <c r="P163" s="4">
        <f>IF(ISNUMBER(Table13[[#This Row],[Claim_Date2]]),Table13[[#This Row],[Claim_Date2]],Table13[[#This Row],[Function Col32]])</f>
        <v>44962</v>
      </c>
      <c r="Q163" s="4">
        <v>44962</v>
      </c>
      <c r="R163" s="1" t="s">
        <v>30</v>
      </c>
      <c r="S163" t="s">
        <v>1085</v>
      </c>
      <c r="T163" s="1" t="s">
        <v>24</v>
      </c>
      <c r="U163" s="1"/>
      <c r="W163">
        <f>IF(Table1[[#This Row],[Claim_Amount]]&lt;0,0,Table1[[#This Row],[Claim_Amount]])</f>
        <v>0</v>
      </c>
      <c r="X163" t="str">
        <f>IF(Table1[[#This Row],[Column1]]=0,"",Table1[[#This Row],[Column1]])</f>
        <v/>
      </c>
      <c r="Y163" t="s">
        <v>1098</v>
      </c>
      <c r="Z163">
        <v>2481</v>
      </c>
      <c r="AA163" s="1">
        <v>3159</v>
      </c>
      <c r="AB163" s="1" t="s">
        <v>25</v>
      </c>
      <c r="AC163" s="1" t="s">
        <v>57</v>
      </c>
      <c r="AD163">
        <v>9</v>
      </c>
      <c r="AE163" s="3" t="s">
        <v>65</v>
      </c>
    </row>
    <row r="164" spans="1:31" ht="15.75" customHeight="1" x14ac:dyDescent="0.35">
      <c r="A164" s="1" t="s">
        <v>96</v>
      </c>
      <c r="B164" s="1" t="s">
        <v>351</v>
      </c>
      <c r="C164" s="1" t="s">
        <v>63</v>
      </c>
      <c r="D164" s="1" t="s">
        <v>352</v>
      </c>
      <c r="E164" s="5">
        <v>45123</v>
      </c>
      <c r="F164" s="4" t="str">
        <f>IF(ISNUMBER(Table13[[#This Row],[Claim_Date2]]),"",Table13[[#This Row],[Claim_Date2]])</f>
        <v/>
      </c>
      <c r="G164" s="4" t="s">
        <v>1098</v>
      </c>
      <c r="H164" s="4" t="str">
        <f>LEFT(Table13[[#This Row],[Values Col 1]],3)</f>
        <v/>
      </c>
      <c r="I164" s="4" t="s">
        <v>1098</v>
      </c>
      <c r="J164" s="4" t="str">
        <f>MID(Table13[[#This Row],[Function Col]],5,2)</f>
        <v/>
      </c>
      <c r="K164" s="4" t="s">
        <v>1098</v>
      </c>
      <c r="L164" s="4" t="str">
        <f>RIGHT(Table13[[#This Row],[Function Col]],4)</f>
        <v/>
      </c>
      <c r="M164" s="4" t="s">
        <v>1098</v>
      </c>
      <c r="N164" s="4" t="str">
        <f>IF(Table13[[#This Row],[Function Col5]]="","",_xlfn.CONCAT(Table13[[#This Row],[Day Col]],"/",Table13[[#This Row],[Month Col]],"/",Table13[[#This Row],[Year Col]]))</f>
        <v/>
      </c>
      <c r="O164" s="4" t="s">
        <v>1098</v>
      </c>
      <c r="P164" s="4">
        <f>IF(ISNUMBER(Table13[[#This Row],[Claim_Date2]]),Table13[[#This Row],[Claim_Date2]],Table13[[#This Row],[Function Col32]])</f>
        <v>45123</v>
      </c>
      <c r="Q164" s="4">
        <v>45123</v>
      </c>
      <c r="R164" s="1" t="s">
        <v>92</v>
      </c>
      <c r="S164" s="1" t="s">
        <v>93</v>
      </c>
      <c r="T164" s="1" t="s">
        <v>24</v>
      </c>
      <c r="U164" s="1"/>
      <c r="W164">
        <f>IF(Table1[[#This Row],[Claim_Amount]]&lt;0,0,Table1[[#This Row],[Claim_Amount]])</f>
        <v>0</v>
      </c>
      <c r="X164" t="str">
        <f>IF(Table1[[#This Row],[Column1]]=0,"",Table1[[#This Row],[Column1]])</f>
        <v/>
      </c>
      <c r="Y164" t="s">
        <v>1098</v>
      </c>
      <c r="Z164">
        <v>2481</v>
      </c>
      <c r="AA164">
        <v>832</v>
      </c>
      <c r="AB164" s="1" t="s">
        <v>1091</v>
      </c>
      <c r="AC164" s="1" t="s">
        <v>32</v>
      </c>
      <c r="AD164">
        <v>9</v>
      </c>
      <c r="AE164" s="3" t="s">
        <v>19</v>
      </c>
    </row>
    <row r="165" spans="1:31" ht="15.75" customHeight="1" x14ac:dyDescent="0.35">
      <c r="A165" s="1" t="s">
        <v>249</v>
      </c>
      <c r="B165" s="1" t="s">
        <v>353</v>
      </c>
      <c r="C165" s="1" t="s">
        <v>354</v>
      </c>
      <c r="D165" s="1" t="s">
        <v>355</v>
      </c>
      <c r="E165" s="5">
        <v>45127</v>
      </c>
      <c r="F165" s="4" t="str">
        <f>IF(ISNUMBER(Table13[[#This Row],[Claim_Date2]]),"",Table13[[#This Row],[Claim_Date2]])</f>
        <v/>
      </c>
      <c r="G165" s="4" t="s">
        <v>1098</v>
      </c>
      <c r="H165" s="4" t="str">
        <f>LEFT(Table13[[#This Row],[Values Col 1]],3)</f>
        <v/>
      </c>
      <c r="I165" s="4" t="s">
        <v>1098</v>
      </c>
      <c r="J165" s="4" t="str">
        <f>MID(Table13[[#This Row],[Function Col]],5,2)</f>
        <v/>
      </c>
      <c r="K165" s="4" t="s">
        <v>1098</v>
      </c>
      <c r="L165" s="4" t="str">
        <f>RIGHT(Table13[[#This Row],[Function Col]],4)</f>
        <v/>
      </c>
      <c r="M165" s="4" t="s">
        <v>1098</v>
      </c>
      <c r="N165" s="4" t="str">
        <f>IF(Table13[[#This Row],[Function Col5]]="","",_xlfn.CONCAT(Table13[[#This Row],[Day Col]],"/",Table13[[#This Row],[Month Col]],"/",Table13[[#This Row],[Year Col]]))</f>
        <v/>
      </c>
      <c r="O165" s="4" t="s">
        <v>1098</v>
      </c>
      <c r="P165" s="4">
        <f>IF(ISNUMBER(Table13[[#This Row],[Claim_Date2]]),Table13[[#This Row],[Claim_Date2]],Table13[[#This Row],[Function Col32]])</f>
        <v>45127</v>
      </c>
      <c r="Q165" s="4">
        <v>45127</v>
      </c>
      <c r="R165" s="1" t="s">
        <v>85</v>
      </c>
      <c r="S165" s="1" t="s">
        <v>93</v>
      </c>
      <c r="T165" s="1" t="s">
        <v>48</v>
      </c>
      <c r="U165" s="1"/>
      <c r="V165" s="1">
        <v>-71</v>
      </c>
      <c r="W165" s="1">
        <f>IF(Table1[[#This Row],[Claim_Amount]]&lt;0,0,Table1[[#This Row],[Claim_Amount]])</f>
        <v>0</v>
      </c>
      <c r="X165" s="1" t="str">
        <f>IF(Table1[[#This Row],[Column1]]=0,"",Table1[[#This Row],[Column1]])</f>
        <v/>
      </c>
      <c r="Y165" s="1" t="s">
        <v>1098</v>
      </c>
      <c r="Z165" s="1">
        <v>2481</v>
      </c>
      <c r="AA165" s="1">
        <v>3208.51</v>
      </c>
      <c r="AB165" s="1" t="s">
        <v>1091</v>
      </c>
      <c r="AC165" s="1" t="s">
        <v>26</v>
      </c>
      <c r="AD165">
        <v>9</v>
      </c>
      <c r="AE165" s="3" t="s">
        <v>65</v>
      </c>
    </row>
    <row r="166" spans="1:31" ht="15.75" customHeight="1" x14ac:dyDescent="0.35">
      <c r="A166" s="1" t="s">
        <v>33</v>
      </c>
      <c r="B166" t="s">
        <v>1083</v>
      </c>
      <c r="C166" s="1" t="s">
        <v>356</v>
      </c>
      <c r="D166" s="1" t="s">
        <v>357</v>
      </c>
      <c r="E166" s="5" t="s">
        <v>357</v>
      </c>
      <c r="F166" s="4" t="str">
        <f>IF(ISNUMBER(Table13[[#This Row],[Claim_Date2]]),"",Table13[[#This Row],[Claim_Date2]])</f>
        <v>Jan 09 2023</v>
      </c>
      <c r="G166" s="4" t="s">
        <v>357</v>
      </c>
      <c r="H166" s="4" t="str">
        <f>LEFT(Table13[[#This Row],[Values Col 1]],3)</f>
        <v>Jan</v>
      </c>
      <c r="I166" s="4" t="s">
        <v>1107</v>
      </c>
      <c r="J166" s="4" t="str">
        <f>MID(Table13[[#This Row],[Function Col]],5,2)</f>
        <v>09</v>
      </c>
      <c r="K166" s="4" t="s">
        <v>1127</v>
      </c>
      <c r="L166" s="4" t="str">
        <f>RIGHT(Table13[[#This Row],[Function Col]],4)</f>
        <v>2023</v>
      </c>
      <c r="M166" s="4" t="s">
        <v>1146</v>
      </c>
      <c r="N166" s="4" t="str">
        <f>IF(Table13[[#This Row],[Function Col5]]="","",_xlfn.CONCAT(Table13[[#This Row],[Day Col]],"/",Table13[[#This Row],[Month Col]],"/",Table13[[#This Row],[Year Col]]))</f>
        <v>09/Jan/2023</v>
      </c>
      <c r="O166" s="4" t="s">
        <v>1201</v>
      </c>
      <c r="P166" s="4" t="str">
        <f>IF(ISNUMBER(Table13[[#This Row],[Claim_Date2]]),Table13[[#This Row],[Claim_Date2]],Table13[[#This Row],[Function Col32]])</f>
        <v>09/Jan/2023</v>
      </c>
      <c r="Q166" s="4">
        <v>44935</v>
      </c>
      <c r="R166" s="1" t="s">
        <v>16</v>
      </c>
      <c r="S166" s="1" t="s">
        <v>23</v>
      </c>
      <c r="T166" s="1" t="s">
        <v>41</v>
      </c>
      <c r="U166" s="1"/>
      <c r="V166" s="1">
        <v>-25</v>
      </c>
      <c r="W166" s="1">
        <f>IF(Table1[[#This Row],[Claim_Amount]]&lt;0,0,Table1[[#This Row],[Claim_Amount]])</f>
        <v>0</v>
      </c>
      <c r="X166" s="1" t="str">
        <f>IF(Table1[[#This Row],[Column1]]=0,"",Table1[[#This Row],[Column1]])</f>
        <v/>
      </c>
      <c r="Y166" s="1" t="s">
        <v>1098</v>
      </c>
      <c r="Z166" s="1">
        <v>2481</v>
      </c>
      <c r="AA166">
        <v>832</v>
      </c>
      <c r="AB166" s="1" t="s">
        <v>1091</v>
      </c>
      <c r="AC166" s="1" t="s">
        <v>1093</v>
      </c>
      <c r="AD166">
        <v>9</v>
      </c>
      <c r="AE166" s="3" t="s">
        <v>37</v>
      </c>
    </row>
    <row r="167" spans="1:31" ht="15.75" customHeight="1" x14ac:dyDescent="0.35">
      <c r="A167" s="1" t="s">
        <v>96</v>
      </c>
      <c r="B167" t="s">
        <v>1083</v>
      </c>
      <c r="C167" s="1" t="s">
        <v>358</v>
      </c>
      <c r="D167" s="1" t="s">
        <v>76</v>
      </c>
      <c r="E167" s="5">
        <v>45069</v>
      </c>
      <c r="F167" s="4" t="str">
        <f>IF(ISNUMBER(Table13[[#This Row],[Claim_Date2]]),"",Table13[[#This Row],[Claim_Date2]])</f>
        <v/>
      </c>
      <c r="G167" s="4" t="s">
        <v>1098</v>
      </c>
      <c r="H167" s="4" t="str">
        <f>LEFT(Table13[[#This Row],[Values Col 1]],3)</f>
        <v/>
      </c>
      <c r="I167" s="4" t="s">
        <v>1098</v>
      </c>
      <c r="J167" s="4" t="str">
        <f>MID(Table13[[#This Row],[Function Col]],5,2)</f>
        <v/>
      </c>
      <c r="K167" s="4" t="s">
        <v>1098</v>
      </c>
      <c r="L167" s="4" t="str">
        <f>RIGHT(Table13[[#This Row],[Function Col]],4)</f>
        <v/>
      </c>
      <c r="M167" s="4" t="s">
        <v>1098</v>
      </c>
      <c r="N167" s="4" t="str">
        <f>IF(Table13[[#This Row],[Function Col5]]="","",_xlfn.CONCAT(Table13[[#This Row],[Day Col]],"/",Table13[[#This Row],[Month Col]],"/",Table13[[#This Row],[Year Col]]))</f>
        <v/>
      </c>
      <c r="O167" s="4" t="s">
        <v>1098</v>
      </c>
      <c r="P167" s="4">
        <f>IF(ISNUMBER(Table13[[#This Row],[Claim_Date2]]),Table13[[#This Row],[Claim_Date2]],Table13[[#This Row],[Function Col32]])</f>
        <v>45069</v>
      </c>
      <c r="Q167" s="4">
        <v>45069</v>
      </c>
      <c r="R167" s="1" t="s">
        <v>30</v>
      </c>
      <c r="S167" s="1" t="s">
        <v>93</v>
      </c>
      <c r="T167" s="1" t="s">
        <v>24</v>
      </c>
      <c r="U167" s="1"/>
      <c r="V167" s="1">
        <v>2705.13</v>
      </c>
      <c r="W167" s="1">
        <f>IF(Table1[[#This Row],[Claim_Amount]]&lt;0,0,Table1[[#This Row],[Claim_Amount]])</f>
        <v>2705.13</v>
      </c>
      <c r="X167" s="1">
        <f>IF(Table1[[#This Row],[Column1]]=0,"",Table1[[#This Row],[Column1]])</f>
        <v>2705.13</v>
      </c>
      <c r="Y167" s="1">
        <v>2705.13</v>
      </c>
      <c r="Z167" s="1">
        <v>2705.13</v>
      </c>
      <c r="AA167">
        <v>832</v>
      </c>
      <c r="AB167" s="1" t="s">
        <v>17</v>
      </c>
      <c r="AC167" s="1" t="s">
        <v>26</v>
      </c>
      <c r="AD167" s="1">
        <v>15</v>
      </c>
      <c r="AE167" s="3" t="s">
        <v>37</v>
      </c>
    </row>
    <row r="168" spans="1:31" ht="15.75" customHeight="1" x14ac:dyDescent="0.35">
      <c r="A168" s="1" t="s">
        <v>55</v>
      </c>
      <c r="B168" t="s">
        <v>1083</v>
      </c>
      <c r="C168" s="1" t="s">
        <v>161</v>
      </c>
      <c r="D168" s="1" t="s">
        <v>359</v>
      </c>
      <c r="E168" s="5" t="s">
        <v>359</v>
      </c>
      <c r="F168" s="4" t="str">
        <f>IF(ISNUMBER(Table13[[#This Row],[Claim_Date2]]),"",Table13[[#This Row],[Claim_Date2]])</f>
        <v>Dec 03 2023</v>
      </c>
      <c r="G168" s="4" t="s">
        <v>359</v>
      </c>
      <c r="H168" s="4" t="str">
        <f>LEFT(Table13[[#This Row],[Values Col 1]],3)</f>
        <v>Dec</v>
      </c>
      <c r="I168" s="4" t="s">
        <v>1111</v>
      </c>
      <c r="J168" s="4" t="str">
        <f>MID(Table13[[#This Row],[Function Col]],5,2)</f>
        <v>03</v>
      </c>
      <c r="K168" s="4" t="s">
        <v>1141</v>
      </c>
      <c r="L168" s="4" t="str">
        <f>RIGHT(Table13[[#This Row],[Function Col]],4)</f>
        <v>2023</v>
      </c>
      <c r="M168" s="4" t="s">
        <v>1146</v>
      </c>
      <c r="N168" s="4" t="str">
        <f>IF(Table13[[#This Row],[Function Col5]]="","",_xlfn.CONCAT(Table13[[#This Row],[Day Col]],"/",Table13[[#This Row],[Month Col]],"/",Table13[[#This Row],[Year Col]]))</f>
        <v>03/Dec/2023</v>
      </c>
      <c r="O168" s="4" t="s">
        <v>1202</v>
      </c>
      <c r="P168" s="4" t="str">
        <f>IF(ISNUMBER(Table13[[#This Row],[Claim_Date2]]),Table13[[#This Row],[Claim_Date2]],Table13[[#This Row],[Function Col32]])</f>
        <v>03/Dec/2023</v>
      </c>
      <c r="Q168" s="4">
        <v>45263</v>
      </c>
      <c r="R168" s="1" t="s">
        <v>85</v>
      </c>
      <c r="S168" s="1" t="s">
        <v>23</v>
      </c>
      <c r="T168" s="1" t="s">
        <v>61</v>
      </c>
      <c r="U168" s="1"/>
      <c r="V168" s="1">
        <v>3554.11</v>
      </c>
      <c r="W168" s="1">
        <f>IF(Table1[[#This Row],[Claim_Amount]]&lt;0,0,Table1[[#This Row],[Claim_Amount]])</f>
        <v>3554.11</v>
      </c>
      <c r="X168" s="1">
        <f>IF(Table1[[#This Row],[Column1]]=0,"",Table1[[#This Row],[Column1]])</f>
        <v>3554.11</v>
      </c>
      <c r="Y168" s="1">
        <v>3554.11</v>
      </c>
      <c r="Z168" s="1">
        <v>3554.11</v>
      </c>
      <c r="AA168">
        <v>832</v>
      </c>
      <c r="AB168" s="1" t="s">
        <v>1091</v>
      </c>
      <c r="AC168" s="1" t="s">
        <v>57</v>
      </c>
      <c r="AD168">
        <v>9</v>
      </c>
      <c r="AE168" s="3" t="s">
        <v>27</v>
      </c>
    </row>
    <row r="169" spans="1:31" ht="15.75" customHeight="1" x14ac:dyDescent="0.35">
      <c r="A169" s="1" t="s">
        <v>132</v>
      </c>
      <c r="B169" s="1" t="s">
        <v>360</v>
      </c>
      <c r="C169" t="s">
        <v>1084</v>
      </c>
      <c r="D169" s="1" t="s">
        <v>361</v>
      </c>
      <c r="E169" s="5">
        <v>44942</v>
      </c>
      <c r="F169" s="4" t="str">
        <f>IF(ISNUMBER(Table13[[#This Row],[Claim_Date2]]),"",Table13[[#This Row],[Claim_Date2]])</f>
        <v/>
      </c>
      <c r="G169" s="4" t="s">
        <v>1098</v>
      </c>
      <c r="H169" s="4" t="str">
        <f>LEFT(Table13[[#This Row],[Values Col 1]],3)</f>
        <v/>
      </c>
      <c r="I169" s="4" t="s">
        <v>1098</v>
      </c>
      <c r="J169" s="4" t="str">
        <f>MID(Table13[[#This Row],[Function Col]],5,2)</f>
        <v/>
      </c>
      <c r="K169" s="4" t="s">
        <v>1098</v>
      </c>
      <c r="L169" s="4" t="str">
        <f>RIGHT(Table13[[#This Row],[Function Col]],4)</f>
        <v/>
      </c>
      <c r="M169" s="4" t="s">
        <v>1098</v>
      </c>
      <c r="N169" s="4" t="str">
        <f>IF(Table13[[#This Row],[Function Col5]]="","",_xlfn.CONCAT(Table13[[#This Row],[Day Col]],"/",Table13[[#This Row],[Month Col]],"/",Table13[[#This Row],[Year Col]]))</f>
        <v/>
      </c>
      <c r="O169" s="4" t="s">
        <v>1098</v>
      </c>
      <c r="P169" s="4">
        <f>IF(ISNUMBER(Table13[[#This Row],[Claim_Date2]]),Table13[[#This Row],[Claim_Date2]],Table13[[#This Row],[Function Col32]])</f>
        <v>44942</v>
      </c>
      <c r="Q169" s="4">
        <v>44942</v>
      </c>
      <c r="R169" s="1" t="s">
        <v>92</v>
      </c>
      <c r="S169" s="1" t="s">
        <v>47</v>
      </c>
      <c r="T169" s="1" t="s">
        <v>61</v>
      </c>
      <c r="U169" s="1"/>
      <c r="V169" s="1">
        <v>1351.6</v>
      </c>
      <c r="W169" s="1">
        <f>IF(Table1[[#This Row],[Claim_Amount]]&lt;0,0,Table1[[#This Row],[Claim_Amount]])</f>
        <v>1351.6</v>
      </c>
      <c r="X169" s="1">
        <f>IF(Table1[[#This Row],[Column1]]=0,"",Table1[[#This Row],[Column1]])</f>
        <v>1351.6</v>
      </c>
      <c r="Y169" s="1">
        <v>1351.6</v>
      </c>
      <c r="Z169" s="1">
        <v>1351.6</v>
      </c>
      <c r="AA169">
        <v>832</v>
      </c>
      <c r="AB169" s="1" t="s">
        <v>42</v>
      </c>
      <c r="AC169" s="1" t="s">
        <v>26</v>
      </c>
      <c r="AD169">
        <v>9</v>
      </c>
      <c r="AE169" s="3" t="s">
        <v>65</v>
      </c>
    </row>
    <row r="170" spans="1:31" ht="15.75" customHeight="1" x14ac:dyDescent="0.35">
      <c r="A170" s="1" t="s">
        <v>242</v>
      </c>
      <c r="B170" t="s">
        <v>1083</v>
      </c>
      <c r="C170" s="1" t="s">
        <v>224</v>
      </c>
      <c r="D170" s="1" t="s">
        <v>362</v>
      </c>
      <c r="E170" s="5">
        <v>45220</v>
      </c>
      <c r="F170" s="4" t="str">
        <f>IF(ISNUMBER(Table13[[#This Row],[Claim_Date2]]),"",Table13[[#This Row],[Claim_Date2]])</f>
        <v/>
      </c>
      <c r="G170" s="4" t="s">
        <v>1098</v>
      </c>
      <c r="H170" s="4" t="str">
        <f>LEFT(Table13[[#This Row],[Values Col 1]],3)</f>
        <v/>
      </c>
      <c r="I170" s="4" t="s">
        <v>1098</v>
      </c>
      <c r="J170" s="4" t="str">
        <f>MID(Table13[[#This Row],[Function Col]],5,2)</f>
        <v/>
      </c>
      <c r="K170" s="4" t="s">
        <v>1098</v>
      </c>
      <c r="L170" s="4" t="str">
        <f>RIGHT(Table13[[#This Row],[Function Col]],4)</f>
        <v/>
      </c>
      <c r="M170" s="4" t="s">
        <v>1098</v>
      </c>
      <c r="N170" s="4" t="str">
        <f>IF(Table13[[#This Row],[Function Col5]]="","",_xlfn.CONCAT(Table13[[#This Row],[Day Col]],"/",Table13[[#This Row],[Month Col]],"/",Table13[[#This Row],[Year Col]]))</f>
        <v/>
      </c>
      <c r="O170" s="4" t="s">
        <v>1098</v>
      </c>
      <c r="P170" s="4">
        <f>IF(ISNUMBER(Table13[[#This Row],[Claim_Date2]]),Table13[[#This Row],[Claim_Date2]],Table13[[#This Row],[Function Col32]])</f>
        <v>45220</v>
      </c>
      <c r="Q170" s="4">
        <v>45220</v>
      </c>
      <c r="R170" s="1" t="s">
        <v>16</v>
      </c>
      <c r="S170" s="1" t="s">
        <v>47</v>
      </c>
      <c r="T170" s="1" t="s">
        <v>61</v>
      </c>
      <c r="U170" s="1"/>
      <c r="W170">
        <f>IF(Table1[[#This Row],[Claim_Amount]]&lt;0,0,Table1[[#This Row],[Claim_Amount]])</f>
        <v>0</v>
      </c>
      <c r="X170" t="str">
        <f>IF(Table1[[#This Row],[Column1]]=0,"",Table1[[#This Row],[Column1]])</f>
        <v/>
      </c>
      <c r="Y170" t="s">
        <v>1098</v>
      </c>
      <c r="Z170">
        <v>2481</v>
      </c>
      <c r="AA170">
        <v>832</v>
      </c>
      <c r="AB170" s="1" t="s">
        <v>25</v>
      </c>
      <c r="AC170" s="1" t="s">
        <v>18</v>
      </c>
      <c r="AD170" s="1">
        <v>11</v>
      </c>
      <c r="AE170" s="3" t="s">
        <v>1097</v>
      </c>
    </row>
    <row r="171" spans="1:31" ht="15.75" customHeight="1" x14ac:dyDescent="0.35">
      <c r="A171" s="1" t="s">
        <v>137</v>
      </c>
      <c r="B171" t="s">
        <v>1083</v>
      </c>
      <c r="C171" s="1" t="s">
        <v>363</v>
      </c>
      <c r="D171" s="1" t="s">
        <v>267</v>
      </c>
      <c r="E171" s="5" t="s">
        <v>267</v>
      </c>
      <c r="F171" s="4" t="str">
        <f>IF(ISNUMBER(Table13[[#This Row],[Claim_Date2]]),"",Table13[[#This Row],[Claim_Date2]])</f>
        <v>Aug 02 2023</v>
      </c>
      <c r="G171" s="4" t="s">
        <v>267</v>
      </c>
      <c r="H171" s="4" t="str">
        <f>LEFT(Table13[[#This Row],[Values Col 1]],3)</f>
        <v>Aug</v>
      </c>
      <c r="I171" s="4" t="s">
        <v>1106</v>
      </c>
      <c r="J171" s="4" t="str">
        <f>MID(Table13[[#This Row],[Function Col]],5,2)</f>
        <v>02</v>
      </c>
      <c r="K171" s="4" t="s">
        <v>1130</v>
      </c>
      <c r="L171" s="4" t="str">
        <f>RIGHT(Table13[[#This Row],[Function Col]],4)</f>
        <v>2023</v>
      </c>
      <c r="M171" s="4" t="s">
        <v>1146</v>
      </c>
      <c r="N171" s="4" t="str">
        <f>IF(Table13[[#This Row],[Function Col5]]="","",_xlfn.CONCAT(Table13[[#This Row],[Day Col]],"/",Table13[[#This Row],[Month Col]],"/",Table13[[#This Row],[Year Col]]))</f>
        <v>02/Aug/2023</v>
      </c>
      <c r="O171" s="4" t="s">
        <v>1182</v>
      </c>
      <c r="P171" s="4" t="str">
        <f>IF(ISNUMBER(Table13[[#This Row],[Claim_Date2]]),Table13[[#This Row],[Claim_Date2]],Table13[[#This Row],[Function Col32]])</f>
        <v>02/Aug/2023</v>
      </c>
      <c r="Q171" s="4">
        <v>45140</v>
      </c>
      <c r="R171" s="1" t="s">
        <v>92</v>
      </c>
      <c r="S171" s="1" t="s">
        <v>31</v>
      </c>
      <c r="T171" s="1" t="s">
        <v>61</v>
      </c>
      <c r="U171" s="1"/>
      <c r="V171" s="1">
        <v>2879.1</v>
      </c>
      <c r="W171" s="1">
        <f>IF(Table1[[#This Row],[Claim_Amount]]&lt;0,0,Table1[[#This Row],[Claim_Amount]])</f>
        <v>2879.1</v>
      </c>
      <c r="X171" s="1">
        <f>IF(Table1[[#This Row],[Column1]]=0,"",Table1[[#This Row],[Column1]])</f>
        <v>2879.1</v>
      </c>
      <c r="Y171" s="1">
        <v>2879.1</v>
      </c>
      <c r="Z171" s="1">
        <v>2879.1</v>
      </c>
      <c r="AA171">
        <v>832</v>
      </c>
      <c r="AB171" s="1" t="s">
        <v>25</v>
      </c>
      <c r="AC171" s="1" t="s">
        <v>1093</v>
      </c>
      <c r="AD171">
        <v>9</v>
      </c>
      <c r="AE171" s="3" t="s">
        <v>27</v>
      </c>
    </row>
    <row r="172" spans="1:31" ht="15.75" customHeight="1" x14ac:dyDescent="0.35">
      <c r="A172" s="1" t="s">
        <v>202</v>
      </c>
      <c r="B172" t="s">
        <v>1083</v>
      </c>
      <c r="C172" t="s">
        <v>1084</v>
      </c>
      <c r="D172" s="1" t="s">
        <v>364</v>
      </c>
      <c r="E172" s="5">
        <v>45115</v>
      </c>
      <c r="F172" s="4" t="str">
        <f>IF(ISNUMBER(Table13[[#This Row],[Claim_Date2]]),"",Table13[[#This Row],[Claim_Date2]])</f>
        <v/>
      </c>
      <c r="G172" s="4" t="s">
        <v>1098</v>
      </c>
      <c r="H172" s="4" t="str">
        <f>LEFT(Table13[[#This Row],[Values Col 1]],3)</f>
        <v/>
      </c>
      <c r="I172" s="4" t="s">
        <v>1098</v>
      </c>
      <c r="J172" s="4" t="str">
        <f>MID(Table13[[#This Row],[Function Col]],5,2)</f>
        <v/>
      </c>
      <c r="K172" s="4" t="s">
        <v>1098</v>
      </c>
      <c r="L172" s="4" t="str">
        <f>RIGHT(Table13[[#This Row],[Function Col]],4)</f>
        <v/>
      </c>
      <c r="M172" s="4" t="s">
        <v>1098</v>
      </c>
      <c r="N172" s="4" t="str">
        <f>IF(Table13[[#This Row],[Function Col5]]="","",_xlfn.CONCAT(Table13[[#This Row],[Day Col]],"/",Table13[[#This Row],[Month Col]],"/",Table13[[#This Row],[Year Col]]))</f>
        <v/>
      </c>
      <c r="O172" s="4" t="s">
        <v>1098</v>
      </c>
      <c r="P172" s="4">
        <f>IF(ISNUMBER(Table13[[#This Row],[Claim_Date2]]),Table13[[#This Row],[Claim_Date2]],Table13[[#This Row],[Function Col32]])</f>
        <v>45115</v>
      </c>
      <c r="Q172" s="4">
        <v>45115</v>
      </c>
      <c r="R172" s="1" t="s">
        <v>30</v>
      </c>
      <c r="S172" s="1" t="s">
        <v>31</v>
      </c>
      <c r="T172" t="s">
        <v>1086</v>
      </c>
      <c r="W172">
        <f>IF(Table1[[#This Row],[Claim_Amount]]&lt;0,0,Table1[[#This Row],[Claim_Amount]])</f>
        <v>0</v>
      </c>
      <c r="X172" t="str">
        <f>IF(Table1[[#This Row],[Column1]]=0,"",Table1[[#This Row],[Column1]])</f>
        <v/>
      </c>
      <c r="Y172" t="s">
        <v>1098</v>
      </c>
      <c r="Z172">
        <v>2481</v>
      </c>
      <c r="AA172">
        <v>832</v>
      </c>
      <c r="AB172" s="1" t="s">
        <v>17</v>
      </c>
      <c r="AC172" s="1" t="s">
        <v>57</v>
      </c>
      <c r="AD172" s="1">
        <v>48</v>
      </c>
      <c r="AE172" s="3" t="s">
        <v>65</v>
      </c>
    </row>
    <row r="173" spans="1:31" ht="15.75" customHeight="1" x14ac:dyDescent="0.35">
      <c r="A173" s="1" t="s">
        <v>89</v>
      </c>
      <c r="B173" s="1" t="s">
        <v>365</v>
      </c>
      <c r="C173" t="s">
        <v>1084</v>
      </c>
      <c r="D173" s="1" t="s">
        <v>366</v>
      </c>
      <c r="E173" s="5">
        <v>45282</v>
      </c>
      <c r="F173" s="4" t="str">
        <f>IF(ISNUMBER(Table13[[#This Row],[Claim_Date2]]),"",Table13[[#This Row],[Claim_Date2]])</f>
        <v/>
      </c>
      <c r="G173" s="4" t="s">
        <v>1098</v>
      </c>
      <c r="H173" s="4" t="str">
        <f>LEFT(Table13[[#This Row],[Values Col 1]],3)</f>
        <v/>
      </c>
      <c r="I173" s="4" t="s">
        <v>1098</v>
      </c>
      <c r="J173" s="4" t="str">
        <f>MID(Table13[[#This Row],[Function Col]],5,2)</f>
        <v/>
      </c>
      <c r="K173" s="4" t="s">
        <v>1098</v>
      </c>
      <c r="L173" s="4" t="str">
        <f>RIGHT(Table13[[#This Row],[Function Col]],4)</f>
        <v/>
      </c>
      <c r="M173" s="4" t="s">
        <v>1098</v>
      </c>
      <c r="N173" s="4" t="str">
        <f>IF(Table13[[#This Row],[Function Col5]]="","",_xlfn.CONCAT(Table13[[#This Row],[Day Col]],"/",Table13[[#This Row],[Month Col]],"/",Table13[[#This Row],[Year Col]]))</f>
        <v/>
      </c>
      <c r="O173" s="4" t="s">
        <v>1098</v>
      </c>
      <c r="P173" s="4">
        <f>IF(ISNUMBER(Table13[[#This Row],[Claim_Date2]]),Table13[[#This Row],[Claim_Date2]],Table13[[#This Row],[Function Col32]])</f>
        <v>45282</v>
      </c>
      <c r="Q173" s="4">
        <v>45282</v>
      </c>
      <c r="R173" s="1" t="s">
        <v>16</v>
      </c>
      <c r="S173" t="s">
        <v>1085</v>
      </c>
      <c r="T173" s="1" t="s">
        <v>48</v>
      </c>
      <c r="U173" s="1"/>
      <c r="W173">
        <f>IF(Table1[[#This Row],[Claim_Amount]]&lt;0,0,Table1[[#This Row],[Claim_Amount]])</f>
        <v>0</v>
      </c>
      <c r="X173" t="str">
        <f>IF(Table1[[#This Row],[Column1]]=0,"",Table1[[#This Row],[Column1]])</f>
        <v/>
      </c>
      <c r="Y173" t="s">
        <v>1098</v>
      </c>
      <c r="Z173">
        <v>2481</v>
      </c>
      <c r="AA173">
        <v>832</v>
      </c>
      <c r="AB173" s="1" t="s">
        <v>17</v>
      </c>
      <c r="AC173" s="1" t="s">
        <v>1093</v>
      </c>
      <c r="AD173" s="1">
        <v>31</v>
      </c>
      <c r="AE173" s="3" t="s">
        <v>65</v>
      </c>
    </row>
    <row r="174" spans="1:31" ht="15.75" customHeight="1" x14ac:dyDescent="0.35">
      <c r="A174" s="1" t="s">
        <v>137</v>
      </c>
      <c r="B174" s="1" t="s">
        <v>367</v>
      </c>
      <c r="C174" s="1" t="s">
        <v>238</v>
      </c>
      <c r="D174" s="1" t="s">
        <v>368</v>
      </c>
      <c r="E174" s="5">
        <v>45138</v>
      </c>
      <c r="F174" s="4" t="str">
        <f>IF(ISNUMBER(Table13[[#This Row],[Claim_Date2]]),"",Table13[[#This Row],[Claim_Date2]])</f>
        <v/>
      </c>
      <c r="G174" s="4" t="s">
        <v>1098</v>
      </c>
      <c r="H174" s="4" t="str">
        <f>LEFT(Table13[[#This Row],[Values Col 1]],3)</f>
        <v/>
      </c>
      <c r="I174" s="4" t="s">
        <v>1098</v>
      </c>
      <c r="J174" s="4" t="str">
        <f>MID(Table13[[#This Row],[Function Col]],5,2)</f>
        <v/>
      </c>
      <c r="K174" s="4" t="s">
        <v>1098</v>
      </c>
      <c r="L174" s="4" t="str">
        <f>RIGHT(Table13[[#This Row],[Function Col]],4)</f>
        <v/>
      </c>
      <c r="M174" s="4" t="s">
        <v>1098</v>
      </c>
      <c r="N174" s="4" t="str">
        <f>IF(Table13[[#This Row],[Function Col5]]="","",_xlfn.CONCAT(Table13[[#This Row],[Day Col]],"/",Table13[[#This Row],[Month Col]],"/",Table13[[#This Row],[Year Col]]))</f>
        <v/>
      </c>
      <c r="O174" s="4" t="s">
        <v>1098</v>
      </c>
      <c r="P174" s="4">
        <f>IF(ISNUMBER(Table13[[#This Row],[Claim_Date2]]),Table13[[#This Row],[Claim_Date2]],Table13[[#This Row],[Function Col32]])</f>
        <v>45138</v>
      </c>
      <c r="Q174" s="4">
        <v>45138</v>
      </c>
      <c r="R174" s="1" t="s">
        <v>77</v>
      </c>
      <c r="S174" t="s">
        <v>1085</v>
      </c>
      <c r="T174" s="1" t="s">
        <v>61</v>
      </c>
      <c r="U174" s="1"/>
      <c r="W174">
        <f>IF(Table1[[#This Row],[Claim_Amount]]&lt;0,0,Table1[[#This Row],[Claim_Amount]])</f>
        <v>0</v>
      </c>
      <c r="X174" t="str">
        <f>IF(Table1[[#This Row],[Column1]]=0,"",Table1[[#This Row],[Column1]])</f>
        <v/>
      </c>
      <c r="Y174" t="s">
        <v>1098</v>
      </c>
      <c r="Z174">
        <v>2481</v>
      </c>
      <c r="AA174">
        <v>832</v>
      </c>
      <c r="AB174" s="1" t="s">
        <v>25</v>
      </c>
      <c r="AC174" s="1" t="s">
        <v>57</v>
      </c>
      <c r="AD174" s="1">
        <v>36</v>
      </c>
      <c r="AE174" s="3" t="s">
        <v>37</v>
      </c>
    </row>
    <row r="175" spans="1:31" ht="15.75" customHeight="1" x14ac:dyDescent="0.35">
      <c r="A175" s="1" t="s">
        <v>249</v>
      </c>
      <c r="B175" s="1" t="s">
        <v>369</v>
      </c>
      <c r="C175" t="s">
        <v>1084</v>
      </c>
      <c r="D175" s="1" t="s">
        <v>370</v>
      </c>
      <c r="E175" s="5" t="s">
        <v>370</v>
      </c>
      <c r="F175" s="4" t="str">
        <f>IF(ISNUMBER(Table13[[#This Row],[Claim_Date2]]),"",Table13[[#This Row],[Claim_Date2]])</f>
        <v>Dec 25 2023</v>
      </c>
      <c r="G175" s="4" t="s">
        <v>370</v>
      </c>
      <c r="H175" s="4" t="str">
        <f>LEFT(Table13[[#This Row],[Values Col 1]],3)</f>
        <v>Dec</v>
      </c>
      <c r="I175" s="4" t="s">
        <v>1111</v>
      </c>
      <c r="J175" s="4" t="str">
        <f>MID(Table13[[#This Row],[Function Col]],5,2)</f>
        <v>25</v>
      </c>
      <c r="K175" s="4" t="s">
        <v>1123</v>
      </c>
      <c r="L175" s="4" t="str">
        <f>RIGHT(Table13[[#This Row],[Function Col]],4)</f>
        <v>2023</v>
      </c>
      <c r="M175" s="4" t="s">
        <v>1146</v>
      </c>
      <c r="N175" s="4" t="str">
        <f>IF(Table13[[#This Row],[Function Col5]]="","",_xlfn.CONCAT(Table13[[#This Row],[Day Col]],"/",Table13[[#This Row],[Month Col]],"/",Table13[[#This Row],[Year Col]]))</f>
        <v>25/Dec/2023</v>
      </c>
      <c r="O175" s="4" t="s">
        <v>1203</v>
      </c>
      <c r="P175" s="4" t="str">
        <f>IF(ISNUMBER(Table13[[#This Row],[Claim_Date2]]),Table13[[#This Row],[Claim_Date2]],Table13[[#This Row],[Function Col32]])</f>
        <v>25/Dec/2023</v>
      </c>
      <c r="Q175" s="4">
        <v>45285</v>
      </c>
      <c r="R175" s="1" t="s">
        <v>92</v>
      </c>
      <c r="S175" s="1" t="s">
        <v>31</v>
      </c>
      <c r="T175" s="1" t="s">
        <v>48</v>
      </c>
      <c r="U175" s="1"/>
      <c r="W175">
        <f>IF(Table1[[#This Row],[Claim_Amount]]&lt;0,0,Table1[[#This Row],[Claim_Amount]])</f>
        <v>0</v>
      </c>
      <c r="X175" t="str">
        <f>IF(Table1[[#This Row],[Column1]]=0,"",Table1[[#This Row],[Column1]])</f>
        <v/>
      </c>
      <c r="Y175" t="s">
        <v>1098</v>
      </c>
      <c r="Z175">
        <v>2481</v>
      </c>
      <c r="AA175">
        <v>832</v>
      </c>
      <c r="AB175" s="1" t="s">
        <v>25</v>
      </c>
      <c r="AC175" s="1" t="s">
        <v>18</v>
      </c>
      <c r="AD175" s="1">
        <v>6</v>
      </c>
      <c r="AE175" s="3" t="s">
        <v>37</v>
      </c>
    </row>
    <row r="176" spans="1:31" ht="15.75" customHeight="1" x14ac:dyDescent="0.35">
      <c r="A176" s="1" t="s">
        <v>173</v>
      </c>
      <c r="B176" t="s">
        <v>1083</v>
      </c>
      <c r="C176" t="s">
        <v>1084</v>
      </c>
      <c r="D176" s="1" t="s">
        <v>371</v>
      </c>
      <c r="E176" s="5">
        <v>45158</v>
      </c>
      <c r="F176" s="4" t="str">
        <f>IF(ISNUMBER(Table13[[#This Row],[Claim_Date2]]),"",Table13[[#This Row],[Claim_Date2]])</f>
        <v/>
      </c>
      <c r="G176" s="4" t="s">
        <v>1098</v>
      </c>
      <c r="H176" s="4" t="str">
        <f>LEFT(Table13[[#This Row],[Values Col 1]],3)</f>
        <v/>
      </c>
      <c r="I176" s="4" t="s">
        <v>1098</v>
      </c>
      <c r="J176" s="4" t="str">
        <f>MID(Table13[[#This Row],[Function Col]],5,2)</f>
        <v/>
      </c>
      <c r="K176" s="4" t="s">
        <v>1098</v>
      </c>
      <c r="L176" s="4" t="str">
        <f>RIGHT(Table13[[#This Row],[Function Col]],4)</f>
        <v/>
      </c>
      <c r="M176" s="4" t="s">
        <v>1098</v>
      </c>
      <c r="N176" s="4" t="str">
        <f>IF(Table13[[#This Row],[Function Col5]]="","",_xlfn.CONCAT(Table13[[#This Row],[Day Col]],"/",Table13[[#This Row],[Month Col]],"/",Table13[[#This Row],[Year Col]]))</f>
        <v/>
      </c>
      <c r="O176" s="4" t="s">
        <v>1098</v>
      </c>
      <c r="P176" s="4">
        <f>IF(ISNUMBER(Table13[[#This Row],[Claim_Date2]]),Table13[[#This Row],[Claim_Date2]],Table13[[#This Row],[Function Col32]])</f>
        <v>45158</v>
      </c>
      <c r="Q176" s="4">
        <v>45158</v>
      </c>
      <c r="R176" s="1" t="s">
        <v>92</v>
      </c>
      <c r="S176" s="1" t="s">
        <v>23</v>
      </c>
      <c r="T176" s="1" t="s">
        <v>61</v>
      </c>
      <c r="U176" s="1"/>
      <c r="W176">
        <f>IF(Table1[[#This Row],[Claim_Amount]]&lt;0,0,Table1[[#This Row],[Claim_Amount]])</f>
        <v>0</v>
      </c>
      <c r="X176" t="str">
        <f>IF(Table1[[#This Row],[Column1]]=0,"",Table1[[#This Row],[Column1]])</f>
        <v/>
      </c>
      <c r="Y176" t="s">
        <v>1098</v>
      </c>
      <c r="Z176">
        <v>2481</v>
      </c>
      <c r="AA176">
        <v>832</v>
      </c>
      <c r="AB176" s="1" t="s">
        <v>1091</v>
      </c>
      <c r="AC176" s="1" t="s">
        <v>26</v>
      </c>
      <c r="AD176">
        <v>9</v>
      </c>
      <c r="AE176" s="3" t="s">
        <v>65</v>
      </c>
    </row>
    <row r="177" spans="1:31" ht="15.75" customHeight="1" x14ac:dyDescent="0.35">
      <c r="A177" s="1" t="s">
        <v>96</v>
      </c>
      <c r="B177" s="1" t="s">
        <v>372</v>
      </c>
      <c r="C177" t="s">
        <v>1084</v>
      </c>
      <c r="D177" s="1" t="s">
        <v>128</v>
      </c>
      <c r="E177" s="5">
        <v>44952</v>
      </c>
      <c r="F177" s="4" t="str">
        <f>IF(ISNUMBER(Table13[[#This Row],[Claim_Date2]]),"",Table13[[#This Row],[Claim_Date2]])</f>
        <v/>
      </c>
      <c r="G177" s="4" t="s">
        <v>1098</v>
      </c>
      <c r="H177" s="4" t="str">
        <f>LEFT(Table13[[#This Row],[Values Col 1]],3)</f>
        <v/>
      </c>
      <c r="I177" s="4" t="s">
        <v>1098</v>
      </c>
      <c r="J177" s="4" t="str">
        <f>MID(Table13[[#This Row],[Function Col]],5,2)</f>
        <v/>
      </c>
      <c r="K177" s="4" t="s">
        <v>1098</v>
      </c>
      <c r="L177" s="4" t="str">
        <f>RIGHT(Table13[[#This Row],[Function Col]],4)</f>
        <v/>
      </c>
      <c r="M177" s="4" t="s">
        <v>1098</v>
      </c>
      <c r="N177" s="4" t="str">
        <f>IF(Table13[[#This Row],[Function Col5]]="","",_xlfn.CONCAT(Table13[[#This Row],[Day Col]],"/",Table13[[#This Row],[Month Col]],"/",Table13[[#This Row],[Year Col]]))</f>
        <v/>
      </c>
      <c r="O177" s="4" t="s">
        <v>1098</v>
      </c>
      <c r="P177" s="4">
        <f>IF(ISNUMBER(Table13[[#This Row],[Claim_Date2]]),Table13[[#This Row],[Claim_Date2]],Table13[[#This Row],[Function Col32]])</f>
        <v>44952</v>
      </c>
      <c r="Q177" s="4">
        <v>44952</v>
      </c>
      <c r="R177" s="1" t="s">
        <v>92</v>
      </c>
      <c r="S177" s="1" t="s">
        <v>93</v>
      </c>
      <c r="T177" s="1" t="s">
        <v>61</v>
      </c>
      <c r="U177" s="1"/>
      <c r="W177">
        <f>IF(Table1[[#This Row],[Claim_Amount]]&lt;0,0,Table1[[#This Row],[Claim_Amount]])</f>
        <v>0</v>
      </c>
      <c r="X177" t="str">
        <f>IF(Table1[[#This Row],[Column1]]=0,"",Table1[[#This Row],[Column1]])</f>
        <v/>
      </c>
      <c r="Y177" t="s">
        <v>1098</v>
      </c>
      <c r="Z177">
        <v>2481</v>
      </c>
      <c r="AA177" s="1">
        <v>518.89</v>
      </c>
      <c r="AB177" s="1" t="s">
        <v>17</v>
      </c>
      <c r="AC177" s="1" t="s">
        <v>26</v>
      </c>
      <c r="AD177" s="1">
        <v>9</v>
      </c>
      <c r="AE177" s="3" t="s">
        <v>65</v>
      </c>
    </row>
    <row r="178" spans="1:31" ht="15.75" customHeight="1" x14ac:dyDescent="0.35">
      <c r="A178" s="1" t="s">
        <v>277</v>
      </c>
      <c r="B178" t="s">
        <v>1083</v>
      </c>
      <c r="C178" s="1" t="s">
        <v>373</v>
      </c>
      <c r="D178" s="1" t="s">
        <v>374</v>
      </c>
      <c r="E178" s="5">
        <v>45225</v>
      </c>
      <c r="F178" s="4" t="str">
        <f>IF(ISNUMBER(Table13[[#This Row],[Claim_Date2]]),"",Table13[[#This Row],[Claim_Date2]])</f>
        <v/>
      </c>
      <c r="G178" s="4" t="s">
        <v>1098</v>
      </c>
      <c r="H178" s="4" t="str">
        <f>LEFT(Table13[[#This Row],[Values Col 1]],3)</f>
        <v/>
      </c>
      <c r="I178" s="4" t="s">
        <v>1098</v>
      </c>
      <c r="J178" s="4" t="str">
        <f>MID(Table13[[#This Row],[Function Col]],5,2)</f>
        <v/>
      </c>
      <c r="K178" s="4" t="s">
        <v>1098</v>
      </c>
      <c r="L178" s="4" t="str">
        <f>RIGHT(Table13[[#This Row],[Function Col]],4)</f>
        <v/>
      </c>
      <c r="M178" s="4" t="s">
        <v>1098</v>
      </c>
      <c r="N178" s="4" t="str">
        <f>IF(Table13[[#This Row],[Function Col5]]="","",_xlfn.CONCAT(Table13[[#This Row],[Day Col]],"/",Table13[[#This Row],[Month Col]],"/",Table13[[#This Row],[Year Col]]))</f>
        <v/>
      </c>
      <c r="O178" s="4" t="s">
        <v>1098</v>
      </c>
      <c r="P178" s="4">
        <f>IF(ISNUMBER(Table13[[#This Row],[Claim_Date2]]),Table13[[#This Row],[Claim_Date2]],Table13[[#This Row],[Function Col32]])</f>
        <v>45225</v>
      </c>
      <c r="Q178" s="4">
        <v>45225</v>
      </c>
      <c r="R178" s="1" t="s">
        <v>16</v>
      </c>
      <c r="S178" s="1" t="s">
        <v>23</v>
      </c>
      <c r="T178" s="1" t="s">
        <v>24</v>
      </c>
      <c r="U178" s="1"/>
      <c r="W178">
        <f>IF(Table1[[#This Row],[Claim_Amount]]&lt;0,0,Table1[[#This Row],[Claim_Amount]])</f>
        <v>0</v>
      </c>
      <c r="X178" t="str">
        <f>IF(Table1[[#This Row],[Column1]]=0,"",Table1[[#This Row],[Column1]])</f>
        <v/>
      </c>
      <c r="Y178" t="s">
        <v>1098</v>
      </c>
      <c r="Z178">
        <v>2481</v>
      </c>
      <c r="AA178">
        <v>832</v>
      </c>
      <c r="AB178" s="1" t="s">
        <v>25</v>
      </c>
      <c r="AC178" s="1" t="s">
        <v>26</v>
      </c>
      <c r="AD178">
        <v>9</v>
      </c>
      <c r="AE178" s="3" t="s">
        <v>19</v>
      </c>
    </row>
    <row r="179" spans="1:31" ht="15.75" customHeight="1" x14ac:dyDescent="0.35">
      <c r="A179" s="1" t="s">
        <v>132</v>
      </c>
      <c r="B179" t="s">
        <v>1083</v>
      </c>
      <c r="C179" t="s">
        <v>1084</v>
      </c>
      <c r="D179" s="1" t="s">
        <v>375</v>
      </c>
      <c r="E179" s="5" t="s">
        <v>375</v>
      </c>
      <c r="F179" s="4" t="str">
        <f>IF(ISNUMBER(Table13[[#This Row],[Claim_Date2]]),"",Table13[[#This Row],[Claim_Date2]])</f>
        <v>Jul 15 2023</v>
      </c>
      <c r="G179" s="4" t="s">
        <v>375</v>
      </c>
      <c r="H179" s="4" t="str">
        <f>LEFT(Table13[[#This Row],[Values Col 1]],3)</f>
        <v>Jul</v>
      </c>
      <c r="I179" s="4" t="s">
        <v>1101</v>
      </c>
      <c r="J179" s="4" t="str">
        <f>MID(Table13[[#This Row],[Function Col]],5,2)</f>
        <v>15</v>
      </c>
      <c r="K179" s="4" t="s">
        <v>1116</v>
      </c>
      <c r="L179" s="4" t="str">
        <f>RIGHT(Table13[[#This Row],[Function Col]],4)</f>
        <v>2023</v>
      </c>
      <c r="M179" s="4" t="s">
        <v>1146</v>
      </c>
      <c r="N179" s="4" t="str">
        <f>IF(Table13[[#This Row],[Function Col5]]="","",_xlfn.CONCAT(Table13[[#This Row],[Day Col]],"/",Table13[[#This Row],[Month Col]],"/",Table13[[#This Row],[Year Col]]))</f>
        <v>15/Jul/2023</v>
      </c>
      <c r="O179" s="4" t="s">
        <v>1204</v>
      </c>
      <c r="P179" s="4" t="str">
        <f>IF(ISNUMBER(Table13[[#This Row],[Claim_Date2]]),Table13[[#This Row],[Claim_Date2]],Table13[[#This Row],[Function Col32]])</f>
        <v>15/Jul/2023</v>
      </c>
      <c r="Q179" s="4">
        <v>45122</v>
      </c>
      <c r="R179" s="1" t="s">
        <v>77</v>
      </c>
      <c r="S179" s="1" t="s">
        <v>93</v>
      </c>
      <c r="T179" s="1" t="s">
        <v>41</v>
      </c>
      <c r="U179" s="1"/>
      <c r="W179">
        <f>IF(Table1[[#This Row],[Claim_Amount]]&lt;0,0,Table1[[#This Row],[Claim_Amount]])</f>
        <v>0</v>
      </c>
      <c r="X179" t="str">
        <f>IF(Table1[[#This Row],[Column1]]=0,"",Table1[[#This Row],[Column1]])</f>
        <v/>
      </c>
      <c r="Y179" t="s">
        <v>1098</v>
      </c>
      <c r="Z179">
        <v>2481</v>
      </c>
      <c r="AA179" s="1">
        <v>1435.28</v>
      </c>
      <c r="AB179" s="1" t="s">
        <v>25</v>
      </c>
      <c r="AC179" s="1" t="s">
        <v>57</v>
      </c>
      <c r="AD179">
        <v>9</v>
      </c>
      <c r="AE179" s="3" t="s">
        <v>65</v>
      </c>
    </row>
    <row r="180" spans="1:31" ht="15.75" customHeight="1" x14ac:dyDescent="0.35">
      <c r="A180" s="1" t="s">
        <v>43</v>
      </c>
      <c r="B180" t="s">
        <v>1083</v>
      </c>
      <c r="C180" t="s">
        <v>1084</v>
      </c>
      <c r="D180" s="1" t="s">
        <v>376</v>
      </c>
      <c r="E180" s="5">
        <v>44971</v>
      </c>
      <c r="F180" s="4" t="str">
        <f>IF(ISNUMBER(Table13[[#This Row],[Claim_Date2]]),"",Table13[[#This Row],[Claim_Date2]])</f>
        <v/>
      </c>
      <c r="G180" s="4" t="s">
        <v>1098</v>
      </c>
      <c r="H180" s="4" t="str">
        <f>LEFT(Table13[[#This Row],[Values Col 1]],3)</f>
        <v/>
      </c>
      <c r="I180" s="4" t="s">
        <v>1098</v>
      </c>
      <c r="J180" s="4" t="str">
        <f>MID(Table13[[#This Row],[Function Col]],5,2)</f>
        <v/>
      </c>
      <c r="K180" s="4" t="s">
        <v>1098</v>
      </c>
      <c r="L180" s="4" t="str">
        <f>RIGHT(Table13[[#This Row],[Function Col]],4)</f>
        <v/>
      </c>
      <c r="M180" s="4" t="s">
        <v>1098</v>
      </c>
      <c r="N180" s="4" t="str">
        <f>IF(Table13[[#This Row],[Function Col5]]="","",_xlfn.CONCAT(Table13[[#This Row],[Day Col]],"/",Table13[[#This Row],[Month Col]],"/",Table13[[#This Row],[Year Col]]))</f>
        <v/>
      </c>
      <c r="O180" s="4" t="s">
        <v>1098</v>
      </c>
      <c r="P180" s="4">
        <f>IF(ISNUMBER(Table13[[#This Row],[Claim_Date2]]),Table13[[#This Row],[Claim_Date2]],Table13[[#This Row],[Function Col32]])</f>
        <v>44971</v>
      </c>
      <c r="Q180" s="4">
        <v>44971</v>
      </c>
      <c r="R180" s="1" t="s">
        <v>85</v>
      </c>
      <c r="S180" s="1" t="s">
        <v>53</v>
      </c>
      <c r="T180" s="1" t="s">
        <v>24</v>
      </c>
      <c r="U180" s="1"/>
      <c r="W180">
        <f>IF(Table1[[#This Row],[Claim_Amount]]&lt;0,0,Table1[[#This Row],[Claim_Amount]])</f>
        <v>0</v>
      </c>
      <c r="X180" t="str">
        <f>IF(Table1[[#This Row],[Column1]]=0,"",Table1[[#This Row],[Column1]])</f>
        <v/>
      </c>
      <c r="Y180" t="s">
        <v>1098</v>
      </c>
      <c r="Z180">
        <v>2481</v>
      </c>
      <c r="AA180">
        <v>832</v>
      </c>
      <c r="AB180" s="1" t="s">
        <v>25</v>
      </c>
      <c r="AC180" s="1" t="s">
        <v>1093</v>
      </c>
      <c r="AD180">
        <v>9</v>
      </c>
      <c r="AE180" s="3" t="s">
        <v>27</v>
      </c>
    </row>
    <row r="181" spans="1:31" ht="15.75" customHeight="1" x14ac:dyDescent="0.35">
      <c r="A181" s="1" t="s">
        <v>285</v>
      </c>
      <c r="B181" t="s">
        <v>1083</v>
      </c>
      <c r="C181" t="s">
        <v>1084</v>
      </c>
      <c r="D181" s="1" t="s">
        <v>377</v>
      </c>
      <c r="E181" s="5">
        <v>45125</v>
      </c>
      <c r="F181" s="4" t="str">
        <f>IF(ISNUMBER(Table13[[#This Row],[Claim_Date2]]),"",Table13[[#This Row],[Claim_Date2]])</f>
        <v/>
      </c>
      <c r="G181" s="4" t="s">
        <v>1098</v>
      </c>
      <c r="H181" s="4" t="str">
        <f>LEFT(Table13[[#This Row],[Values Col 1]],3)</f>
        <v/>
      </c>
      <c r="I181" s="4" t="s">
        <v>1098</v>
      </c>
      <c r="J181" s="4" t="str">
        <f>MID(Table13[[#This Row],[Function Col]],5,2)</f>
        <v/>
      </c>
      <c r="K181" s="4" t="s">
        <v>1098</v>
      </c>
      <c r="L181" s="4" t="str">
        <f>RIGHT(Table13[[#This Row],[Function Col]],4)</f>
        <v/>
      </c>
      <c r="M181" s="4" t="s">
        <v>1098</v>
      </c>
      <c r="N181" s="4" t="str">
        <f>IF(Table13[[#This Row],[Function Col5]]="","",_xlfn.CONCAT(Table13[[#This Row],[Day Col]],"/",Table13[[#This Row],[Month Col]],"/",Table13[[#This Row],[Year Col]]))</f>
        <v/>
      </c>
      <c r="O181" s="4" t="s">
        <v>1098</v>
      </c>
      <c r="P181" s="4">
        <f>IF(ISNUMBER(Table13[[#This Row],[Claim_Date2]]),Table13[[#This Row],[Claim_Date2]],Table13[[#This Row],[Function Col32]])</f>
        <v>45125</v>
      </c>
      <c r="Q181" s="4">
        <v>45125</v>
      </c>
      <c r="R181" s="1" t="s">
        <v>92</v>
      </c>
      <c r="S181" s="1" t="s">
        <v>47</v>
      </c>
      <c r="T181" s="1" t="s">
        <v>24</v>
      </c>
      <c r="U181" s="1"/>
      <c r="V181" s="1">
        <v>195.05</v>
      </c>
      <c r="W181" s="1">
        <f>IF(Table1[[#This Row],[Claim_Amount]]&lt;0,0,Table1[[#This Row],[Claim_Amount]])</f>
        <v>195.05</v>
      </c>
      <c r="X181" s="1">
        <f>IF(Table1[[#This Row],[Column1]]=0,"",Table1[[#This Row],[Column1]])</f>
        <v>195.05</v>
      </c>
      <c r="Y181" s="1">
        <v>195.05</v>
      </c>
      <c r="Z181" s="1">
        <v>195.05</v>
      </c>
      <c r="AA181">
        <v>832</v>
      </c>
      <c r="AB181" s="1" t="s">
        <v>1091</v>
      </c>
      <c r="AC181" s="1" t="s">
        <v>32</v>
      </c>
      <c r="AD181">
        <v>9</v>
      </c>
      <c r="AE181" s="3" t="s">
        <v>65</v>
      </c>
    </row>
    <row r="182" spans="1:31" ht="15.75" customHeight="1" x14ac:dyDescent="0.35">
      <c r="A182" s="1" t="s">
        <v>132</v>
      </c>
      <c r="B182" s="1" t="s">
        <v>351</v>
      </c>
      <c r="C182" s="1" t="s">
        <v>378</v>
      </c>
      <c r="D182" s="1" t="s">
        <v>379</v>
      </c>
      <c r="E182" s="5">
        <v>45063</v>
      </c>
      <c r="F182" s="4" t="str">
        <f>IF(ISNUMBER(Table13[[#This Row],[Claim_Date2]]),"",Table13[[#This Row],[Claim_Date2]])</f>
        <v/>
      </c>
      <c r="G182" s="4" t="s">
        <v>1098</v>
      </c>
      <c r="H182" s="4" t="str">
        <f>LEFT(Table13[[#This Row],[Values Col 1]],3)</f>
        <v/>
      </c>
      <c r="I182" s="4" t="s">
        <v>1098</v>
      </c>
      <c r="J182" s="4" t="str">
        <f>MID(Table13[[#This Row],[Function Col]],5,2)</f>
        <v/>
      </c>
      <c r="K182" s="4" t="s">
        <v>1098</v>
      </c>
      <c r="L182" s="4" t="str">
        <f>RIGHT(Table13[[#This Row],[Function Col]],4)</f>
        <v/>
      </c>
      <c r="M182" s="4" t="s">
        <v>1098</v>
      </c>
      <c r="N182" s="4" t="str">
        <f>IF(Table13[[#This Row],[Function Col5]]="","",_xlfn.CONCAT(Table13[[#This Row],[Day Col]],"/",Table13[[#This Row],[Month Col]],"/",Table13[[#This Row],[Year Col]]))</f>
        <v/>
      </c>
      <c r="O182" s="4" t="s">
        <v>1098</v>
      </c>
      <c r="P182" s="4">
        <f>IF(ISNUMBER(Table13[[#This Row],[Claim_Date2]]),Table13[[#This Row],[Claim_Date2]],Table13[[#This Row],[Function Col32]])</f>
        <v>45063</v>
      </c>
      <c r="Q182" s="4">
        <v>45063</v>
      </c>
      <c r="R182" s="1" t="s">
        <v>30</v>
      </c>
      <c r="S182" s="1" t="s">
        <v>53</v>
      </c>
      <c r="T182" s="1" t="s">
        <v>41</v>
      </c>
      <c r="U182" s="1"/>
      <c r="W182">
        <f>IF(Table1[[#This Row],[Claim_Amount]]&lt;0,0,Table1[[#This Row],[Claim_Amount]])</f>
        <v>0</v>
      </c>
      <c r="X182" t="str">
        <f>IF(Table1[[#This Row],[Column1]]=0,"",Table1[[#This Row],[Column1]])</f>
        <v/>
      </c>
      <c r="Y182" t="s">
        <v>1098</v>
      </c>
      <c r="Z182">
        <v>2481</v>
      </c>
      <c r="AA182">
        <v>832</v>
      </c>
      <c r="AB182" s="1" t="s">
        <v>42</v>
      </c>
      <c r="AC182" s="1" t="s">
        <v>57</v>
      </c>
      <c r="AD182">
        <v>9</v>
      </c>
      <c r="AE182" s="3" t="s">
        <v>27</v>
      </c>
    </row>
    <row r="183" spans="1:31" ht="15.75" customHeight="1" x14ac:dyDescent="0.35">
      <c r="A183" s="1" t="s">
        <v>209</v>
      </c>
      <c r="B183" s="1" t="s">
        <v>254</v>
      </c>
      <c r="C183" s="1" t="s">
        <v>90</v>
      </c>
      <c r="D183" s="1" t="s">
        <v>380</v>
      </c>
      <c r="E183" s="5">
        <v>45179</v>
      </c>
      <c r="F183" s="4" t="str">
        <f>IF(ISNUMBER(Table13[[#This Row],[Claim_Date2]]),"",Table13[[#This Row],[Claim_Date2]])</f>
        <v/>
      </c>
      <c r="G183" s="4" t="s">
        <v>1098</v>
      </c>
      <c r="H183" s="4" t="str">
        <f>LEFT(Table13[[#This Row],[Values Col 1]],3)</f>
        <v/>
      </c>
      <c r="I183" s="4" t="s">
        <v>1098</v>
      </c>
      <c r="J183" s="4" t="str">
        <f>MID(Table13[[#This Row],[Function Col]],5,2)</f>
        <v/>
      </c>
      <c r="K183" s="4" t="s">
        <v>1098</v>
      </c>
      <c r="L183" s="4" t="str">
        <f>RIGHT(Table13[[#This Row],[Function Col]],4)</f>
        <v/>
      </c>
      <c r="M183" s="4" t="s">
        <v>1098</v>
      </c>
      <c r="N183" s="4" t="str">
        <f>IF(Table13[[#This Row],[Function Col5]]="","",_xlfn.CONCAT(Table13[[#This Row],[Day Col]],"/",Table13[[#This Row],[Month Col]],"/",Table13[[#This Row],[Year Col]]))</f>
        <v/>
      </c>
      <c r="O183" s="4" t="s">
        <v>1098</v>
      </c>
      <c r="P183" s="4">
        <f>IF(ISNUMBER(Table13[[#This Row],[Claim_Date2]]),Table13[[#This Row],[Claim_Date2]],Table13[[#This Row],[Function Col32]])</f>
        <v>45179</v>
      </c>
      <c r="Q183" s="4">
        <v>45179</v>
      </c>
      <c r="R183" s="1" t="s">
        <v>77</v>
      </c>
      <c r="S183" s="1" t="s">
        <v>23</v>
      </c>
      <c r="T183" s="1" t="s">
        <v>61</v>
      </c>
      <c r="U183" s="1"/>
      <c r="W183">
        <f>IF(Table1[[#This Row],[Claim_Amount]]&lt;0,0,Table1[[#This Row],[Claim_Amount]])</f>
        <v>0</v>
      </c>
      <c r="X183" t="str">
        <f>IF(Table1[[#This Row],[Column1]]=0,"",Table1[[#This Row],[Column1]])</f>
        <v/>
      </c>
      <c r="Y183" t="s">
        <v>1098</v>
      </c>
      <c r="Z183">
        <v>2481</v>
      </c>
      <c r="AA183">
        <v>832</v>
      </c>
      <c r="AB183" s="1" t="s">
        <v>25</v>
      </c>
      <c r="AC183" s="1" t="s">
        <v>32</v>
      </c>
      <c r="AD183">
        <v>9</v>
      </c>
      <c r="AE183" s="3" t="s">
        <v>65</v>
      </c>
    </row>
    <row r="184" spans="1:31" ht="15.75" customHeight="1" x14ac:dyDescent="0.35">
      <c r="A184" s="1" t="s">
        <v>277</v>
      </c>
      <c r="B184" t="s">
        <v>1083</v>
      </c>
      <c r="C184" t="s">
        <v>1084</v>
      </c>
      <c r="D184" s="1" t="s">
        <v>381</v>
      </c>
      <c r="E184" s="5" t="s">
        <v>381</v>
      </c>
      <c r="F184" s="4" t="str">
        <f>IF(ISNUMBER(Table13[[#This Row],[Claim_Date2]]),"",Table13[[#This Row],[Claim_Date2]])</f>
        <v>Mar 17 2023</v>
      </c>
      <c r="G184" s="4" t="s">
        <v>381</v>
      </c>
      <c r="H184" s="4" t="str">
        <f>LEFT(Table13[[#This Row],[Values Col 1]],3)</f>
        <v>Mar</v>
      </c>
      <c r="I184" s="4" t="s">
        <v>1100</v>
      </c>
      <c r="J184" s="4" t="str">
        <f>MID(Table13[[#This Row],[Function Col]],5,2)</f>
        <v>17</v>
      </c>
      <c r="K184" s="4" t="s">
        <v>1140</v>
      </c>
      <c r="L184" s="4" t="str">
        <f>RIGHT(Table13[[#This Row],[Function Col]],4)</f>
        <v>2023</v>
      </c>
      <c r="M184" s="4" t="s">
        <v>1146</v>
      </c>
      <c r="N184" s="4" t="str">
        <f>IF(Table13[[#This Row],[Function Col5]]="","",_xlfn.CONCAT(Table13[[#This Row],[Day Col]],"/",Table13[[#This Row],[Month Col]],"/",Table13[[#This Row],[Year Col]]))</f>
        <v>17/Mar/2023</v>
      </c>
      <c r="O184" s="4" t="s">
        <v>1205</v>
      </c>
      <c r="P184" s="4" t="str">
        <f>IF(ISNUMBER(Table13[[#This Row],[Claim_Date2]]),Table13[[#This Row],[Claim_Date2]],Table13[[#This Row],[Function Col32]])</f>
        <v>17/Mar/2023</v>
      </c>
      <c r="Q184" s="4">
        <v>45002</v>
      </c>
      <c r="R184" s="1" t="s">
        <v>16</v>
      </c>
      <c r="S184" s="1" t="s">
        <v>93</v>
      </c>
      <c r="T184" s="1" t="s">
        <v>61</v>
      </c>
      <c r="U184" s="1"/>
      <c r="V184" s="1">
        <v>4240.08</v>
      </c>
      <c r="W184" s="1">
        <f>IF(Table1[[#This Row],[Claim_Amount]]&lt;0,0,Table1[[#This Row],[Claim_Amount]])</f>
        <v>4240.08</v>
      </c>
      <c r="X184" s="1">
        <f>IF(Table1[[#This Row],[Column1]]=0,"",Table1[[#This Row],[Column1]])</f>
        <v>4240.08</v>
      </c>
      <c r="Y184" s="1">
        <v>4240.08</v>
      </c>
      <c r="Z184" s="1">
        <v>4240.08</v>
      </c>
      <c r="AA184">
        <v>832</v>
      </c>
      <c r="AB184" s="1" t="s">
        <v>25</v>
      </c>
      <c r="AC184" s="1" t="s">
        <v>57</v>
      </c>
      <c r="AD184">
        <v>9</v>
      </c>
      <c r="AE184" s="3" t="s">
        <v>27</v>
      </c>
    </row>
    <row r="185" spans="1:31" ht="15.75" customHeight="1" x14ac:dyDescent="0.35">
      <c r="A185" s="1" t="s">
        <v>58</v>
      </c>
      <c r="B185" s="1" t="s">
        <v>382</v>
      </c>
      <c r="C185" t="s">
        <v>1084</v>
      </c>
      <c r="D185" s="1" t="s">
        <v>383</v>
      </c>
      <c r="E185" s="5">
        <v>45176</v>
      </c>
      <c r="F185" s="4" t="str">
        <f>IF(ISNUMBER(Table13[[#This Row],[Claim_Date2]]),"",Table13[[#This Row],[Claim_Date2]])</f>
        <v/>
      </c>
      <c r="G185" s="4" t="s">
        <v>1098</v>
      </c>
      <c r="H185" s="4" t="str">
        <f>LEFT(Table13[[#This Row],[Values Col 1]],3)</f>
        <v/>
      </c>
      <c r="I185" s="4" t="s">
        <v>1098</v>
      </c>
      <c r="J185" s="4" t="str">
        <f>MID(Table13[[#This Row],[Function Col]],5,2)</f>
        <v/>
      </c>
      <c r="K185" s="4" t="s">
        <v>1098</v>
      </c>
      <c r="L185" s="4" t="str">
        <f>RIGHT(Table13[[#This Row],[Function Col]],4)</f>
        <v/>
      </c>
      <c r="M185" s="4" t="s">
        <v>1098</v>
      </c>
      <c r="N185" s="4" t="str">
        <f>IF(Table13[[#This Row],[Function Col5]]="","",_xlfn.CONCAT(Table13[[#This Row],[Day Col]],"/",Table13[[#This Row],[Month Col]],"/",Table13[[#This Row],[Year Col]]))</f>
        <v/>
      </c>
      <c r="O185" s="4" t="s">
        <v>1098</v>
      </c>
      <c r="P185" s="4">
        <f>IF(ISNUMBER(Table13[[#This Row],[Claim_Date2]]),Table13[[#This Row],[Claim_Date2]],Table13[[#This Row],[Function Col32]])</f>
        <v>45176</v>
      </c>
      <c r="Q185" s="4">
        <v>45176</v>
      </c>
      <c r="R185" s="1" t="s">
        <v>85</v>
      </c>
      <c r="S185" t="s">
        <v>1085</v>
      </c>
      <c r="T185" s="1" t="s">
        <v>54</v>
      </c>
      <c r="U185" s="1"/>
      <c r="W185">
        <f>IF(Table1[[#This Row],[Claim_Amount]]&lt;0,0,Table1[[#This Row],[Claim_Amount]])</f>
        <v>0</v>
      </c>
      <c r="X185" t="str">
        <f>IF(Table1[[#This Row],[Column1]]=0,"",Table1[[#This Row],[Column1]])</f>
        <v/>
      </c>
      <c r="Y185" t="s">
        <v>1098</v>
      </c>
      <c r="Z185">
        <v>2481</v>
      </c>
      <c r="AA185">
        <v>832</v>
      </c>
      <c r="AB185" s="1" t="s">
        <v>17</v>
      </c>
      <c r="AC185" s="1" t="s">
        <v>1093</v>
      </c>
      <c r="AD185">
        <v>9</v>
      </c>
      <c r="AE185" s="3" t="s">
        <v>27</v>
      </c>
    </row>
    <row r="186" spans="1:31" ht="15.75" customHeight="1" x14ac:dyDescent="0.35">
      <c r="A186" s="1" t="s">
        <v>277</v>
      </c>
      <c r="B186" t="s">
        <v>1083</v>
      </c>
      <c r="C186" t="s">
        <v>1084</v>
      </c>
      <c r="D186" s="1" t="s">
        <v>384</v>
      </c>
      <c r="E186" s="5" t="s">
        <v>384</v>
      </c>
      <c r="F186" s="4" t="str">
        <f>IF(ISNUMBER(Table13[[#This Row],[Claim_Date2]]),"",Table13[[#This Row],[Claim_Date2]])</f>
        <v>Apr 04 2023</v>
      </c>
      <c r="G186" s="4" t="s">
        <v>384</v>
      </c>
      <c r="H186" s="4" t="str">
        <f>LEFT(Table13[[#This Row],[Values Col 1]],3)</f>
        <v>Apr</v>
      </c>
      <c r="I186" s="4" t="s">
        <v>1104</v>
      </c>
      <c r="J186" s="4" t="str">
        <f>MID(Table13[[#This Row],[Function Col]],5,2)</f>
        <v>04</v>
      </c>
      <c r="K186" s="4" t="s">
        <v>1142</v>
      </c>
      <c r="L186" s="4" t="str">
        <f>RIGHT(Table13[[#This Row],[Function Col]],4)</f>
        <v>2023</v>
      </c>
      <c r="M186" s="4" t="s">
        <v>1146</v>
      </c>
      <c r="N186" s="4" t="str">
        <f>IF(Table13[[#This Row],[Function Col5]]="","",_xlfn.CONCAT(Table13[[#This Row],[Day Col]],"/",Table13[[#This Row],[Month Col]],"/",Table13[[#This Row],[Year Col]]))</f>
        <v>04/Apr/2023</v>
      </c>
      <c r="O186" s="4" t="s">
        <v>1206</v>
      </c>
      <c r="P186" s="4" t="str">
        <f>IF(ISNUMBER(Table13[[#This Row],[Claim_Date2]]),Table13[[#This Row],[Claim_Date2]],Table13[[#This Row],[Function Col32]])</f>
        <v>04/Apr/2023</v>
      </c>
      <c r="Q186" s="4">
        <v>45020</v>
      </c>
      <c r="R186" s="1" t="s">
        <v>92</v>
      </c>
      <c r="S186" s="1" t="s">
        <v>47</v>
      </c>
      <c r="T186" s="1" t="s">
        <v>24</v>
      </c>
      <c r="U186" s="1"/>
      <c r="V186" s="1">
        <v>-36</v>
      </c>
      <c r="W186" s="1">
        <f>IF(Table1[[#This Row],[Claim_Amount]]&lt;0,0,Table1[[#This Row],[Claim_Amount]])</f>
        <v>0</v>
      </c>
      <c r="X186" s="1" t="str">
        <f>IF(Table1[[#This Row],[Column1]]=0,"",Table1[[#This Row],[Column1]])</f>
        <v/>
      </c>
      <c r="Y186" s="1" t="s">
        <v>1098</v>
      </c>
      <c r="Z186" s="1">
        <v>2481</v>
      </c>
      <c r="AA186">
        <v>832</v>
      </c>
      <c r="AB186" s="1" t="s">
        <v>25</v>
      </c>
      <c r="AC186" s="1" t="s">
        <v>18</v>
      </c>
      <c r="AD186">
        <v>9</v>
      </c>
      <c r="AE186" s="3" t="s">
        <v>65</v>
      </c>
    </row>
    <row r="187" spans="1:31" ht="15.75" customHeight="1" x14ac:dyDescent="0.35">
      <c r="A187" s="1" t="s">
        <v>13</v>
      </c>
      <c r="B187" t="s">
        <v>1083</v>
      </c>
      <c r="C187" t="s">
        <v>1084</v>
      </c>
      <c r="D187" s="1" t="s">
        <v>241</v>
      </c>
      <c r="E187" s="5">
        <v>45155</v>
      </c>
      <c r="F187" s="4" t="str">
        <f>IF(ISNUMBER(Table13[[#This Row],[Claim_Date2]]),"",Table13[[#This Row],[Claim_Date2]])</f>
        <v/>
      </c>
      <c r="G187" s="4" t="s">
        <v>1098</v>
      </c>
      <c r="H187" s="4" t="str">
        <f>LEFT(Table13[[#This Row],[Values Col 1]],3)</f>
        <v/>
      </c>
      <c r="I187" s="4" t="s">
        <v>1098</v>
      </c>
      <c r="J187" s="4" t="str">
        <f>MID(Table13[[#This Row],[Function Col]],5,2)</f>
        <v/>
      </c>
      <c r="K187" s="4" t="s">
        <v>1098</v>
      </c>
      <c r="L187" s="4" t="str">
        <f>RIGHT(Table13[[#This Row],[Function Col]],4)</f>
        <v/>
      </c>
      <c r="M187" s="4" t="s">
        <v>1098</v>
      </c>
      <c r="N187" s="4" t="str">
        <f>IF(Table13[[#This Row],[Function Col5]]="","",_xlfn.CONCAT(Table13[[#This Row],[Day Col]],"/",Table13[[#This Row],[Month Col]],"/",Table13[[#This Row],[Year Col]]))</f>
        <v/>
      </c>
      <c r="O187" s="4" t="s">
        <v>1098</v>
      </c>
      <c r="P187" s="4">
        <f>IF(ISNUMBER(Table13[[#This Row],[Claim_Date2]]),Table13[[#This Row],[Claim_Date2]],Table13[[#This Row],[Function Col32]])</f>
        <v>45155</v>
      </c>
      <c r="Q187" s="4">
        <v>45155</v>
      </c>
      <c r="R187" s="1" t="s">
        <v>85</v>
      </c>
      <c r="S187" t="s">
        <v>1085</v>
      </c>
      <c r="T187" s="1" t="s">
        <v>61</v>
      </c>
      <c r="U187" s="1"/>
      <c r="V187" s="1">
        <v>1784.88</v>
      </c>
      <c r="W187" s="1">
        <f>IF(Table1[[#This Row],[Claim_Amount]]&lt;0,0,Table1[[#This Row],[Claim_Amount]])</f>
        <v>1784.88</v>
      </c>
      <c r="X187" s="1">
        <f>IF(Table1[[#This Row],[Column1]]=0,"",Table1[[#This Row],[Column1]])</f>
        <v>1784.88</v>
      </c>
      <c r="Y187" s="1">
        <v>1784.88</v>
      </c>
      <c r="Z187" s="1">
        <v>1784.88</v>
      </c>
      <c r="AA187">
        <v>832</v>
      </c>
      <c r="AB187" s="1" t="s">
        <v>25</v>
      </c>
      <c r="AC187" s="1" t="s">
        <v>18</v>
      </c>
      <c r="AD187">
        <v>9</v>
      </c>
      <c r="AE187" s="3" t="s">
        <v>37</v>
      </c>
    </row>
    <row r="188" spans="1:31" ht="15.75" customHeight="1" x14ac:dyDescent="0.35">
      <c r="A188" s="1" t="s">
        <v>33</v>
      </c>
      <c r="B188" t="s">
        <v>1083</v>
      </c>
      <c r="C188" s="1" t="s">
        <v>80</v>
      </c>
      <c r="D188" s="1" t="s">
        <v>385</v>
      </c>
      <c r="E188" s="5" t="s">
        <v>385</v>
      </c>
      <c r="F188" s="4" t="str">
        <f>IF(ISNUMBER(Table13[[#This Row],[Claim_Date2]]),"",Table13[[#This Row],[Claim_Date2]])</f>
        <v>Nov 30 2023</v>
      </c>
      <c r="G188" s="4" t="s">
        <v>385</v>
      </c>
      <c r="H188" s="4" t="str">
        <f>LEFT(Table13[[#This Row],[Values Col 1]],3)</f>
        <v>Nov</v>
      </c>
      <c r="I188" s="4" t="s">
        <v>1105</v>
      </c>
      <c r="J188" s="4" t="str">
        <f>MID(Table13[[#This Row],[Function Col]],5,2)</f>
        <v>30</v>
      </c>
      <c r="K188" s="4" t="s">
        <v>1126</v>
      </c>
      <c r="L188" s="4" t="str">
        <f>RIGHT(Table13[[#This Row],[Function Col]],4)</f>
        <v>2023</v>
      </c>
      <c r="M188" s="4" t="s">
        <v>1146</v>
      </c>
      <c r="N188" s="4" t="str">
        <f>IF(Table13[[#This Row],[Function Col5]]="","",_xlfn.CONCAT(Table13[[#This Row],[Day Col]],"/",Table13[[#This Row],[Month Col]],"/",Table13[[#This Row],[Year Col]]))</f>
        <v>30/Nov/2023</v>
      </c>
      <c r="O188" s="4" t="s">
        <v>1207</v>
      </c>
      <c r="P188" s="4" t="str">
        <f>IF(ISNUMBER(Table13[[#This Row],[Claim_Date2]]),Table13[[#This Row],[Claim_Date2]],Table13[[#This Row],[Function Col32]])</f>
        <v>30/Nov/2023</v>
      </c>
      <c r="Q188" s="4">
        <v>45260</v>
      </c>
      <c r="R188" s="1" t="s">
        <v>85</v>
      </c>
      <c r="S188" s="1" t="s">
        <v>93</v>
      </c>
      <c r="T188" s="1" t="s">
        <v>48</v>
      </c>
      <c r="U188" s="1"/>
      <c r="W188">
        <f>IF(Table1[[#This Row],[Claim_Amount]]&lt;0,0,Table1[[#This Row],[Claim_Amount]])</f>
        <v>0</v>
      </c>
      <c r="X188" t="str">
        <f>IF(Table1[[#This Row],[Column1]]=0,"",Table1[[#This Row],[Column1]])</f>
        <v/>
      </c>
      <c r="Y188" t="s">
        <v>1098</v>
      </c>
      <c r="Z188">
        <v>2481</v>
      </c>
      <c r="AA188">
        <v>832</v>
      </c>
      <c r="AB188" s="1" t="s">
        <v>25</v>
      </c>
      <c r="AC188" s="1" t="s">
        <v>26</v>
      </c>
      <c r="AD188" s="1">
        <v>21</v>
      </c>
      <c r="AE188" s="3" t="s">
        <v>37</v>
      </c>
    </row>
    <row r="189" spans="1:31" ht="15.75" customHeight="1" x14ac:dyDescent="0.35">
      <c r="A189" s="1" t="s">
        <v>132</v>
      </c>
      <c r="B189" s="1" t="s">
        <v>386</v>
      </c>
      <c r="C189" s="1" t="s">
        <v>228</v>
      </c>
      <c r="D189" s="1" t="s">
        <v>387</v>
      </c>
      <c r="E189" s="5">
        <v>45231</v>
      </c>
      <c r="F189" s="4" t="str">
        <f>IF(ISNUMBER(Table13[[#This Row],[Claim_Date2]]),"",Table13[[#This Row],[Claim_Date2]])</f>
        <v/>
      </c>
      <c r="G189" s="4" t="s">
        <v>1098</v>
      </c>
      <c r="H189" s="4" t="str">
        <f>LEFT(Table13[[#This Row],[Values Col 1]],3)</f>
        <v/>
      </c>
      <c r="I189" s="4" t="s">
        <v>1098</v>
      </c>
      <c r="J189" s="4" t="str">
        <f>MID(Table13[[#This Row],[Function Col]],5,2)</f>
        <v/>
      </c>
      <c r="K189" s="4" t="s">
        <v>1098</v>
      </c>
      <c r="L189" s="4" t="str">
        <f>RIGHT(Table13[[#This Row],[Function Col]],4)</f>
        <v/>
      </c>
      <c r="M189" s="4" t="s">
        <v>1098</v>
      </c>
      <c r="N189" s="4" t="str">
        <f>IF(Table13[[#This Row],[Function Col5]]="","",_xlfn.CONCAT(Table13[[#This Row],[Day Col]],"/",Table13[[#This Row],[Month Col]],"/",Table13[[#This Row],[Year Col]]))</f>
        <v/>
      </c>
      <c r="O189" s="4" t="s">
        <v>1098</v>
      </c>
      <c r="P189" s="4">
        <f>IF(ISNUMBER(Table13[[#This Row],[Claim_Date2]]),Table13[[#This Row],[Claim_Date2]],Table13[[#This Row],[Function Col32]])</f>
        <v>45231</v>
      </c>
      <c r="Q189" s="4">
        <v>45231</v>
      </c>
      <c r="R189" s="1" t="s">
        <v>16</v>
      </c>
      <c r="S189" s="1" t="s">
        <v>23</v>
      </c>
      <c r="T189" s="1" t="s">
        <v>48</v>
      </c>
      <c r="U189" s="1"/>
      <c r="V189" s="1">
        <v>-52</v>
      </c>
      <c r="W189" s="1">
        <f>IF(Table1[[#This Row],[Claim_Amount]]&lt;0,0,Table1[[#This Row],[Claim_Amount]])</f>
        <v>0</v>
      </c>
      <c r="X189" s="1" t="str">
        <f>IF(Table1[[#This Row],[Column1]]=0,"",Table1[[#This Row],[Column1]])</f>
        <v/>
      </c>
      <c r="Y189" s="1" t="s">
        <v>1098</v>
      </c>
      <c r="Z189" s="1">
        <v>2481</v>
      </c>
      <c r="AA189" s="1">
        <v>827.66</v>
      </c>
      <c r="AB189" s="1" t="s">
        <v>42</v>
      </c>
      <c r="AC189" s="1" t="s">
        <v>18</v>
      </c>
      <c r="AD189">
        <v>9</v>
      </c>
      <c r="AE189" s="3" t="s">
        <v>1097</v>
      </c>
    </row>
    <row r="190" spans="1:31" ht="15.75" customHeight="1" x14ac:dyDescent="0.35">
      <c r="A190" s="1" t="s">
        <v>168</v>
      </c>
      <c r="B190" t="s">
        <v>1083</v>
      </c>
      <c r="C190" t="s">
        <v>1084</v>
      </c>
      <c r="D190" s="1" t="s">
        <v>388</v>
      </c>
      <c r="E190" s="5">
        <v>45079</v>
      </c>
      <c r="F190" s="4" t="str">
        <f>IF(ISNUMBER(Table13[[#This Row],[Claim_Date2]]),"",Table13[[#This Row],[Claim_Date2]])</f>
        <v/>
      </c>
      <c r="G190" s="4" t="s">
        <v>1098</v>
      </c>
      <c r="H190" s="4" t="str">
        <f>LEFT(Table13[[#This Row],[Values Col 1]],3)</f>
        <v/>
      </c>
      <c r="I190" s="4" t="s">
        <v>1098</v>
      </c>
      <c r="J190" s="4" t="str">
        <f>MID(Table13[[#This Row],[Function Col]],5,2)</f>
        <v/>
      </c>
      <c r="K190" s="4" t="s">
        <v>1098</v>
      </c>
      <c r="L190" s="4" t="str">
        <f>RIGHT(Table13[[#This Row],[Function Col]],4)</f>
        <v/>
      </c>
      <c r="M190" s="4" t="s">
        <v>1098</v>
      </c>
      <c r="N190" s="4" t="str">
        <f>IF(Table13[[#This Row],[Function Col5]]="","",_xlfn.CONCAT(Table13[[#This Row],[Day Col]],"/",Table13[[#This Row],[Month Col]],"/",Table13[[#This Row],[Year Col]]))</f>
        <v/>
      </c>
      <c r="O190" s="4" t="s">
        <v>1098</v>
      </c>
      <c r="P190" s="4">
        <f>IF(ISNUMBER(Table13[[#This Row],[Claim_Date2]]),Table13[[#This Row],[Claim_Date2]],Table13[[#This Row],[Function Col32]])</f>
        <v>45079</v>
      </c>
      <c r="Q190" s="4">
        <v>45079</v>
      </c>
      <c r="R190" s="1" t="s">
        <v>77</v>
      </c>
      <c r="S190" s="1" t="s">
        <v>47</v>
      </c>
      <c r="T190" s="1" t="s">
        <v>54</v>
      </c>
      <c r="U190" s="1"/>
      <c r="V190" s="1">
        <v>4207.28</v>
      </c>
      <c r="W190" s="1">
        <f>IF(Table1[[#This Row],[Claim_Amount]]&lt;0,0,Table1[[#This Row],[Claim_Amount]])</f>
        <v>4207.28</v>
      </c>
      <c r="X190" s="1">
        <f>IF(Table1[[#This Row],[Column1]]=0,"",Table1[[#This Row],[Column1]])</f>
        <v>4207.28</v>
      </c>
      <c r="Y190" s="1">
        <v>4207.28</v>
      </c>
      <c r="Z190" s="1">
        <v>4207.28</v>
      </c>
      <c r="AA190">
        <v>832</v>
      </c>
      <c r="AB190" s="1" t="s">
        <v>25</v>
      </c>
      <c r="AC190" s="1" t="s">
        <v>32</v>
      </c>
      <c r="AD190">
        <v>9</v>
      </c>
      <c r="AE190" s="3" t="s">
        <v>1097</v>
      </c>
    </row>
    <row r="191" spans="1:31" ht="15.75" customHeight="1" x14ac:dyDescent="0.35">
      <c r="A191" s="1" t="s">
        <v>285</v>
      </c>
      <c r="B191" s="1" t="s">
        <v>389</v>
      </c>
      <c r="C191" s="1" t="s">
        <v>193</v>
      </c>
      <c r="D191" s="1" t="s">
        <v>390</v>
      </c>
      <c r="E191" s="5">
        <v>45014</v>
      </c>
      <c r="F191" s="4" t="str">
        <f>IF(ISNUMBER(Table13[[#This Row],[Claim_Date2]]),"",Table13[[#This Row],[Claim_Date2]])</f>
        <v/>
      </c>
      <c r="G191" s="4" t="s">
        <v>1098</v>
      </c>
      <c r="H191" s="4" t="str">
        <f>LEFT(Table13[[#This Row],[Values Col 1]],3)</f>
        <v/>
      </c>
      <c r="I191" s="4" t="s">
        <v>1098</v>
      </c>
      <c r="J191" s="4" t="str">
        <f>MID(Table13[[#This Row],[Function Col]],5,2)</f>
        <v/>
      </c>
      <c r="K191" s="4" t="s">
        <v>1098</v>
      </c>
      <c r="L191" s="4" t="str">
        <f>RIGHT(Table13[[#This Row],[Function Col]],4)</f>
        <v/>
      </c>
      <c r="M191" s="4" t="s">
        <v>1098</v>
      </c>
      <c r="N191" s="4" t="str">
        <f>IF(Table13[[#This Row],[Function Col5]]="","",_xlfn.CONCAT(Table13[[#This Row],[Day Col]],"/",Table13[[#This Row],[Month Col]],"/",Table13[[#This Row],[Year Col]]))</f>
        <v/>
      </c>
      <c r="O191" s="4" t="s">
        <v>1098</v>
      </c>
      <c r="P191" s="4">
        <f>IF(ISNUMBER(Table13[[#This Row],[Claim_Date2]]),Table13[[#This Row],[Claim_Date2]],Table13[[#This Row],[Function Col32]])</f>
        <v>45014</v>
      </c>
      <c r="Q191" s="4">
        <v>45014</v>
      </c>
      <c r="R191" s="1" t="s">
        <v>77</v>
      </c>
      <c r="S191" s="1" t="s">
        <v>23</v>
      </c>
      <c r="T191" s="1" t="s">
        <v>41</v>
      </c>
      <c r="U191" s="1"/>
      <c r="V191" s="1">
        <v>-130</v>
      </c>
      <c r="W191" s="1">
        <f>IF(Table1[[#This Row],[Claim_Amount]]&lt;0,0,Table1[[#This Row],[Claim_Amount]])</f>
        <v>0</v>
      </c>
      <c r="X191" s="1" t="str">
        <f>IF(Table1[[#This Row],[Column1]]=0,"",Table1[[#This Row],[Column1]])</f>
        <v/>
      </c>
      <c r="Y191" s="1" t="s">
        <v>1098</v>
      </c>
      <c r="Z191" s="1">
        <v>2481</v>
      </c>
      <c r="AA191">
        <v>832</v>
      </c>
      <c r="AB191" s="1" t="s">
        <v>25</v>
      </c>
      <c r="AC191" s="1" t="s">
        <v>57</v>
      </c>
      <c r="AD191" s="1">
        <v>24</v>
      </c>
      <c r="AE191" s="3" t="s">
        <v>27</v>
      </c>
    </row>
    <row r="192" spans="1:31" ht="15.75" customHeight="1" x14ac:dyDescent="0.35">
      <c r="A192" s="1" t="s">
        <v>33</v>
      </c>
      <c r="B192" s="1" t="s">
        <v>391</v>
      </c>
      <c r="C192" s="1" t="s">
        <v>232</v>
      </c>
      <c r="D192" s="1" t="s">
        <v>392</v>
      </c>
      <c r="E192" s="5">
        <v>45152</v>
      </c>
      <c r="F192" s="4" t="str">
        <f>IF(ISNUMBER(Table13[[#This Row],[Claim_Date2]]),"",Table13[[#This Row],[Claim_Date2]])</f>
        <v/>
      </c>
      <c r="G192" s="4" t="s">
        <v>1098</v>
      </c>
      <c r="H192" s="4" t="str">
        <f>LEFT(Table13[[#This Row],[Values Col 1]],3)</f>
        <v/>
      </c>
      <c r="I192" s="4" t="s">
        <v>1098</v>
      </c>
      <c r="J192" s="4" t="str">
        <f>MID(Table13[[#This Row],[Function Col]],5,2)</f>
        <v/>
      </c>
      <c r="K192" s="4" t="s">
        <v>1098</v>
      </c>
      <c r="L192" s="4" t="str">
        <f>RIGHT(Table13[[#This Row],[Function Col]],4)</f>
        <v/>
      </c>
      <c r="M192" s="4" t="s">
        <v>1098</v>
      </c>
      <c r="N192" s="4" t="str">
        <f>IF(Table13[[#This Row],[Function Col5]]="","",_xlfn.CONCAT(Table13[[#This Row],[Day Col]],"/",Table13[[#This Row],[Month Col]],"/",Table13[[#This Row],[Year Col]]))</f>
        <v/>
      </c>
      <c r="O192" s="4" t="s">
        <v>1098</v>
      </c>
      <c r="P192" s="4">
        <f>IF(ISNUMBER(Table13[[#This Row],[Claim_Date2]]),Table13[[#This Row],[Claim_Date2]],Table13[[#This Row],[Function Col32]])</f>
        <v>45152</v>
      </c>
      <c r="Q192" s="4">
        <v>45152</v>
      </c>
      <c r="R192" s="1" t="s">
        <v>85</v>
      </c>
      <c r="S192" s="1" t="s">
        <v>31</v>
      </c>
      <c r="T192" s="1" t="s">
        <v>54</v>
      </c>
      <c r="U192" s="1"/>
      <c r="V192" s="1">
        <v>355.11</v>
      </c>
      <c r="W192" s="1">
        <f>IF(Table1[[#This Row],[Claim_Amount]]&lt;0,0,Table1[[#This Row],[Claim_Amount]])</f>
        <v>355.11</v>
      </c>
      <c r="X192" s="1">
        <f>IF(Table1[[#This Row],[Column1]]=0,"",Table1[[#This Row],[Column1]])</f>
        <v>355.11</v>
      </c>
      <c r="Y192" s="1">
        <v>355.11</v>
      </c>
      <c r="Z192" s="1">
        <v>355.11</v>
      </c>
      <c r="AA192">
        <v>832</v>
      </c>
      <c r="AB192" s="1" t="s">
        <v>1091</v>
      </c>
      <c r="AC192" s="1" t="s">
        <v>1093</v>
      </c>
      <c r="AD192">
        <v>9</v>
      </c>
      <c r="AE192" s="3" t="s">
        <v>65</v>
      </c>
    </row>
    <row r="193" spans="1:31" ht="15.75" customHeight="1" x14ac:dyDescent="0.35">
      <c r="A193" s="1" t="s">
        <v>20</v>
      </c>
      <c r="B193" t="s">
        <v>1083</v>
      </c>
      <c r="C193" t="s">
        <v>1084</v>
      </c>
      <c r="D193" s="1" t="s">
        <v>393</v>
      </c>
      <c r="E193" s="5" t="s">
        <v>393</v>
      </c>
      <c r="F193" s="4" t="str">
        <f>IF(ISNUMBER(Table13[[#This Row],[Claim_Date2]]),"",Table13[[#This Row],[Claim_Date2]])</f>
        <v>Sep 01 2023</v>
      </c>
      <c r="G193" s="4" t="s">
        <v>393</v>
      </c>
      <c r="H193" s="4" t="str">
        <f>LEFT(Table13[[#This Row],[Values Col 1]],3)</f>
        <v>Sep</v>
      </c>
      <c r="I193" s="4" t="s">
        <v>1102</v>
      </c>
      <c r="J193" s="4" t="str">
        <f>MID(Table13[[#This Row],[Function Col]],5,2)</f>
        <v>01</v>
      </c>
      <c r="K193" s="4" t="s">
        <v>1138</v>
      </c>
      <c r="L193" s="4" t="str">
        <f>RIGHT(Table13[[#This Row],[Function Col]],4)</f>
        <v>2023</v>
      </c>
      <c r="M193" s="4" t="s">
        <v>1146</v>
      </c>
      <c r="N193" s="4" t="str">
        <f>IF(Table13[[#This Row],[Function Col5]]="","",_xlfn.CONCAT(Table13[[#This Row],[Day Col]],"/",Table13[[#This Row],[Month Col]],"/",Table13[[#This Row],[Year Col]]))</f>
        <v>01/Sep/2023</v>
      </c>
      <c r="O193" s="4" t="s">
        <v>1208</v>
      </c>
      <c r="P193" s="4" t="str">
        <f>IF(ISNUMBER(Table13[[#This Row],[Claim_Date2]]),Table13[[#This Row],[Claim_Date2]],Table13[[#This Row],[Function Col32]])</f>
        <v>01/Sep/2023</v>
      </c>
      <c r="Q193" s="4">
        <v>45170</v>
      </c>
      <c r="R193" s="1" t="s">
        <v>85</v>
      </c>
      <c r="S193" s="1" t="s">
        <v>53</v>
      </c>
      <c r="T193" s="1" t="s">
        <v>41</v>
      </c>
      <c r="U193" s="1"/>
      <c r="V193" s="1">
        <v>440.83</v>
      </c>
      <c r="W193" s="1">
        <f>IF(Table1[[#This Row],[Claim_Amount]]&lt;0,0,Table1[[#This Row],[Claim_Amount]])</f>
        <v>440.83</v>
      </c>
      <c r="X193" s="1">
        <f>IF(Table1[[#This Row],[Column1]]=0,"",Table1[[#This Row],[Column1]])</f>
        <v>440.83</v>
      </c>
      <c r="Y193" s="1">
        <v>440.83</v>
      </c>
      <c r="Z193" s="1">
        <v>440.83</v>
      </c>
      <c r="AA193">
        <v>832</v>
      </c>
      <c r="AB193" s="1" t="s">
        <v>1091</v>
      </c>
      <c r="AC193" s="1" t="s">
        <v>57</v>
      </c>
      <c r="AD193" s="1">
        <v>9</v>
      </c>
      <c r="AE193" s="3" t="s">
        <v>37</v>
      </c>
    </row>
    <row r="194" spans="1:31" ht="15.75" customHeight="1" x14ac:dyDescent="0.35">
      <c r="A194" s="1" t="s">
        <v>102</v>
      </c>
      <c r="B194" s="1" t="s">
        <v>394</v>
      </c>
      <c r="C194" s="1" t="s">
        <v>395</v>
      </c>
      <c r="D194" s="1" t="s">
        <v>172</v>
      </c>
      <c r="E194" s="5" t="s">
        <v>172</v>
      </c>
      <c r="F194" s="4" t="str">
        <f>IF(ISNUMBER(Table13[[#This Row],[Claim_Date2]]),"",Table13[[#This Row],[Claim_Date2]])</f>
        <v>Feb 10 2023</v>
      </c>
      <c r="G194" s="4" t="s">
        <v>172</v>
      </c>
      <c r="H194" s="4" t="str">
        <f>LEFT(Table13[[#This Row],[Values Col 1]],3)</f>
        <v>Feb</v>
      </c>
      <c r="I194" s="4" t="s">
        <v>1109</v>
      </c>
      <c r="J194" s="4" t="str">
        <f>MID(Table13[[#This Row],[Function Col]],5,2)</f>
        <v>10</v>
      </c>
      <c r="K194" s="4" t="s">
        <v>1128</v>
      </c>
      <c r="L194" s="4" t="str">
        <f>RIGHT(Table13[[#This Row],[Function Col]],4)</f>
        <v>2023</v>
      </c>
      <c r="M194" s="4" t="s">
        <v>1146</v>
      </c>
      <c r="N194" s="4" t="str">
        <f>IF(Table13[[#This Row],[Function Col5]]="","",_xlfn.CONCAT(Table13[[#This Row],[Day Col]],"/",Table13[[#This Row],[Month Col]],"/",Table13[[#This Row],[Year Col]]))</f>
        <v>10/Feb/2023</v>
      </c>
      <c r="O194" s="4" t="s">
        <v>1170</v>
      </c>
      <c r="P194" s="4" t="str">
        <f>IF(ISNUMBER(Table13[[#This Row],[Claim_Date2]]),Table13[[#This Row],[Claim_Date2]],Table13[[#This Row],[Function Col32]])</f>
        <v>10/Feb/2023</v>
      </c>
      <c r="Q194" s="4">
        <v>44967</v>
      </c>
      <c r="R194" s="1" t="s">
        <v>77</v>
      </c>
      <c r="S194" s="1" t="s">
        <v>93</v>
      </c>
      <c r="T194" t="s">
        <v>1086</v>
      </c>
      <c r="W194">
        <f>IF(Table1[[#This Row],[Claim_Amount]]&lt;0,0,Table1[[#This Row],[Claim_Amount]])</f>
        <v>0</v>
      </c>
      <c r="X194" t="str">
        <f>IF(Table1[[#This Row],[Column1]]=0,"",Table1[[#This Row],[Column1]])</f>
        <v/>
      </c>
      <c r="Y194" t="s">
        <v>1098</v>
      </c>
      <c r="Z194">
        <v>2481</v>
      </c>
      <c r="AA194">
        <v>832</v>
      </c>
      <c r="AB194" s="1" t="s">
        <v>25</v>
      </c>
      <c r="AC194" s="1" t="s">
        <v>26</v>
      </c>
      <c r="AD194">
        <v>9</v>
      </c>
      <c r="AE194" s="3" t="s">
        <v>37</v>
      </c>
    </row>
    <row r="195" spans="1:31" ht="15.75" customHeight="1" x14ac:dyDescent="0.35">
      <c r="A195" s="1" t="s">
        <v>20</v>
      </c>
      <c r="B195" t="s">
        <v>1083</v>
      </c>
      <c r="C195" t="s">
        <v>1084</v>
      </c>
      <c r="D195" s="1" t="s">
        <v>396</v>
      </c>
      <c r="E195" s="5" t="s">
        <v>396</v>
      </c>
      <c r="F195" s="4" t="str">
        <f>IF(ISNUMBER(Table13[[#This Row],[Claim_Date2]]),"",Table13[[#This Row],[Claim_Date2]])</f>
        <v>Nov 16 2023</v>
      </c>
      <c r="G195" s="4" t="s">
        <v>396</v>
      </c>
      <c r="H195" s="4" t="str">
        <f>LEFT(Table13[[#This Row],[Values Col 1]],3)</f>
        <v>Nov</v>
      </c>
      <c r="I195" s="4" t="s">
        <v>1105</v>
      </c>
      <c r="J195" s="4" t="str">
        <f>MID(Table13[[#This Row],[Function Col]],5,2)</f>
        <v>16</v>
      </c>
      <c r="K195" s="4" t="s">
        <v>1125</v>
      </c>
      <c r="L195" s="4" t="str">
        <f>RIGHT(Table13[[#This Row],[Function Col]],4)</f>
        <v>2023</v>
      </c>
      <c r="M195" s="4" t="s">
        <v>1146</v>
      </c>
      <c r="N195" s="4" t="str">
        <f>IF(Table13[[#This Row],[Function Col5]]="","",_xlfn.CONCAT(Table13[[#This Row],[Day Col]],"/",Table13[[#This Row],[Month Col]],"/",Table13[[#This Row],[Year Col]]))</f>
        <v>16/Nov/2023</v>
      </c>
      <c r="O195" s="4" t="s">
        <v>1209</v>
      </c>
      <c r="P195" s="4" t="str">
        <f>IF(ISNUMBER(Table13[[#This Row],[Claim_Date2]]),Table13[[#This Row],[Claim_Date2]],Table13[[#This Row],[Function Col32]])</f>
        <v>16/Nov/2023</v>
      </c>
      <c r="Q195" s="4">
        <v>45246</v>
      </c>
      <c r="R195" s="1" t="s">
        <v>30</v>
      </c>
      <c r="S195" s="1" t="s">
        <v>53</v>
      </c>
      <c r="T195" s="1" t="s">
        <v>61</v>
      </c>
      <c r="U195" s="1"/>
      <c r="V195" s="1">
        <v>2101.4899999999998</v>
      </c>
      <c r="W195" s="1">
        <f>IF(Table1[[#This Row],[Claim_Amount]]&lt;0,0,Table1[[#This Row],[Claim_Amount]])</f>
        <v>2101.4899999999998</v>
      </c>
      <c r="X195" s="1">
        <f>IF(Table1[[#This Row],[Column1]]=0,"",Table1[[#This Row],[Column1]])</f>
        <v>2101.4899999999998</v>
      </c>
      <c r="Y195" s="1">
        <v>2101.4899999999998</v>
      </c>
      <c r="Z195" s="1">
        <v>2101.4899999999998</v>
      </c>
      <c r="AA195">
        <v>832</v>
      </c>
      <c r="AB195" s="1" t="s">
        <v>25</v>
      </c>
      <c r="AC195" s="1" t="s">
        <v>32</v>
      </c>
      <c r="AD195">
        <v>9</v>
      </c>
      <c r="AE195" s="3" t="s">
        <v>27</v>
      </c>
    </row>
    <row r="196" spans="1:31" ht="15.75" customHeight="1" x14ac:dyDescent="0.35">
      <c r="A196" s="1" t="s">
        <v>70</v>
      </c>
      <c r="B196" t="s">
        <v>1083</v>
      </c>
      <c r="C196" t="s">
        <v>1084</v>
      </c>
      <c r="D196" s="1" t="s">
        <v>397</v>
      </c>
      <c r="E196" s="5">
        <v>45219</v>
      </c>
      <c r="F196" s="4" t="str">
        <f>IF(ISNUMBER(Table13[[#This Row],[Claim_Date2]]),"",Table13[[#This Row],[Claim_Date2]])</f>
        <v/>
      </c>
      <c r="G196" s="4" t="s">
        <v>1098</v>
      </c>
      <c r="H196" s="4" t="str">
        <f>LEFT(Table13[[#This Row],[Values Col 1]],3)</f>
        <v/>
      </c>
      <c r="I196" s="4" t="s">
        <v>1098</v>
      </c>
      <c r="J196" s="4" t="str">
        <f>MID(Table13[[#This Row],[Function Col]],5,2)</f>
        <v/>
      </c>
      <c r="K196" s="4" t="s">
        <v>1098</v>
      </c>
      <c r="L196" s="4" t="str">
        <f>RIGHT(Table13[[#This Row],[Function Col]],4)</f>
        <v/>
      </c>
      <c r="M196" s="4" t="s">
        <v>1098</v>
      </c>
      <c r="N196" s="4" t="str">
        <f>IF(Table13[[#This Row],[Function Col5]]="","",_xlfn.CONCAT(Table13[[#This Row],[Day Col]],"/",Table13[[#This Row],[Month Col]],"/",Table13[[#This Row],[Year Col]]))</f>
        <v/>
      </c>
      <c r="O196" s="4" t="s">
        <v>1098</v>
      </c>
      <c r="P196" s="4">
        <f>IF(ISNUMBER(Table13[[#This Row],[Claim_Date2]]),Table13[[#This Row],[Claim_Date2]],Table13[[#This Row],[Function Col32]])</f>
        <v>45219</v>
      </c>
      <c r="Q196" s="4">
        <v>45219</v>
      </c>
      <c r="R196" s="1" t="s">
        <v>85</v>
      </c>
      <c r="S196" s="1" t="s">
        <v>31</v>
      </c>
      <c r="T196" s="1" t="s">
        <v>48</v>
      </c>
      <c r="U196" s="1"/>
      <c r="V196" s="1">
        <v>-165</v>
      </c>
      <c r="W196" s="1">
        <f>IF(Table1[[#This Row],[Claim_Amount]]&lt;0,0,Table1[[#This Row],[Claim_Amount]])</f>
        <v>0</v>
      </c>
      <c r="X196" s="1" t="str">
        <f>IF(Table1[[#This Row],[Column1]]=0,"",Table1[[#This Row],[Column1]])</f>
        <v/>
      </c>
      <c r="Y196" s="1" t="s">
        <v>1098</v>
      </c>
      <c r="Z196" s="1">
        <v>2481</v>
      </c>
      <c r="AA196">
        <v>832</v>
      </c>
      <c r="AB196" s="1" t="s">
        <v>17</v>
      </c>
      <c r="AC196" s="1" t="s">
        <v>26</v>
      </c>
      <c r="AD196">
        <v>9</v>
      </c>
      <c r="AE196" s="3" t="s">
        <v>27</v>
      </c>
    </row>
    <row r="197" spans="1:31" ht="15.75" customHeight="1" x14ac:dyDescent="0.35">
      <c r="A197" s="1" t="s">
        <v>242</v>
      </c>
      <c r="B197" t="s">
        <v>1083</v>
      </c>
      <c r="C197" t="s">
        <v>1084</v>
      </c>
      <c r="D197" s="1" t="s">
        <v>398</v>
      </c>
      <c r="E197" s="5" t="s">
        <v>398</v>
      </c>
      <c r="F197" s="4" t="str">
        <f>IF(ISNUMBER(Table13[[#This Row],[Claim_Date2]]),"",Table13[[#This Row],[Claim_Date2]])</f>
        <v>Dec 23 2023</v>
      </c>
      <c r="G197" s="4" t="s">
        <v>398</v>
      </c>
      <c r="H197" s="4" t="str">
        <f>LEFT(Table13[[#This Row],[Values Col 1]],3)</f>
        <v>Dec</v>
      </c>
      <c r="I197" s="4" t="s">
        <v>1111</v>
      </c>
      <c r="J197" s="4" t="str">
        <f>MID(Table13[[#This Row],[Function Col]],5,2)</f>
        <v>23</v>
      </c>
      <c r="K197" s="4" t="s">
        <v>1143</v>
      </c>
      <c r="L197" s="4" t="str">
        <f>RIGHT(Table13[[#This Row],[Function Col]],4)</f>
        <v>2023</v>
      </c>
      <c r="M197" s="4" t="s">
        <v>1146</v>
      </c>
      <c r="N197" s="4" t="str">
        <f>IF(Table13[[#This Row],[Function Col5]]="","",_xlfn.CONCAT(Table13[[#This Row],[Day Col]],"/",Table13[[#This Row],[Month Col]],"/",Table13[[#This Row],[Year Col]]))</f>
        <v>23/Dec/2023</v>
      </c>
      <c r="O197" s="4" t="s">
        <v>1210</v>
      </c>
      <c r="P197" s="4" t="str">
        <f>IF(ISNUMBER(Table13[[#This Row],[Claim_Date2]]),Table13[[#This Row],[Claim_Date2]],Table13[[#This Row],[Function Col32]])</f>
        <v>23/Dec/2023</v>
      </c>
      <c r="Q197" s="4">
        <v>45283</v>
      </c>
      <c r="R197" s="1" t="s">
        <v>16</v>
      </c>
      <c r="S197" s="1" t="s">
        <v>93</v>
      </c>
      <c r="T197" s="1" t="s">
        <v>24</v>
      </c>
      <c r="U197" s="1"/>
      <c r="V197" s="1">
        <v>-200</v>
      </c>
      <c r="W197" s="1">
        <f>IF(Table1[[#This Row],[Claim_Amount]]&lt;0,0,Table1[[#This Row],[Claim_Amount]])</f>
        <v>0</v>
      </c>
      <c r="X197" s="1" t="str">
        <f>IF(Table1[[#This Row],[Column1]]=0,"",Table1[[#This Row],[Column1]])</f>
        <v/>
      </c>
      <c r="Y197" s="1" t="s">
        <v>1098</v>
      </c>
      <c r="Z197" s="1">
        <v>2481</v>
      </c>
      <c r="AA197">
        <v>832</v>
      </c>
      <c r="AB197" s="1" t="s">
        <v>42</v>
      </c>
      <c r="AC197" s="1" t="s">
        <v>1093</v>
      </c>
      <c r="AD197">
        <v>9</v>
      </c>
      <c r="AE197" s="3" t="s">
        <v>19</v>
      </c>
    </row>
    <row r="198" spans="1:31" ht="15.75" customHeight="1" x14ac:dyDescent="0.35">
      <c r="A198" s="1" t="s">
        <v>212</v>
      </c>
      <c r="B198" s="1" t="s">
        <v>399</v>
      </c>
      <c r="C198" t="s">
        <v>1084</v>
      </c>
      <c r="D198" s="1" t="s">
        <v>400</v>
      </c>
      <c r="E198" s="5" t="s">
        <v>400</v>
      </c>
      <c r="F198" s="4" t="str">
        <f>IF(ISNUMBER(Table13[[#This Row],[Claim_Date2]]),"",Table13[[#This Row],[Claim_Date2]])</f>
        <v>Jan 29 2023</v>
      </c>
      <c r="G198" s="4" t="s">
        <v>400</v>
      </c>
      <c r="H198" s="4" t="str">
        <f>LEFT(Table13[[#This Row],[Values Col 1]],3)</f>
        <v>Jan</v>
      </c>
      <c r="I198" s="4" t="s">
        <v>1107</v>
      </c>
      <c r="J198" s="4" t="str">
        <f>MID(Table13[[#This Row],[Function Col]],5,2)</f>
        <v>29</v>
      </c>
      <c r="K198" s="4" t="s">
        <v>1139</v>
      </c>
      <c r="L198" s="4" t="str">
        <f>RIGHT(Table13[[#This Row],[Function Col]],4)</f>
        <v>2023</v>
      </c>
      <c r="M198" s="4" t="s">
        <v>1146</v>
      </c>
      <c r="N198" s="4" t="str">
        <f>IF(Table13[[#This Row],[Function Col5]]="","",_xlfn.CONCAT(Table13[[#This Row],[Day Col]],"/",Table13[[#This Row],[Month Col]],"/",Table13[[#This Row],[Year Col]]))</f>
        <v>29/Jan/2023</v>
      </c>
      <c r="O198" s="4" t="s">
        <v>1211</v>
      </c>
      <c r="P198" s="4" t="str">
        <f>IF(ISNUMBER(Table13[[#This Row],[Claim_Date2]]),Table13[[#This Row],[Claim_Date2]],Table13[[#This Row],[Function Col32]])</f>
        <v>29/Jan/2023</v>
      </c>
      <c r="Q198" s="4">
        <v>44955</v>
      </c>
      <c r="R198" s="1" t="s">
        <v>85</v>
      </c>
      <c r="S198" s="1" t="s">
        <v>93</v>
      </c>
      <c r="T198" s="1" t="s">
        <v>61</v>
      </c>
      <c r="U198" s="1"/>
      <c r="V198" s="1">
        <v>-139</v>
      </c>
      <c r="W198" s="1">
        <f>IF(Table1[[#This Row],[Claim_Amount]]&lt;0,0,Table1[[#This Row],[Claim_Amount]])</f>
        <v>0</v>
      </c>
      <c r="X198" s="1" t="str">
        <f>IF(Table1[[#This Row],[Column1]]=0,"",Table1[[#This Row],[Column1]])</f>
        <v/>
      </c>
      <c r="Y198" s="1" t="s">
        <v>1098</v>
      </c>
      <c r="Z198" s="1">
        <v>2481</v>
      </c>
      <c r="AA198">
        <v>832</v>
      </c>
      <c r="AB198" s="1" t="s">
        <v>1091</v>
      </c>
      <c r="AC198" s="1" t="s">
        <v>26</v>
      </c>
      <c r="AD198" s="1">
        <v>11</v>
      </c>
      <c r="AE198" s="3" t="s">
        <v>65</v>
      </c>
    </row>
    <row r="199" spans="1:31" ht="15.75" customHeight="1" x14ac:dyDescent="0.35">
      <c r="A199" s="1" t="s">
        <v>82</v>
      </c>
      <c r="B199" s="1" t="s">
        <v>146</v>
      </c>
      <c r="C199" s="1" t="s">
        <v>152</v>
      </c>
      <c r="D199" s="1" t="s">
        <v>401</v>
      </c>
      <c r="E199" s="5">
        <v>45287</v>
      </c>
      <c r="F199" s="4" t="str">
        <f>IF(ISNUMBER(Table13[[#This Row],[Claim_Date2]]),"",Table13[[#This Row],[Claim_Date2]])</f>
        <v/>
      </c>
      <c r="G199" s="4" t="s">
        <v>1098</v>
      </c>
      <c r="H199" s="4" t="str">
        <f>LEFT(Table13[[#This Row],[Values Col 1]],3)</f>
        <v/>
      </c>
      <c r="I199" s="4" t="s">
        <v>1098</v>
      </c>
      <c r="J199" s="4" t="str">
        <f>MID(Table13[[#This Row],[Function Col]],5,2)</f>
        <v/>
      </c>
      <c r="K199" s="4" t="s">
        <v>1098</v>
      </c>
      <c r="L199" s="4" t="str">
        <f>RIGHT(Table13[[#This Row],[Function Col]],4)</f>
        <v/>
      </c>
      <c r="M199" s="4" t="s">
        <v>1098</v>
      </c>
      <c r="N199" s="4" t="str">
        <f>IF(Table13[[#This Row],[Function Col5]]="","",_xlfn.CONCAT(Table13[[#This Row],[Day Col]],"/",Table13[[#This Row],[Month Col]],"/",Table13[[#This Row],[Year Col]]))</f>
        <v/>
      </c>
      <c r="O199" s="4" t="s">
        <v>1098</v>
      </c>
      <c r="P199" s="4">
        <f>IF(ISNUMBER(Table13[[#This Row],[Claim_Date2]]),Table13[[#This Row],[Claim_Date2]],Table13[[#This Row],[Function Col32]])</f>
        <v>45287</v>
      </c>
      <c r="Q199" s="4">
        <v>45287</v>
      </c>
      <c r="R199" s="1" t="s">
        <v>92</v>
      </c>
      <c r="S199" s="1" t="s">
        <v>53</v>
      </c>
      <c r="T199" s="1" t="s">
        <v>54</v>
      </c>
      <c r="U199" s="1"/>
      <c r="V199" s="1">
        <v>2014.86</v>
      </c>
      <c r="W199" s="1">
        <f>IF(Table1[[#This Row],[Claim_Amount]]&lt;0,0,Table1[[#This Row],[Claim_Amount]])</f>
        <v>2014.86</v>
      </c>
      <c r="X199" s="1">
        <f>IF(Table1[[#This Row],[Column1]]=0,"",Table1[[#This Row],[Column1]])</f>
        <v>2014.86</v>
      </c>
      <c r="Y199" s="1">
        <v>2014.86</v>
      </c>
      <c r="Z199" s="1">
        <v>2014.86</v>
      </c>
      <c r="AA199">
        <v>832</v>
      </c>
      <c r="AB199" s="1" t="s">
        <v>1091</v>
      </c>
      <c r="AC199" s="1" t="s">
        <v>1093</v>
      </c>
      <c r="AD199">
        <v>9</v>
      </c>
      <c r="AE199" s="3" t="s">
        <v>1097</v>
      </c>
    </row>
    <row r="200" spans="1:31" ht="15.75" customHeight="1" x14ac:dyDescent="0.35">
      <c r="A200" s="1" t="s">
        <v>20</v>
      </c>
      <c r="B200" t="s">
        <v>1083</v>
      </c>
      <c r="C200" t="s">
        <v>1084</v>
      </c>
      <c r="D200" s="1" t="s">
        <v>402</v>
      </c>
      <c r="E200" s="5">
        <v>45279</v>
      </c>
      <c r="F200" s="4" t="str">
        <f>IF(ISNUMBER(Table13[[#This Row],[Claim_Date2]]),"",Table13[[#This Row],[Claim_Date2]])</f>
        <v/>
      </c>
      <c r="G200" s="4" t="s">
        <v>1098</v>
      </c>
      <c r="H200" s="4" t="str">
        <f>LEFT(Table13[[#This Row],[Values Col 1]],3)</f>
        <v/>
      </c>
      <c r="I200" s="4" t="s">
        <v>1098</v>
      </c>
      <c r="J200" s="4" t="str">
        <f>MID(Table13[[#This Row],[Function Col]],5,2)</f>
        <v/>
      </c>
      <c r="K200" s="4" t="s">
        <v>1098</v>
      </c>
      <c r="L200" s="4" t="str">
        <f>RIGHT(Table13[[#This Row],[Function Col]],4)</f>
        <v/>
      </c>
      <c r="M200" s="4" t="s">
        <v>1098</v>
      </c>
      <c r="N200" s="4" t="str">
        <f>IF(Table13[[#This Row],[Function Col5]]="","",_xlfn.CONCAT(Table13[[#This Row],[Day Col]],"/",Table13[[#This Row],[Month Col]],"/",Table13[[#This Row],[Year Col]]))</f>
        <v/>
      </c>
      <c r="O200" s="4" t="s">
        <v>1098</v>
      </c>
      <c r="P200" s="4">
        <f>IF(ISNUMBER(Table13[[#This Row],[Claim_Date2]]),Table13[[#This Row],[Claim_Date2]],Table13[[#This Row],[Function Col32]])</f>
        <v>45279</v>
      </c>
      <c r="Q200" s="4">
        <v>45279</v>
      </c>
      <c r="R200" s="1" t="s">
        <v>77</v>
      </c>
      <c r="S200" s="1" t="s">
        <v>23</v>
      </c>
      <c r="T200" s="1" t="s">
        <v>24</v>
      </c>
      <c r="U200" s="1"/>
      <c r="W200">
        <f>IF(Table1[[#This Row],[Claim_Amount]]&lt;0,0,Table1[[#This Row],[Claim_Amount]])</f>
        <v>0</v>
      </c>
      <c r="X200" t="str">
        <f>IF(Table1[[#This Row],[Column1]]=0,"",Table1[[#This Row],[Column1]])</f>
        <v/>
      </c>
      <c r="Y200" t="s">
        <v>1098</v>
      </c>
      <c r="Z200">
        <v>2481</v>
      </c>
      <c r="AA200">
        <v>832</v>
      </c>
      <c r="AB200" s="1" t="s">
        <v>17</v>
      </c>
      <c r="AC200" s="1" t="s">
        <v>32</v>
      </c>
      <c r="AD200">
        <v>9</v>
      </c>
      <c r="AE200" s="3" t="s">
        <v>1097</v>
      </c>
    </row>
    <row r="201" spans="1:31" ht="15.75" customHeight="1" x14ac:dyDescent="0.35">
      <c r="A201" s="1" t="s">
        <v>105</v>
      </c>
      <c r="B201" t="s">
        <v>1083</v>
      </c>
      <c r="C201" t="s">
        <v>1084</v>
      </c>
      <c r="D201" s="1" t="s">
        <v>403</v>
      </c>
      <c r="E201" s="5" t="s">
        <v>403</v>
      </c>
      <c r="F201" s="4" t="str">
        <f>IF(ISNUMBER(Table13[[#This Row],[Claim_Date2]]),"",Table13[[#This Row],[Claim_Date2]])</f>
        <v>Mar 30 2023</v>
      </c>
      <c r="G201" s="4" t="s">
        <v>403</v>
      </c>
      <c r="H201" s="4" t="str">
        <f>LEFT(Table13[[#This Row],[Values Col 1]],3)</f>
        <v>Mar</v>
      </c>
      <c r="I201" s="4" t="s">
        <v>1100</v>
      </c>
      <c r="J201" s="4" t="str">
        <f>MID(Table13[[#This Row],[Function Col]],5,2)</f>
        <v>30</v>
      </c>
      <c r="K201" s="4" t="s">
        <v>1126</v>
      </c>
      <c r="L201" s="4" t="str">
        <f>RIGHT(Table13[[#This Row],[Function Col]],4)</f>
        <v>2023</v>
      </c>
      <c r="M201" s="4" t="s">
        <v>1146</v>
      </c>
      <c r="N201" s="4" t="str">
        <f>IF(Table13[[#This Row],[Function Col5]]="","",_xlfn.CONCAT(Table13[[#This Row],[Day Col]],"/",Table13[[#This Row],[Month Col]],"/",Table13[[#This Row],[Year Col]]))</f>
        <v>30/Mar/2023</v>
      </c>
      <c r="O201" s="4" t="s">
        <v>1212</v>
      </c>
      <c r="P201" s="4" t="str">
        <f>IF(ISNUMBER(Table13[[#This Row],[Claim_Date2]]),Table13[[#This Row],[Claim_Date2]],Table13[[#This Row],[Function Col32]])</f>
        <v>30/Mar/2023</v>
      </c>
      <c r="Q201" s="4">
        <v>45015</v>
      </c>
      <c r="R201" s="1" t="s">
        <v>85</v>
      </c>
      <c r="S201" s="1" t="s">
        <v>23</v>
      </c>
      <c r="T201" s="1" t="s">
        <v>24</v>
      </c>
      <c r="U201" s="1"/>
      <c r="W201">
        <f>IF(Table1[[#This Row],[Claim_Amount]]&lt;0,0,Table1[[#This Row],[Claim_Amount]])</f>
        <v>0</v>
      </c>
      <c r="X201" t="str">
        <f>IF(Table1[[#This Row],[Column1]]=0,"",Table1[[#This Row],[Column1]])</f>
        <v/>
      </c>
      <c r="Y201" t="s">
        <v>1098</v>
      </c>
      <c r="Z201">
        <v>2481</v>
      </c>
      <c r="AA201">
        <v>832</v>
      </c>
      <c r="AB201" s="1" t="s">
        <v>42</v>
      </c>
      <c r="AC201" s="1" t="s">
        <v>1093</v>
      </c>
      <c r="AD201" s="1">
        <v>16</v>
      </c>
      <c r="AE201" s="3" t="s">
        <v>37</v>
      </c>
    </row>
    <row r="202" spans="1:31" ht="15.75" customHeight="1" x14ac:dyDescent="0.35">
      <c r="A202" s="1" t="s">
        <v>192</v>
      </c>
      <c r="B202" t="s">
        <v>1083</v>
      </c>
      <c r="C202" t="s">
        <v>1084</v>
      </c>
      <c r="D202" s="1" t="s">
        <v>404</v>
      </c>
      <c r="E202" s="5" t="s">
        <v>404</v>
      </c>
      <c r="F202" s="4" t="str">
        <f>IF(ISNUMBER(Table13[[#This Row],[Claim_Date2]]),"",Table13[[#This Row],[Claim_Date2]])</f>
        <v>Jan 04 2023</v>
      </c>
      <c r="G202" s="4" t="s">
        <v>404</v>
      </c>
      <c r="H202" s="4" t="str">
        <f>LEFT(Table13[[#This Row],[Values Col 1]],3)</f>
        <v>Jan</v>
      </c>
      <c r="I202" s="4" t="s">
        <v>1107</v>
      </c>
      <c r="J202" s="4" t="str">
        <f>MID(Table13[[#This Row],[Function Col]],5,2)</f>
        <v>04</v>
      </c>
      <c r="K202" s="4" t="s">
        <v>1142</v>
      </c>
      <c r="L202" s="4" t="str">
        <f>RIGHT(Table13[[#This Row],[Function Col]],4)</f>
        <v>2023</v>
      </c>
      <c r="M202" s="4" t="s">
        <v>1146</v>
      </c>
      <c r="N202" s="4" t="str">
        <f>IF(Table13[[#This Row],[Function Col5]]="","",_xlfn.CONCAT(Table13[[#This Row],[Day Col]],"/",Table13[[#This Row],[Month Col]],"/",Table13[[#This Row],[Year Col]]))</f>
        <v>04/Jan/2023</v>
      </c>
      <c r="O202" s="4" t="s">
        <v>1213</v>
      </c>
      <c r="P202" s="4" t="str">
        <f>IF(ISNUMBER(Table13[[#This Row],[Claim_Date2]]),Table13[[#This Row],[Claim_Date2]],Table13[[#This Row],[Function Col32]])</f>
        <v>04/Jan/2023</v>
      </c>
      <c r="Q202" s="4">
        <v>44930</v>
      </c>
      <c r="R202" s="1" t="s">
        <v>16</v>
      </c>
      <c r="S202" s="1" t="s">
        <v>31</v>
      </c>
      <c r="T202" s="1" t="s">
        <v>54</v>
      </c>
      <c r="U202" s="1"/>
      <c r="W202">
        <f>IF(Table1[[#This Row],[Claim_Amount]]&lt;0,0,Table1[[#This Row],[Claim_Amount]])</f>
        <v>0</v>
      </c>
      <c r="X202" t="str">
        <f>IF(Table1[[#This Row],[Column1]]=0,"",Table1[[#This Row],[Column1]])</f>
        <v/>
      </c>
      <c r="Y202" t="s">
        <v>1098</v>
      </c>
      <c r="Z202">
        <v>2481</v>
      </c>
      <c r="AA202" s="1">
        <v>1527.46</v>
      </c>
      <c r="AB202" s="1" t="s">
        <v>25</v>
      </c>
      <c r="AC202" s="1" t="s">
        <v>26</v>
      </c>
      <c r="AD202">
        <v>9</v>
      </c>
      <c r="AE202" s="3" t="s">
        <v>27</v>
      </c>
    </row>
    <row r="203" spans="1:31" ht="15.75" customHeight="1" x14ac:dyDescent="0.35">
      <c r="A203" s="1" t="s">
        <v>38</v>
      </c>
      <c r="B203" t="s">
        <v>1083</v>
      </c>
      <c r="C203" t="s">
        <v>1084</v>
      </c>
      <c r="D203" s="1" t="s">
        <v>405</v>
      </c>
      <c r="E203" s="5">
        <v>45023</v>
      </c>
      <c r="F203" s="4" t="str">
        <f>IF(ISNUMBER(Table13[[#This Row],[Claim_Date2]]),"",Table13[[#This Row],[Claim_Date2]])</f>
        <v/>
      </c>
      <c r="G203" s="4" t="s">
        <v>1098</v>
      </c>
      <c r="H203" s="4" t="str">
        <f>LEFT(Table13[[#This Row],[Values Col 1]],3)</f>
        <v/>
      </c>
      <c r="I203" s="4" t="s">
        <v>1098</v>
      </c>
      <c r="J203" s="4" t="str">
        <f>MID(Table13[[#This Row],[Function Col]],5,2)</f>
        <v/>
      </c>
      <c r="K203" s="4" t="s">
        <v>1098</v>
      </c>
      <c r="L203" s="4" t="str">
        <f>RIGHT(Table13[[#This Row],[Function Col]],4)</f>
        <v/>
      </c>
      <c r="M203" s="4" t="s">
        <v>1098</v>
      </c>
      <c r="N203" s="4" t="str">
        <f>IF(Table13[[#This Row],[Function Col5]]="","",_xlfn.CONCAT(Table13[[#This Row],[Day Col]],"/",Table13[[#This Row],[Month Col]],"/",Table13[[#This Row],[Year Col]]))</f>
        <v/>
      </c>
      <c r="O203" s="4" t="s">
        <v>1098</v>
      </c>
      <c r="P203" s="4">
        <f>IF(ISNUMBER(Table13[[#This Row],[Claim_Date2]]),Table13[[#This Row],[Claim_Date2]],Table13[[#This Row],[Function Col32]])</f>
        <v>45023</v>
      </c>
      <c r="Q203" s="4">
        <v>45023</v>
      </c>
      <c r="R203" s="1" t="s">
        <v>16</v>
      </c>
      <c r="S203" s="1" t="s">
        <v>47</v>
      </c>
      <c r="T203" s="1" t="s">
        <v>48</v>
      </c>
      <c r="U203" s="1"/>
      <c r="W203">
        <f>IF(Table1[[#This Row],[Claim_Amount]]&lt;0,0,Table1[[#This Row],[Claim_Amount]])</f>
        <v>0</v>
      </c>
      <c r="X203" t="str">
        <f>IF(Table1[[#This Row],[Column1]]=0,"",Table1[[#This Row],[Column1]])</f>
        <v/>
      </c>
      <c r="Y203" t="s">
        <v>1098</v>
      </c>
      <c r="Z203">
        <v>2481</v>
      </c>
      <c r="AA203">
        <v>832</v>
      </c>
      <c r="AB203" s="1" t="s">
        <v>25</v>
      </c>
      <c r="AC203" s="1" t="s">
        <v>32</v>
      </c>
      <c r="AD203">
        <v>9</v>
      </c>
      <c r="AE203" s="3" t="s">
        <v>37</v>
      </c>
    </row>
    <row r="204" spans="1:31" ht="15.75" customHeight="1" x14ac:dyDescent="0.35">
      <c r="A204" s="1" t="s">
        <v>33</v>
      </c>
      <c r="B204" s="1" t="s">
        <v>406</v>
      </c>
      <c r="C204" s="1" t="s">
        <v>221</v>
      </c>
      <c r="D204" s="1" t="s">
        <v>407</v>
      </c>
      <c r="E204" s="5" t="s">
        <v>407</v>
      </c>
      <c r="F204" s="4" t="str">
        <f>IF(ISNUMBER(Table13[[#This Row],[Claim_Date2]]),"",Table13[[#This Row],[Claim_Date2]])</f>
        <v>Apr 24 2023</v>
      </c>
      <c r="G204" s="4" t="s">
        <v>407</v>
      </c>
      <c r="H204" s="4" t="str">
        <f>LEFT(Table13[[#This Row],[Values Col 1]],3)</f>
        <v>Apr</v>
      </c>
      <c r="I204" s="4" t="s">
        <v>1104</v>
      </c>
      <c r="J204" s="4" t="str">
        <f>MID(Table13[[#This Row],[Function Col]],5,2)</f>
        <v>24</v>
      </c>
      <c r="K204" s="4" t="s">
        <v>1115</v>
      </c>
      <c r="L204" s="4" t="str">
        <f>RIGHT(Table13[[#This Row],[Function Col]],4)</f>
        <v>2023</v>
      </c>
      <c r="M204" s="4" t="s">
        <v>1146</v>
      </c>
      <c r="N204" s="4" t="str">
        <f>IF(Table13[[#This Row],[Function Col5]]="","",_xlfn.CONCAT(Table13[[#This Row],[Day Col]],"/",Table13[[#This Row],[Month Col]],"/",Table13[[#This Row],[Year Col]]))</f>
        <v>24/Apr/2023</v>
      </c>
      <c r="O204" s="4" t="s">
        <v>1214</v>
      </c>
      <c r="P204" s="4" t="str">
        <f>IF(ISNUMBER(Table13[[#This Row],[Claim_Date2]]),Table13[[#This Row],[Claim_Date2]],Table13[[#This Row],[Function Col32]])</f>
        <v>24/Apr/2023</v>
      </c>
      <c r="Q204" s="4">
        <v>45040</v>
      </c>
      <c r="R204" s="1" t="s">
        <v>30</v>
      </c>
      <c r="S204" t="s">
        <v>1085</v>
      </c>
      <c r="T204" s="1" t="s">
        <v>48</v>
      </c>
      <c r="U204" s="1"/>
      <c r="W204">
        <f>IF(Table1[[#This Row],[Claim_Amount]]&lt;0,0,Table1[[#This Row],[Claim_Amount]])</f>
        <v>0</v>
      </c>
      <c r="X204" t="str">
        <f>IF(Table1[[#This Row],[Column1]]=0,"",Table1[[#This Row],[Column1]])</f>
        <v/>
      </c>
      <c r="Y204" t="s">
        <v>1098</v>
      </c>
      <c r="Z204">
        <v>2481</v>
      </c>
      <c r="AA204" s="1">
        <v>2561.21</v>
      </c>
      <c r="AB204" s="1" t="s">
        <v>1091</v>
      </c>
      <c r="AC204" s="1" t="s">
        <v>18</v>
      </c>
      <c r="AD204" s="1">
        <v>18</v>
      </c>
      <c r="AE204" s="3" t="s">
        <v>37</v>
      </c>
    </row>
    <row r="205" spans="1:31" ht="15.75" customHeight="1" x14ac:dyDescent="0.35">
      <c r="A205" s="1" t="s">
        <v>277</v>
      </c>
      <c r="B205" t="s">
        <v>1083</v>
      </c>
      <c r="C205" s="1" t="s">
        <v>408</v>
      </c>
      <c r="D205" s="1" t="s">
        <v>409</v>
      </c>
      <c r="E205" s="5">
        <v>45275</v>
      </c>
      <c r="F205" s="4" t="str">
        <f>IF(ISNUMBER(Table13[[#This Row],[Claim_Date2]]),"",Table13[[#This Row],[Claim_Date2]])</f>
        <v/>
      </c>
      <c r="G205" s="4" t="s">
        <v>1098</v>
      </c>
      <c r="H205" s="4" t="str">
        <f>LEFT(Table13[[#This Row],[Values Col 1]],3)</f>
        <v/>
      </c>
      <c r="I205" s="4" t="s">
        <v>1098</v>
      </c>
      <c r="J205" s="4" t="str">
        <f>MID(Table13[[#This Row],[Function Col]],5,2)</f>
        <v/>
      </c>
      <c r="K205" s="4" t="s">
        <v>1098</v>
      </c>
      <c r="L205" s="4" t="str">
        <f>RIGHT(Table13[[#This Row],[Function Col]],4)</f>
        <v/>
      </c>
      <c r="M205" s="4" t="s">
        <v>1098</v>
      </c>
      <c r="N205" s="4" t="str">
        <f>IF(Table13[[#This Row],[Function Col5]]="","",_xlfn.CONCAT(Table13[[#This Row],[Day Col]],"/",Table13[[#This Row],[Month Col]],"/",Table13[[#This Row],[Year Col]]))</f>
        <v/>
      </c>
      <c r="O205" s="4" t="s">
        <v>1098</v>
      </c>
      <c r="P205" s="4">
        <f>IF(ISNUMBER(Table13[[#This Row],[Claim_Date2]]),Table13[[#This Row],[Claim_Date2]],Table13[[#This Row],[Function Col32]])</f>
        <v>45275</v>
      </c>
      <c r="Q205" s="4">
        <v>45275</v>
      </c>
      <c r="R205" s="1" t="s">
        <v>85</v>
      </c>
      <c r="S205" s="1" t="s">
        <v>31</v>
      </c>
      <c r="T205" s="1" t="s">
        <v>24</v>
      </c>
      <c r="U205" s="1"/>
      <c r="V205" s="1">
        <v>-88</v>
      </c>
      <c r="W205" s="1">
        <f>IF(Table1[[#This Row],[Claim_Amount]]&lt;0,0,Table1[[#This Row],[Claim_Amount]])</f>
        <v>0</v>
      </c>
      <c r="X205" s="1" t="str">
        <f>IF(Table1[[#This Row],[Column1]]=0,"",Table1[[#This Row],[Column1]])</f>
        <v/>
      </c>
      <c r="Y205" s="1" t="s">
        <v>1098</v>
      </c>
      <c r="Z205" s="1">
        <v>2481</v>
      </c>
      <c r="AA205">
        <v>832</v>
      </c>
      <c r="AB205" s="1" t="s">
        <v>42</v>
      </c>
      <c r="AC205" s="1" t="s">
        <v>32</v>
      </c>
      <c r="AD205">
        <v>9</v>
      </c>
      <c r="AE205" s="3" t="s">
        <v>37</v>
      </c>
    </row>
    <row r="206" spans="1:31" ht="15.75" customHeight="1" x14ac:dyDescent="0.35">
      <c r="A206" s="1" t="s">
        <v>55</v>
      </c>
      <c r="B206" s="1" t="s">
        <v>410</v>
      </c>
      <c r="C206" s="1" t="s">
        <v>308</v>
      </c>
      <c r="D206" s="1" t="s">
        <v>411</v>
      </c>
      <c r="E206" s="5">
        <v>45168</v>
      </c>
      <c r="F206" s="4" t="str">
        <f>IF(ISNUMBER(Table13[[#This Row],[Claim_Date2]]),"",Table13[[#This Row],[Claim_Date2]])</f>
        <v/>
      </c>
      <c r="G206" s="4" t="s">
        <v>1098</v>
      </c>
      <c r="H206" s="4" t="str">
        <f>LEFT(Table13[[#This Row],[Values Col 1]],3)</f>
        <v/>
      </c>
      <c r="I206" s="4" t="s">
        <v>1098</v>
      </c>
      <c r="J206" s="4" t="str">
        <f>MID(Table13[[#This Row],[Function Col]],5,2)</f>
        <v/>
      </c>
      <c r="K206" s="4" t="s">
        <v>1098</v>
      </c>
      <c r="L206" s="4" t="str">
        <f>RIGHT(Table13[[#This Row],[Function Col]],4)</f>
        <v/>
      </c>
      <c r="M206" s="4" t="s">
        <v>1098</v>
      </c>
      <c r="N206" s="4" t="str">
        <f>IF(Table13[[#This Row],[Function Col5]]="","",_xlfn.CONCAT(Table13[[#This Row],[Day Col]],"/",Table13[[#This Row],[Month Col]],"/",Table13[[#This Row],[Year Col]]))</f>
        <v/>
      </c>
      <c r="O206" s="4" t="s">
        <v>1098</v>
      </c>
      <c r="P206" s="4">
        <f>IF(ISNUMBER(Table13[[#This Row],[Claim_Date2]]),Table13[[#This Row],[Claim_Date2]],Table13[[#This Row],[Function Col32]])</f>
        <v>45168</v>
      </c>
      <c r="Q206" s="4">
        <v>45168</v>
      </c>
      <c r="R206" s="1" t="s">
        <v>85</v>
      </c>
      <c r="S206" t="s">
        <v>1085</v>
      </c>
      <c r="T206" s="1" t="s">
        <v>48</v>
      </c>
      <c r="U206" s="1"/>
      <c r="V206" s="1">
        <v>2672.7</v>
      </c>
      <c r="W206" s="1">
        <f>IF(Table1[[#This Row],[Claim_Amount]]&lt;0,0,Table1[[#This Row],[Claim_Amount]])</f>
        <v>2672.7</v>
      </c>
      <c r="X206" s="1">
        <f>IF(Table1[[#This Row],[Column1]]=0,"",Table1[[#This Row],[Column1]])</f>
        <v>2672.7</v>
      </c>
      <c r="Y206" s="1">
        <v>2672.7</v>
      </c>
      <c r="Z206" s="1">
        <v>2672.7</v>
      </c>
      <c r="AA206" s="1">
        <v>4360.7</v>
      </c>
      <c r="AB206" s="1" t="s">
        <v>17</v>
      </c>
      <c r="AC206" s="1" t="s">
        <v>18</v>
      </c>
      <c r="AD206">
        <v>9</v>
      </c>
      <c r="AE206" s="3" t="s">
        <v>1097</v>
      </c>
    </row>
    <row r="207" spans="1:31" ht="15.75" customHeight="1" x14ac:dyDescent="0.35">
      <c r="A207" s="1" t="s">
        <v>173</v>
      </c>
      <c r="B207" t="s">
        <v>1083</v>
      </c>
      <c r="C207" s="1" t="s">
        <v>314</v>
      </c>
      <c r="D207" s="1" t="s">
        <v>412</v>
      </c>
      <c r="E207" s="5" t="s">
        <v>412</v>
      </c>
      <c r="F207" s="4" t="str">
        <f>IF(ISNUMBER(Table13[[#This Row],[Claim_Date2]]),"",Table13[[#This Row],[Claim_Date2]])</f>
        <v>Jun 20 2023</v>
      </c>
      <c r="G207" s="4" t="s">
        <v>412</v>
      </c>
      <c r="H207" s="4" t="str">
        <f>LEFT(Table13[[#This Row],[Values Col 1]],3)</f>
        <v>Jun</v>
      </c>
      <c r="I207" s="4" t="s">
        <v>1108</v>
      </c>
      <c r="J207" s="4" t="str">
        <f>MID(Table13[[#This Row],[Function Col]],5,2)</f>
        <v>20</v>
      </c>
      <c r="K207" s="4" t="s">
        <v>1118</v>
      </c>
      <c r="L207" s="4" t="str">
        <f>RIGHT(Table13[[#This Row],[Function Col]],4)</f>
        <v>2023</v>
      </c>
      <c r="M207" s="4" t="s">
        <v>1146</v>
      </c>
      <c r="N207" s="4" t="str">
        <f>IF(Table13[[#This Row],[Function Col5]]="","",_xlfn.CONCAT(Table13[[#This Row],[Day Col]],"/",Table13[[#This Row],[Month Col]],"/",Table13[[#This Row],[Year Col]]))</f>
        <v>20/Jun/2023</v>
      </c>
      <c r="O207" s="4" t="s">
        <v>1215</v>
      </c>
      <c r="P207" s="4" t="str">
        <f>IF(ISNUMBER(Table13[[#This Row],[Claim_Date2]]),Table13[[#This Row],[Claim_Date2]],Table13[[#This Row],[Function Col32]])</f>
        <v>20/Jun/2023</v>
      </c>
      <c r="Q207" s="4">
        <v>45097</v>
      </c>
      <c r="R207" s="1" t="s">
        <v>85</v>
      </c>
      <c r="S207" s="1" t="s">
        <v>31</v>
      </c>
      <c r="T207" t="s">
        <v>1086</v>
      </c>
      <c r="W207">
        <f>IF(Table1[[#This Row],[Claim_Amount]]&lt;0,0,Table1[[#This Row],[Claim_Amount]])</f>
        <v>0</v>
      </c>
      <c r="X207" t="str">
        <f>IF(Table1[[#This Row],[Column1]]=0,"",Table1[[#This Row],[Column1]])</f>
        <v/>
      </c>
      <c r="Y207" t="s">
        <v>1098</v>
      </c>
      <c r="Z207">
        <v>2481</v>
      </c>
      <c r="AA207" s="1">
        <v>1086.44</v>
      </c>
      <c r="AB207" s="1" t="s">
        <v>1091</v>
      </c>
      <c r="AC207" s="1" t="s">
        <v>18</v>
      </c>
      <c r="AD207" s="1">
        <v>31</v>
      </c>
      <c r="AE207" s="3" t="s">
        <v>65</v>
      </c>
    </row>
    <row r="208" spans="1:31" ht="15.75" customHeight="1" x14ac:dyDescent="0.35">
      <c r="A208" s="1" t="s">
        <v>110</v>
      </c>
      <c r="B208" t="s">
        <v>1083</v>
      </c>
      <c r="C208" t="s">
        <v>1084</v>
      </c>
      <c r="D208" s="1" t="s">
        <v>413</v>
      </c>
      <c r="E208" s="5">
        <v>45146</v>
      </c>
      <c r="F208" s="4" t="str">
        <f>IF(ISNUMBER(Table13[[#This Row],[Claim_Date2]]),"",Table13[[#This Row],[Claim_Date2]])</f>
        <v/>
      </c>
      <c r="G208" s="4" t="s">
        <v>1098</v>
      </c>
      <c r="H208" s="4" t="str">
        <f>LEFT(Table13[[#This Row],[Values Col 1]],3)</f>
        <v/>
      </c>
      <c r="I208" s="4" t="s">
        <v>1098</v>
      </c>
      <c r="J208" s="4" t="str">
        <f>MID(Table13[[#This Row],[Function Col]],5,2)</f>
        <v/>
      </c>
      <c r="K208" s="4" t="s">
        <v>1098</v>
      </c>
      <c r="L208" s="4" t="str">
        <f>RIGHT(Table13[[#This Row],[Function Col]],4)</f>
        <v/>
      </c>
      <c r="M208" s="4" t="s">
        <v>1098</v>
      </c>
      <c r="N208" s="4" t="str">
        <f>IF(Table13[[#This Row],[Function Col5]]="","",_xlfn.CONCAT(Table13[[#This Row],[Day Col]],"/",Table13[[#This Row],[Month Col]],"/",Table13[[#This Row],[Year Col]]))</f>
        <v/>
      </c>
      <c r="O208" s="4" t="s">
        <v>1098</v>
      </c>
      <c r="P208" s="4">
        <f>IF(ISNUMBER(Table13[[#This Row],[Claim_Date2]]),Table13[[#This Row],[Claim_Date2]],Table13[[#This Row],[Function Col32]])</f>
        <v>45146</v>
      </c>
      <c r="Q208" s="4">
        <v>45146</v>
      </c>
      <c r="R208" s="1" t="s">
        <v>16</v>
      </c>
      <c r="S208" s="1" t="s">
        <v>47</v>
      </c>
      <c r="T208" s="1" t="s">
        <v>24</v>
      </c>
      <c r="U208" s="1"/>
      <c r="W208">
        <f>IF(Table1[[#This Row],[Claim_Amount]]&lt;0,0,Table1[[#This Row],[Claim_Amount]])</f>
        <v>0</v>
      </c>
      <c r="X208" t="str">
        <f>IF(Table1[[#This Row],[Column1]]=0,"",Table1[[#This Row],[Column1]])</f>
        <v/>
      </c>
      <c r="Y208" t="s">
        <v>1098</v>
      </c>
      <c r="Z208">
        <v>2481</v>
      </c>
      <c r="AA208">
        <v>832</v>
      </c>
      <c r="AB208" s="1" t="s">
        <v>17</v>
      </c>
      <c r="AC208" s="1" t="s">
        <v>26</v>
      </c>
      <c r="AD208" s="1">
        <v>43</v>
      </c>
      <c r="AE208" s="3" t="s">
        <v>65</v>
      </c>
    </row>
    <row r="209" spans="1:31" ht="15.75" customHeight="1" x14ac:dyDescent="0.35">
      <c r="A209" s="1" t="s">
        <v>198</v>
      </c>
      <c r="B209" t="s">
        <v>1083</v>
      </c>
      <c r="C209" s="1" t="s">
        <v>414</v>
      </c>
      <c r="D209" s="1" t="s">
        <v>84</v>
      </c>
      <c r="E209" s="5" t="s">
        <v>84</v>
      </c>
      <c r="F209" s="4" t="str">
        <f>IF(ISNUMBER(Table13[[#This Row],[Claim_Date2]]),"",Table13[[#This Row],[Claim_Date2]])</f>
        <v>Sep 15 2023</v>
      </c>
      <c r="G209" s="4" t="s">
        <v>84</v>
      </c>
      <c r="H209" s="4" t="str">
        <f>LEFT(Table13[[#This Row],[Values Col 1]],3)</f>
        <v>Sep</v>
      </c>
      <c r="I209" s="4" t="s">
        <v>1102</v>
      </c>
      <c r="J209" s="4" t="str">
        <f>MID(Table13[[#This Row],[Function Col]],5,2)</f>
        <v>15</v>
      </c>
      <c r="K209" s="4" t="s">
        <v>1116</v>
      </c>
      <c r="L209" s="4" t="str">
        <f>RIGHT(Table13[[#This Row],[Function Col]],4)</f>
        <v>2023</v>
      </c>
      <c r="M209" s="4" t="s">
        <v>1146</v>
      </c>
      <c r="N209" s="4" t="str">
        <f>IF(Table13[[#This Row],[Function Col5]]="","",_xlfn.CONCAT(Table13[[#This Row],[Day Col]],"/",Table13[[#This Row],[Month Col]],"/",Table13[[#This Row],[Year Col]]))</f>
        <v>15/Sep/2023</v>
      </c>
      <c r="O209" s="4" t="s">
        <v>1155</v>
      </c>
      <c r="P209" s="4" t="str">
        <f>IF(ISNUMBER(Table13[[#This Row],[Claim_Date2]]),Table13[[#This Row],[Claim_Date2]],Table13[[#This Row],[Function Col32]])</f>
        <v>15/Sep/2023</v>
      </c>
      <c r="Q209" s="4">
        <v>45184</v>
      </c>
      <c r="R209" s="1" t="s">
        <v>92</v>
      </c>
      <c r="S209" s="1" t="s">
        <v>93</v>
      </c>
      <c r="T209" s="1" t="s">
        <v>61</v>
      </c>
      <c r="U209" s="1"/>
      <c r="W209">
        <f>IF(Table1[[#This Row],[Claim_Amount]]&lt;0,0,Table1[[#This Row],[Claim_Amount]])</f>
        <v>0</v>
      </c>
      <c r="X209" t="str">
        <f>IF(Table1[[#This Row],[Column1]]=0,"",Table1[[#This Row],[Column1]])</f>
        <v/>
      </c>
      <c r="Y209" t="s">
        <v>1098</v>
      </c>
      <c r="Z209">
        <v>2481</v>
      </c>
      <c r="AA209">
        <v>832</v>
      </c>
      <c r="AB209" s="1" t="s">
        <v>1091</v>
      </c>
      <c r="AC209" s="1" t="s">
        <v>57</v>
      </c>
      <c r="AD209">
        <v>9</v>
      </c>
      <c r="AE209" s="3" t="s">
        <v>65</v>
      </c>
    </row>
    <row r="210" spans="1:31" ht="15.75" customHeight="1" x14ac:dyDescent="0.35">
      <c r="A210" s="1" t="s">
        <v>114</v>
      </c>
      <c r="B210" t="s">
        <v>1083</v>
      </c>
      <c r="C210" s="1" t="s">
        <v>63</v>
      </c>
      <c r="D210" s="1" t="s">
        <v>415</v>
      </c>
      <c r="E210" s="5">
        <v>45011</v>
      </c>
      <c r="F210" s="4" t="str">
        <f>IF(ISNUMBER(Table13[[#This Row],[Claim_Date2]]),"",Table13[[#This Row],[Claim_Date2]])</f>
        <v/>
      </c>
      <c r="G210" s="4" t="s">
        <v>1098</v>
      </c>
      <c r="H210" s="4" t="str">
        <f>LEFT(Table13[[#This Row],[Values Col 1]],3)</f>
        <v/>
      </c>
      <c r="I210" s="4" t="s">
        <v>1098</v>
      </c>
      <c r="J210" s="4" t="str">
        <f>MID(Table13[[#This Row],[Function Col]],5,2)</f>
        <v/>
      </c>
      <c r="K210" s="4" t="s">
        <v>1098</v>
      </c>
      <c r="L210" s="4" t="str">
        <f>RIGHT(Table13[[#This Row],[Function Col]],4)</f>
        <v/>
      </c>
      <c r="M210" s="4" t="s">
        <v>1098</v>
      </c>
      <c r="N210" s="4" t="str">
        <f>IF(Table13[[#This Row],[Function Col5]]="","",_xlfn.CONCAT(Table13[[#This Row],[Day Col]],"/",Table13[[#This Row],[Month Col]],"/",Table13[[#This Row],[Year Col]]))</f>
        <v/>
      </c>
      <c r="O210" s="4" t="s">
        <v>1098</v>
      </c>
      <c r="P210" s="4">
        <f>IF(ISNUMBER(Table13[[#This Row],[Claim_Date2]]),Table13[[#This Row],[Claim_Date2]],Table13[[#This Row],[Function Col32]])</f>
        <v>45011</v>
      </c>
      <c r="Q210" s="4">
        <v>45011</v>
      </c>
      <c r="R210" s="1" t="s">
        <v>85</v>
      </c>
      <c r="S210" t="s">
        <v>1085</v>
      </c>
      <c r="T210" s="1" t="s">
        <v>24</v>
      </c>
      <c r="U210" s="1"/>
      <c r="W210">
        <f>IF(Table1[[#This Row],[Claim_Amount]]&lt;0,0,Table1[[#This Row],[Claim_Amount]])</f>
        <v>0</v>
      </c>
      <c r="X210" t="str">
        <f>IF(Table1[[#This Row],[Column1]]=0,"",Table1[[#This Row],[Column1]])</f>
        <v/>
      </c>
      <c r="Y210" t="s">
        <v>1098</v>
      </c>
      <c r="Z210">
        <v>2481</v>
      </c>
      <c r="AA210">
        <v>832</v>
      </c>
      <c r="AB210" s="1" t="s">
        <v>25</v>
      </c>
      <c r="AC210" s="1" t="s">
        <v>1093</v>
      </c>
      <c r="AD210">
        <v>9</v>
      </c>
      <c r="AE210" s="3" t="s">
        <v>27</v>
      </c>
    </row>
    <row r="211" spans="1:31" ht="15.75" customHeight="1" x14ac:dyDescent="0.35">
      <c r="A211" s="1" t="s">
        <v>202</v>
      </c>
      <c r="B211" t="s">
        <v>1083</v>
      </c>
      <c r="C211" s="1" t="s">
        <v>416</v>
      </c>
      <c r="D211" s="1" t="s">
        <v>417</v>
      </c>
      <c r="E211" s="5">
        <v>45265</v>
      </c>
      <c r="F211" s="4" t="str">
        <f>IF(ISNUMBER(Table13[[#This Row],[Claim_Date2]]),"",Table13[[#This Row],[Claim_Date2]])</f>
        <v/>
      </c>
      <c r="G211" s="4" t="s">
        <v>1098</v>
      </c>
      <c r="H211" s="4" t="str">
        <f>LEFT(Table13[[#This Row],[Values Col 1]],3)</f>
        <v/>
      </c>
      <c r="I211" s="4" t="s">
        <v>1098</v>
      </c>
      <c r="J211" s="4" t="str">
        <f>MID(Table13[[#This Row],[Function Col]],5,2)</f>
        <v/>
      </c>
      <c r="K211" s="4" t="s">
        <v>1098</v>
      </c>
      <c r="L211" s="4" t="str">
        <f>RIGHT(Table13[[#This Row],[Function Col]],4)</f>
        <v/>
      </c>
      <c r="M211" s="4" t="s">
        <v>1098</v>
      </c>
      <c r="N211" s="4" t="str">
        <f>IF(Table13[[#This Row],[Function Col5]]="","",_xlfn.CONCAT(Table13[[#This Row],[Day Col]],"/",Table13[[#This Row],[Month Col]],"/",Table13[[#This Row],[Year Col]]))</f>
        <v/>
      </c>
      <c r="O211" s="4" t="s">
        <v>1098</v>
      </c>
      <c r="P211" s="4">
        <f>IF(ISNUMBER(Table13[[#This Row],[Claim_Date2]]),Table13[[#This Row],[Claim_Date2]],Table13[[#This Row],[Function Col32]])</f>
        <v>45265</v>
      </c>
      <c r="Q211" s="4">
        <v>45265</v>
      </c>
      <c r="R211" s="1" t="s">
        <v>16</v>
      </c>
      <c r="S211" t="s">
        <v>1085</v>
      </c>
      <c r="T211" s="1" t="s">
        <v>61</v>
      </c>
      <c r="U211" s="1"/>
      <c r="V211" s="1">
        <v>2113.04</v>
      </c>
      <c r="W211" s="1">
        <f>IF(Table1[[#This Row],[Claim_Amount]]&lt;0,0,Table1[[#This Row],[Claim_Amount]])</f>
        <v>2113.04</v>
      </c>
      <c r="X211" s="1">
        <f>IF(Table1[[#This Row],[Column1]]=0,"",Table1[[#This Row],[Column1]])</f>
        <v>2113.04</v>
      </c>
      <c r="Y211" s="1">
        <v>2113.04</v>
      </c>
      <c r="Z211" s="1">
        <v>2113.04</v>
      </c>
      <c r="AA211">
        <v>832</v>
      </c>
      <c r="AB211" s="1" t="s">
        <v>17</v>
      </c>
      <c r="AC211" s="1" t="s">
        <v>18</v>
      </c>
      <c r="AD211">
        <v>9</v>
      </c>
      <c r="AE211" s="3" t="s">
        <v>19</v>
      </c>
    </row>
    <row r="212" spans="1:31" ht="15.75" customHeight="1" x14ac:dyDescent="0.35">
      <c r="A212" s="1" t="s">
        <v>192</v>
      </c>
      <c r="B212" t="s">
        <v>1083</v>
      </c>
      <c r="C212" t="s">
        <v>1084</v>
      </c>
      <c r="D212" s="1" t="s">
        <v>418</v>
      </c>
      <c r="E212" s="5">
        <v>45245</v>
      </c>
      <c r="F212" s="4" t="str">
        <f>IF(ISNUMBER(Table13[[#This Row],[Claim_Date2]]),"",Table13[[#This Row],[Claim_Date2]])</f>
        <v/>
      </c>
      <c r="G212" s="4" t="s">
        <v>1098</v>
      </c>
      <c r="H212" s="4" t="str">
        <f>LEFT(Table13[[#This Row],[Values Col 1]],3)</f>
        <v/>
      </c>
      <c r="I212" s="4" t="s">
        <v>1098</v>
      </c>
      <c r="J212" s="4" t="str">
        <f>MID(Table13[[#This Row],[Function Col]],5,2)</f>
        <v/>
      </c>
      <c r="K212" s="4" t="s">
        <v>1098</v>
      </c>
      <c r="L212" s="4" t="str">
        <f>RIGHT(Table13[[#This Row],[Function Col]],4)</f>
        <v/>
      </c>
      <c r="M212" s="4" t="s">
        <v>1098</v>
      </c>
      <c r="N212" s="4" t="str">
        <f>IF(Table13[[#This Row],[Function Col5]]="","",_xlfn.CONCAT(Table13[[#This Row],[Day Col]],"/",Table13[[#This Row],[Month Col]],"/",Table13[[#This Row],[Year Col]]))</f>
        <v/>
      </c>
      <c r="O212" s="4" t="s">
        <v>1098</v>
      </c>
      <c r="P212" s="4">
        <f>IF(ISNUMBER(Table13[[#This Row],[Claim_Date2]]),Table13[[#This Row],[Claim_Date2]],Table13[[#This Row],[Function Col32]])</f>
        <v>45245</v>
      </c>
      <c r="Q212" s="4">
        <v>45245</v>
      </c>
      <c r="R212" s="1" t="s">
        <v>77</v>
      </c>
      <c r="S212" s="1" t="s">
        <v>23</v>
      </c>
      <c r="T212" s="1" t="s">
        <v>54</v>
      </c>
      <c r="U212" s="1"/>
      <c r="W212">
        <f>IF(Table1[[#This Row],[Claim_Amount]]&lt;0,0,Table1[[#This Row],[Claim_Amount]])</f>
        <v>0</v>
      </c>
      <c r="X212" t="str">
        <f>IF(Table1[[#This Row],[Column1]]=0,"",Table1[[#This Row],[Column1]])</f>
        <v/>
      </c>
      <c r="Y212" t="s">
        <v>1098</v>
      </c>
      <c r="Z212">
        <v>2481</v>
      </c>
      <c r="AA212" s="1">
        <v>614.36</v>
      </c>
      <c r="AB212" s="1" t="s">
        <v>25</v>
      </c>
      <c r="AC212" s="1" t="s">
        <v>18</v>
      </c>
      <c r="AD212" s="1">
        <v>38</v>
      </c>
      <c r="AE212" s="3" t="s">
        <v>27</v>
      </c>
    </row>
    <row r="213" spans="1:31" ht="15.75" customHeight="1" x14ac:dyDescent="0.35">
      <c r="A213" s="1" t="s">
        <v>302</v>
      </c>
      <c r="B213" t="s">
        <v>1083</v>
      </c>
      <c r="C213" t="s">
        <v>1084</v>
      </c>
      <c r="D213" s="1" t="s">
        <v>419</v>
      </c>
      <c r="E213" s="5" t="s">
        <v>419</v>
      </c>
      <c r="F213" s="4" t="str">
        <f>IF(ISNUMBER(Table13[[#This Row],[Claim_Date2]]),"",Table13[[#This Row],[Claim_Date2]])</f>
        <v>Jan 21 2023</v>
      </c>
      <c r="G213" s="4" t="s">
        <v>419</v>
      </c>
      <c r="H213" s="4" t="str">
        <f>LEFT(Table13[[#This Row],[Values Col 1]],3)</f>
        <v>Jan</v>
      </c>
      <c r="I213" s="4" t="s">
        <v>1107</v>
      </c>
      <c r="J213" s="4" t="str">
        <f>MID(Table13[[#This Row],[Function Col]],5,2)</f>
        <v>21</v>
      </c>
      <c r="K213" s="4" t="s">
        <v>1136</v>
      </c>
      <c r="L213" s="4" t="str">
        <f>RIGHT(Table13[[#This Row],[Function Col]],4)</f>
        <v>2023</v>
      </c>
      <c r="M213" s="4" t="s">
        <v>1146</v>
      </c>
      <c r="N213" s="4" t="str">
        <f>IF(Table13[[#This Row],[Function Col5]]="","",_xlfn.CONCAT(Table13[[#This Row],[Day Col]],"/",Table13[[#This Row],[Month Col]],"/",Table13[[#This Row],[Year Col]]))</f>
        <v>21/Jan/2023</v>
      </c>
      <c r="O213" s="4" t="s">
        <v>1216</v>
      </c>
      <c r="P213" s="4" t="str">
        <f>IF(ISNUMBER(Table13[[#This Row],[Claim_Date2]]),Table13[[#This Row],[Claim_Date2]],Table13[[#This Row],[Function Col32]])</f>
        <v>21/Jan/2023</v>
      </c>
      <c r="Q213" s="4">
        <v>44947</v>
      </c>
      <c r="R213" s="1" t="s">
        <v>77</v>
      </c>
      <c r="S213" s="1" t="s">
        <v>93</v>
      </c>
      <c r="T213" t="s">
        <v>1086</v>
      </c>
      <c r="W213">
        <f>IF(Table1[[#This Row],[Claim_Amount]]&lt;0,0,Table1[[#This Row],[Claim_Amount]])</f>
        <v>0</v>
      </c>
      <c r="X213" t="str">
        <f>IF(Table1[[#This Row],[Column1]]=0,"",Table1[[#This Row],[Column1]])</f>
        <v/>
      </c>
      <c r="Y213" t="s">
        <v>1098</v>
      </c>
      <c r="Z213">
        <v>2481</v>
      </c>
      <c r="AA213">
        <v>832</v>
      </c>
      <c r="AB213" s="1" t="s">
        <v>25</v>
      </c>
      <c r="AC213" s="1" t="s">
        <v>26</v>
      </c>
      <c r="AD213">
        <v>9</v>
      </c>
      <c r="AE213" s="3" t="s">
        <v>37</v>
      </c>
    </row>
    <row r="214" spans="1:31" ht="15.75" customHeight="1" x14ac:dyDescent="0.35">
      <c r="A214" s="1" t="s">
        <v>50</v>
      </c>
      <c r="B214" t="s">
        <v>1083</v>
      </c>
      <c r="C214" s="1" t="s">
        <v>68</v>
      </c>
      <c r="D214" s="1" t="s">
        <v>420</v>
      </c>
      <c r="E214" s="5">
        <v>45256</v>
      </c>
      <c r="F214" s="4" t="str">
        <f>IF(ISNUMBER(Table13[[#This Row],[Claim_Date2]]),"",Table13[[#This Row],[Claim_Date2]])</f>
        <v/>
      </c>
      <c r="G214" s="4" t="s">
        <v>1098</v>
      </c>
      <c r="H214" s="4" t="str">
        <f>LEFT(Table13[[#This Row],[Values Col 1]],3)</f>
        <v/>
      </c>
      <c r="I214" s="4" t="s">
        <v>1098</v>
      </c>
      <c r="J214" s="4" t="str">
        <f>MID(Table13[[#This Row],[Function Col]],5,2)</f>
        <v/>
      </c>
      <c r="K214" s="4" t="s">
        <v>1098</v>
      </c>
      <c r="L214" s="4" t="str">
        <f>RIGHT(Table13[[#This Row],[Function Col]],4)</f>
        <v/>
      </c>
      <c r="M214" s="4" t="s">
        <v>1098</v>
      </c>
      <c r="N214" s="4" t="str">
        <f>IF(Table13[[#This Row],[Function Col5]]="","",_xlfn.CONCAT(Table13[[#This Row],[Day Col]],"/",Table13[[#This Row],[Month Col]],"/",Table13[[#This Row],[Year Col]]))</f>
        <v/>
      </c>
      <c r="O214" s="4" t="s">
        <v>1098</v>
      </c>
      <c r="P214" s="4">
        <f>IF(ISNUMBER(Table13[[#This Row],[Claim_Date2]]),Table13[[#This Row],[Claim_Date2]],Table13[[#This Row],[Function Col32]])</f>
        <v>45256</v>
      </c>
      <c r="Q214" s="4">
        <v>45256</v>
      </c>
      <c r="R214" s="1" t="s">
        <v>92</v>
      </c>
      <c r="S214" s="1" t="s">
        <v>31</v>
      </c>
      <c r="T214" s="1" t="s">
        <v>48</v>
      </c>
      <c r="U214" s="1"/>
      <c r="V214" s="1">
        <v>297.89999999999998</v>
      </c>
      <c r="W214" s="1">
        <f>IF(Table1[[#This Row],[Claim_Amount]]&lt;0,0,Table1[[#This Row],[Claim_Amount]])</f>
        <v>297.89999999999998</v>
      </c>
      <c r="X214" s="1">
        <f>IF(Table1[[#This Row],[Column1]]=0,"",Table1[[#This Row],[Column1]])</f>
        <v>297.89999999999998</v>
      </c>
      <c r="Y214" s="1">
        <v>297.89999999999998</v>
      </c>
      <c r="Z214" s="1">
        <v>297.89999999999998</v>
      </c>
      <c r="AA214">
        <v>832</v>
      </c>
      <c r="AB214" s="1" t="s">
        <v>42</v>
      </c>
      <c r="AC214" s="1" t="s">
        <v>1093</v>
      </c>
      <c r="AD214" s="1">
        <v>47</v>
      </c>
      <c r="AE214" s="3" t="s">
        <v>19</v>
      </c>
    </row>
    <row r="215" spans="1:31" ht="15.75" customHeight="1" x14ac:dyDescent="0.35">
      <c r="A215" s="1" t="s">
        <v>231</v>
      </c>
      <c r="B215" s="1" t="s">
        <v>421</v>
      </c>
      <c r="C215" s="1" t="s">
        <v>422</v>
      </c>
      <c r="D215" s="1" t="s">
        <v>423</v>
      </c>
      <c r="E215" s="5" t="s">
        <v>423</v>
      </c>
      <c r="F215" s="4" t="str">
        <f>IF(ISNUMBER(Table13[[#This Row],[Claim_Date2]]),"",Table13[[#This Row],[Claim_Date2]])</f>
        <v>Aug 13 2023</v>
      </c>
      <c r="G215" s="4" t="s">
        <v>423</v>
      </c>
      <c r="H215" s="4" t="str">
        <f>LEFT(Table13[[#This Row],[Values Col 1]],3)</f>
        <v>Aug</v>
      </c>
      <c r="I215" s="4" t="s">
        <v>1106</v>
      </c>
      <c r="J215" s="4" t="str">
        <f>MID(Table13[[#This Row],[Function Col]],5,2)</f>
        <v>13</v>
      </c>
      <c r="K215" s="4" t="s">
        <v>1114</v>
      </c>
      <c r="L215" s="4" t="str">
        <f>RIGHT(Table13[[#This Row],[Function Col]],4)</f>
        <v>2023</v>
      </c>
      <c r="M215" s="4" t="s">
        <v>1146</v>
      </c>
      <c r="N215" s="4" t="str">
        <f>IF(Table13[[#This Row],[Function Col5]]="","",_xlfn.CONCAT(Table13[[#This Row],[Day Col]],"/",Table13[[#This Row],[Month Col]],"/",Table13[[#This Row],[Year Col]]))</f>
        <v>13/Aug/2023</v>
      </c>
      <c r="O215" s="4" t="s">
        <v>1217</v>
      </c>
      <c r="P215" s="4" t="str">
        <f>IF(ISNUMBER(Table13[[#This Row],[Claim_Date2]]),Table13[[#This Row],[Claim_Date2]],Table13[[#This Row],[Function Col32]])</f>
        <v>13/Aug/2023</v>
      </c>
      <c r="Q215" s="4">
        <v>45151</v>
      </c>
      <c r="R215" s="1" t="s">
        <v>92</v>
      </c>
      <c r="S215" t="s">
        <v>1085</v>
      </c>
      <c r="T215" s="1" t="s">
        <v>61</v>
      </c>
      <c r="U215" s="1"/>
      <c r="W215">
        <f>IF(Table1[[#This Row],[Claim_Amount]]&lt;0,0,Table1[[#This Row],[Claim_Amount]])</f>
        <v>0</v>
      </c>
      <c r="X215" t="str">
        <f>IF(Table1[[#This Row],[Column1]]=0,"",Table1[[#This Row],[Column1]])</f>
        <v/>
      </c>
      <c r="Y215" t="s">
        <v>1098</v>
      </c>
      <c r="Z215">
        <v>2481</v>
      </c>
      <c r="AA215">
        <v>832</v>
      </c>
      <c r="AB215" s="1" t="s">
        <v>25</v>
      </c>
      <c r="AC215" s="1" t="s">
        <v>32</v>
      </c>
      <c r="AD215">
        <v>9</v>
      </c>
      <c r="AE215" s="3" t="s">
        <v>37</v>
      </c>
    </row>
    <row r="216" spans="1:31" ht="15.75" customHeight="1" x14ac:dyDescent="0.35">
      <c r="A216" s="1" t="s">
        <v>70</v>
      </c>
      <c r="B216" s="1" t="s">
        <v>424</v>
      </c>
      <c r="C216" s="1" t="s">
        <v>425</v>
      </c>
      <c r="D216" s="1" t="s">
        <v>426</v>
      </c>
      <c r="E216" s="5">
        <v>45283</v>
      </c>
      <c r="F216" s="4" t="str">
        <f>IF(ISNUMBER(Table13[[#This Row],[Claim_Date2]]),"",Table13[[#This Row],[Claim_Date2]])</f>
        <v/>
      </c>
      <c r="G216" s="4" t="s">
        <v>1098</v>
      </c>
      <c r="H216" s="4" t="str">
        <f>LEFT(Table13[[#This Row],[Values Col 1]],3)</f>
        <v/>
      </c>
      <c r="I216" s="4" t="s">
        <v>1098</v>
      </c>
      <c r="J216" s="4" t="str">
        <f>MID(Table13[[#This Row],[Function Col]],5,2)</f>
        <v/>
      </c>
      <c r="K216" s="4" t="s">
        <v>1098</v>
      </c>
      <c r="L216" s="4" t="str">
        <f>RIGHT(Table13[[#This Row],[Function Col]],4)</f>
        <v/>
      </c>
      <c r="M216" s="4" t="s">
        <v>1098</v>
      </c>
      <c r="N216" s="4" t="str">
        <f>IF(Table13[[#This Row],[Function Col5]]="","",_xlfn.CONCAT(Table13[[#This Row],[Day Col]],"/",Table13[[#This Row],[Month Col]],"/",Table13[[#This Row],[Year Col]]))</f>
        <v/>
      </c>
      <c r="O216" s="4" t="s">
        <v>1098</v>
      </c>
      <c r="P216" s="4">
        <f>IF(ISNUMBER(Table13[[#This Row],[Claim_Date2]]),Table13[[#This Row],[Claim_Date2]],Table13[[#This Row],[Function Col32]])</f>
        <v>45283</v>
      </c>
      <c r="Q216" s="4">
        <v>45283</v>
      </c>
      <c r="R216" s="1" t="s">
        <v>77</v>
      </c>
      <c r="S216" s="1" t="s">
        <v>47</v>
      </c>
      <c r="T216" s="1" t="s">
        <v>48</v>
      </c>
      <c r="U216" s="1"/>
      <c r="V216" s="1">
        <v>-183</v>
      </c>
      <c r="W216" s="1">
        <f>IF(Table1[[#This Row],[Claim_Amount]]&lt;0,0,Table1[[#This Row],[Claim_Amount]])</f>
        <v>0</v>
      </c>
      <c r="X216" s="1" t="str">
        <f>IF(Table1[[#This Row],[Column1]]=0,"",Table1[[#This Row],[Column1]])</f>
        <v/>
      </c>
      <c r="Y216" s="1" t="s">
        <v>1098</v>
      </c>
      <c r="Z216" s="1">
        <v>2481</v>
      </c>
      <c r="AA216">
        <v>832</v>
      </c>
      <c r="AB216" s="1" t="s">
        <v>42</v>
      </c>
      <c r="AC216" s="1" t="s">
        <v>57</v>
      </c>
      <c r="AD216">
        <v>9</v>
      </c>
      <c r="AE216" s="3" t="s">
        <v>65</v>
      </c>
    </row>
    <row r="217" spans="1:31" ht="15.75" customHeight="1" x14ac:dyDescent="0.35">
      <c r="A217" s="1" t="s">
        <v>285</v>
      </c>
      <c r="B217" s="1" t="s">
        <v>427</v>
      </c>
      <c r="C217" t="s">
        <v>1084</v>
      </c>
      <c r="D217" s="1" t="s">
        <v>428</v>
      </c>
      <c r="E217" s="5" t="s">
        <v>428</v>
      </c>
      <c r="F217" s="4" t="str">
        <f>IF(ISNUMBER(Table13[[#This Row],[Claim_Date2]]),"",Table13[[#This Row],[Claim_Date2]])</f>
        <v>May 14 2023</v>
      </c>
      <c r="G217" s="4" t="s">
        <v>428</v>
      </c>
      <c r="H217" s="4" t="str">
        <f>LEFT(Table13[[#This Row],[Values Col 1]],3)</f>
        <v>May</v>
      </c>
      <c r="I217" s="4" t="s">
        <v>1110</v>
      </c>
      <c r="J217" s="4" t="str">
        <f>MID(Table13[[#This Row],[Function Col]],5,2)</f>
        <v>14</v>
      </c>
      <c r="K217" s="4" t="s">
        <v>1131</v>
      </c>
      <c r="L217" s="4" t="str">
        <f>RIGHT(Table13[[#This Row],[Function Col]],4)</f>
        <v>2023</v>
      </c>
      <c r="M217" s="4" t="s">
        <v>1146</v>
      </c>
      <c r="N217" s="4" t="str">
        <f>IF(Table13[[#This Row],[Function Col5]]="","",_xlfn.CONCAT(Table13[[#This Row],[Day Col]],"/",Table13[[#This Row],[Month Col]],"/",Table13[[#This Row],[Year Col]]))</f>
        <v>14/May/2023</v>
      </c>
      <c r="O217" s="4" t="s">
        <v>1218</v>
      </c>
      <c r="P217" s="4" t="str">
        <f>IF(ISNUMBER(Table13[[#This Row],[Claim_Date2]]),Table13[[#This Row],[Claim_Date2]],Table13[[#This Row],[Function Col32]])</f>
        <v>14/May/2023</v>
      </c>
      <c r="Q217" s="4">
        <v>45060</v>
      </c>
      <c r="R217" s="1" t="s">
        <v>92</v>
      </c>
      <c r="S217" s="1" t="s">
        <v>23</v>
      </c>
      <c r="T217" t="s">
        <v>1086</v>
      </c>
      <c r="W217">
        <f>IF(Table1[[#This Row],[Claim_Amount]]&lt;0,0,Table1[[#This Row],[Claim_Amount]])</f>
        <v>0</v>
      </c>
      <c r="X217" t="str">
        <f>IF(Table1[[#This Row],[Column1]]=0,"",Table1[[#This Row],[Column1]])</f>
        <v/>
      </c>
      <c r="Y217" t="s">
        <v>1098</v>
      </c>
      <c r="Z217">
        <v>2481</v>
      </c>
      <c r="AA217">
        <v>832</v>
      </c>
      <c r="AB217" s="1" t="s">
        <v>42</v>
      </c>
      <c r="AC217" s="1" t="s">
        <v>57</v>
      </c>
      <c r="AD217">
        <v>9</v>
      </c>
      <c r="AE217" s="3" t="s">
        <v>1097</v>
      </c>
    </row>
    <row r="218" spans="1:31" ht="15.75" customHeight="1" x14ac:dyDescent="0.35">
      <c r="A218" s="1" t="s">
        <v>108</v>
      </c>
      <c r="B218" t="s">
        <v>1083</v>
      </c>
      <c r="C218" s="1" t="s">
        <v>183</v>
      </c>
      <c r="D218" s="1" t="s">
        <v>429</v>
      </c>
      <c r="E218" s="5" t="s">
        <v>429</v>
      </c>
      <c r="F218" s="4" t="str">
        <f>IF(ISNUMBER(Table13[[#This Row],[Claim_Date2]]),"",Table13[[#This Row],[Claim_Date2]])</f>
        <v>Dec 06 2023</v>
      </c>
      <c r="G218" s="4" t="s">
        <v>429</v>
      </c>
      <c r="H218" s="4" t="str">
        <f>LEFT(Table13[[#This Row],[Values Col 1]],3)</f>
        <v>Dec</v>
      </c>
      <c r="I218" s="4" t="s">
        <v>1111</v>
      </c>
      <c r="J218" s="4" t="str">
        <f>MID(Table13[[#This Row],[Function Col]],5,2)</f>
        <v>06</v>
      </c>
      <c r="K218" s="4" t="s">
        <v>1132</v>
      </c>
      <c r="L218" s="4" t="str">
        <f>RIGHT(Table13[[#This Row],[Function Col]],4)</f>
        <v>2023</v>
      </c>
      <c r="M218" s="4" t="s">
        <v>1146</v>
      </c>
      <c r="N218" s="4" t="str">
        <f>IF(Table13[[#This Row],[Function Col5]]="","",_xlfn.CONCAT(Table13[[#This Row],[Day Col]],"/",Table13[[#This Row],[Month Col]],"/",Table13[[#This Row],[Year Col]]))</f>
        <v>06/Dec/2023</v>
      </c>
      <c r="O218" s="4" t="s">
        <v>1219</v>
      </c>
      <c r="P218" s="4" t="str">
        <f>IF(ISNUMBER(Table13[[#This Row],[Claim_Date2]]),Table13[[#This Row],[Claim_Date2]],Table13[[#This Row],[Function Col32]])</f>
        <v>06/Dec/2023</v>
      </c>
      <c r="Q218" s="4">
        <v>45266</v>
      </c>
      <c r="R218" s="1" t="s">
        <v>16</v>
      </c>
      <c r="S218" s="1" t="s">
        <v>53</v>
      </c>
      <c r="T218" s="1" t="s">
        <v>24</v>
      </c>
      <c r="U218" s="1"/>
      <c r="V218" s="1">
        <v>4203.21</v>
      </c>
      <c r="W218" s="1">
        <f>IF(Table1[[#This Row],[Claim_Amount]]&lt;0,0,Table1[[#This Row],[Claim_Amount]])</f>
        <v>4203.21</v>
      </c>
      <c r="X218" s="1">
        <f>IF(Table1[[#This Row],[Column1]]=0,"",Table1[[#This Row],[Column1]])</f>
        <v>4203.21</v>
      </c>
      <c r="Y218" s="1">
        <v>4203.21</v>
      </c>
      <c r="Z218" s="1">
        <v>4203.21</v>
      </c>
      <c r="AA218" s="1">
        <v>107.64</v>
      </c>
      <c r="AB218" s="1" t="s">
        <v>1091</v>
      </c>
      <c r="AC218" s="1" t="s">
        <v>1093</v>
      </c>
      <c r="AD218">
        <v>9</v>
      </c>
      <c r="AE218" s="3" t="s">
        <v>65</v>
      </c>
    </row>
    <row r="219" spans="1:31" ht="15.75" customHeight="1" x14ac:dyDescent="0.35">
      <c r="A219" s="1" t="s">
        <v>430</v>
      </c>
      <c r="B219" t="s">
        <v>1083</v>
      </c>
      <c r="C219" s="1" t="s">
        <v>139</v>
      </c>
      <c r="D219" s="1" t="s">
        <v>431</v>
      </c>
      <c r="E219" s="5" t="s">
        <v>431</v>
      </c>
      <c r="F219" s="4" t="str">
        <f>IF(ISNUMBER(Table13[[#This Row],[Claim_Date2]]),"",Table13[[#This Row],[Claim_Date2]])</f>
        <v>Jan 26 2023</v>
      </c>
      <c r="G219" s="4" t="s">
        <v>431</v>
      </c>
      <c r="H219" s="4" t="str">
        <f>LEFT(Table13[[#This Row],[Values Col 1]],3)</f>
        <v>Jan</v>
      </c>
      <c r="I219" s="4" t="s">
        <v>1107</v>
      </c>
      <c r="J219" s="4" t="str">
        <f>MID(Table13[[#This Row],[Function Col]],5,2)</f>
        <v>26</v>
      </c>
      <c r="K219" s="4" t="s">
        <v>1117</v>
      </c>
      <c r="L219" s="4" t="str">
        <f>RIGHT(Table13[[#This Row],[Function Col]],4)</f>
        <v>2023</v>
      </c>
      <c r="M219" s="4" t="s">
        <v>1146</v>
      </c>
      <c r="N219" s="4" t="str">
        <f>IF(Table13[[#This Row],[Function Col5]]="","",_xlfn.CONCAT(Table13[[#This Row],[Day Col]],"/",Table13[[#This Row],[Month Col]],"/",Table13[[#This Row],[Year Col]]))</f>
        <v>26/Jan/2023</v>
      </c>
      <c r="O219" s="4" t="s">
        <v>1220</v>
      </c>
      <c r="P219" s="4" t="str">
        <f>IF(ISNUMBER(Table13[[#This Row],[Claim_Date2]]),Table13[[#This Row],[Claim_Date2]],Table13[[#This Row],[Function Col32]])</f>
        <v>26/Jan/2023</v>
      </c>
      <c r="Q219" s="4">
        <v>44952</v>
      </c>
      <c r="R219" s="1" t="s">
        <v>85</v>
      </c>
      <c r="S219" s="1" t="s">
        <v>47</v>
      </c>
      <c r="T219" t="s">
        <v>1086</v>
      </c>
      <c r="V219" s="1">
        <v>1924.26</v>
      </c>
      <c r="W219" s="1">
        <f>IF(Table1[[#This Row],[Claim_Amount]]&lt;0,0,Table1[[#This Row],[Claim_Amount]])</f>
        <v>1924.26</v>
      </c>
      <c r="X219" s="1">
        <f>IF(Table1[[#This Row],[Column1]]=0,"",Table1[[#This Row],[Column1]])</f>
        <v>1924.26</v>
      </c>
      <c r="Y219" s="1">
        <v>1924.26</v>
      </c>
      <c r="Z219" s="1">
        <v>1924.26</v>
      </c>
      <c r="AA219">
        <v>832</v>
      </c>
      <c r="AB219" s="1" t="s">
        <v>25</v>
      </c>
      <c r="AC219" s="1" t="s">
        <v>26</v>
      </c>
      <c r="AD219">
        <v>9</v>
      </c>
      <c r="AE219" s="3" t="s">
        <v>37</v>
      </c>
    </row>
    <row r="220" spans="1:31" ht="15.75" customHeight="1" x14ac:dyDescent="0.35">
      <c r="A220" s="1" t="s">
        <v>58</v>
      </c>
      <c r="B220" t="s">
        <v>1083</v>
      </c>
      <c r="C220" s="1" t="s">
        <v>133</v>
      </c>
      <c r="D220" s="1" t="s">
        <v>432</v>
      </c>
      <c r="E220" s="5">
        <v>44979</v>
      </c>
      <c r="F220" s="4" t="str">
        <f>IF(ISNUMBER(Table13[[#This Row],[Claim_Date2]]),"",Table13[[#This Row],[Claim_Date2]])</f>
        <v/>
      </c>
      <c r="G220" s="4" t="s">
        <v>1098</v>
      </c>
      <c r="H220" s="4" t="str">
        <f>LEFT(Table13[[#This Row],[Values Col 1]],3)</f>
        <v/>
      </c>
      <c r="I220" s="4" t="s">
        <v>1098</v>
      </c>
      <c r="J220" s="4" t="str">
        <f>MID(Table13[[#This Row],[Function Col]],5,2)</f>
        <v/>
      </c>
      <c r="K220" s="4" t="s">
        <v>1098</v>
      </c>
      <c r="L220" s="4" t="str">
        <f>RIGHT(Table13[[#This Row],[Function Col]],4)</f>
        <v/>
      </c>
      <c r="M220" s="4" t="s">
        <v>1098</v>
      </c>
      <c r="N220" s="4" t="str">
        <f>IF(Table13[[#This Row],[Function Col5]]="","",_xlfn.CONCAT(Table13[[#This Row],[Day Col]],"/",Table13[[#This Row],[Month Col]],"/",Table13[[#This Row],[Year Col]]))</f>
        <v/>
      </c>
      <c r="O220" s="4" t="s">
        <v>1098</v>
      </c>
      <c r="P220" s="4">
        <f>IF(ISNUMBER(Table13[[#This Row],[Claim_Date2]]),Table13[[#This Row],[Claim_Date2]],Table13[[#This Row],[Function Col32]])</f>
        <v>44979</v>
      </c>
      <c r="Q220" s="4">
        <v>44979</v>
      </c>
      <c r="R220" s="1" t="s">
        <v>30</v>
      </c>
      <c r="S220" s="1" t="s">
        <v>47</v>
      </c>
      <c r="T220" s="1" t="s">
        <v>61</v>
      </c>
      <c r="U220" s="1"/>
      <c r="W220">
        <f>IF(Table1[[#This Row],[Claim_Amount]]&lt;0,0,Table1[[#This Row],[Claim_Amount]])</f>
        <v>0</v>
      </c>
      <c r="X220" t="str">
        <f>IF(Table1[[#This Row],[Column1]]=0,"",Table1[[#This Row],[Column1]])</f>
        <v/>
      </c>
      <c r="Y220" t="s">
        <v>1098</v>
      </c>
      <c r="Z220">
        <v>2481</v>
      </c>
      <c r="AA220">
        <v>832</v>
      </c>
      <c r="AB220" s="1" t="s">
        <v>17</v>
      </c>
      <c r="AC220" s="1" t="s">
        <v>1093</v>
      </c>
      <c r="AD220">
        <v>9</v>
      </c>
      <c r="AE220" s="3" t="s">
        <v>27</v>
      </c>
    </row>
    <row r="221" spans="1:31" ht="15.75" customHeight="1" x14ac:dyDescent="0.35">
      <c r="A221" s="1" t="s">
        <v>82</v>
      </c>
      <c r="B221" t="s">
        <v>1083</v>
      </c>
      <c r="C221" t="s">
        <v>1084</v>
      </c>
      <c r="D221" s="1" t="s">
        <v>433</v>
      </c>
      <c r="E221" s="5">
        <v>45263</v>
      </c>
      <c r="F221" s="4" t="str">
        <f>IF(ISNUMBER(Table13[[#This Row],[Claim_Date2]]),"",Table13[[#This Row],[Claim_Date2]])</f>
        <v/>
      </c>
      <c r="G221" s="4" t="s">
        <v>1098</v>
      </c>
      <c r="H221" s="4" t="str">
        <f>LEFT(Table13[[#This Row],[Values Col 1]],3)</f>
        <v/>
      </c>
      <c r="I221" s="4" t="s">
        <v>1098</v>
      </c>
      <c r="J221" s="4" t="str">
        <f>MID(Table13[[#This Row],[Function Col]],5,2)</f>
        <v/>
      </c>
      <c r="K221" s="4" t="s">
        <v>1098</v>
      </c>
      <c r="L221" s="4" t="str">
        <f>RIGHT(Table13[[#This Row],[Function Col]],4)</f>
        <v/>
      </c>
      <c r="M221" s="4" t="s">
        <v>1098</v>
      </c>
      <c r="N221" s="4" t="str">
        <f>IF(Table13[[#This Row],[Function Col5]]="","",_xlfn.CONCAT(Table13[[#This Row],[Day Col]],"/",Table13[[#This Row],[Month Col]],"/",Table13[[#This Row],[Year Col]]))</f>
        <v/>
      </c>
      <c r="O221" s="4" t="s">
        <v>1098</v>
      </c>
      <c r="P221" s="4">
        <f>IF(ISNUMBER(Table13[[#This Row],[Claim_Date2]]),Table13[[#This Row],[Claim_Date2]],Table13[[#This Row],[Function Col32]])</f>
        <v>45263</v>
      </c>
      <c r="Q221" s="4">
        <v>45263</v>
      </c>
      <c r="R221" s="1" t="s">
        <v>16</v>
      </c>
      <c r="S221" t="s">
        <v>1085</v>
      </c>
      <c r="T221" s="1" t="s">
        <v>24</v>
      </c>
      <c r="U221" s="1"/>
      <c r="W221">
        <f>IF(Table1[[#This Row],[Claim_Amount]]&lt;0,0,Table1[[#This Row],[Claim_Amount]])</f>
        <v>0</v>
      </c>
      <c r="X221" t="str">
        <f>IF(Table1[[#This Row],[Column1]]=0,"",Table1[[#This Row],[Column1]])</f>
        <v/>
      </c>
      <c r="Y221" t="s">
        <v>1098</v>
      </c>
      <c r="Z221">
        <v>2481</v>
      </c>
      <c r="AA221">
        <v>832</v>
      </c>
      <c r="AB221" s="1" t="s">
        <v>25</v>
      </c>
      <c r="AC221" s="1" t="s">
        <v>26</v>
      </c>
      <c r="AD221" s="1">
        <v>57</v>
      </c>
      <c r="AE221" s="3" t="s">
        <v>37</v>
      </c>
    </row>
    <row r="222" spans="1:31" ht="15.75" customHeight="1" x14ac:dyDescent="0.35">
      <c r="A222" s="1" t="s">
        <v>277</v>
      </c>
      <c r="B222" t="s">
        <v>1083</v>
      </c>
      <c r="C222" t="s">
        <v>1084</v>
      </c>
      <c r="D222" s="1" t="s">
        <v>120</v>
      </c>
      <c r="E222" s="5">
        <v>44981</v>
      </c>
      <c r="F222" s="4" t="str">
        <f>IF(ISNUMBER(Table13[[#This Row],[Claim_Date2]]),"",Table13[[#This Row],[Claim_Date2]])</f>
        <v/>
      </c>
      <c r="G222" s="4" t="s">
        <v>1098</v>
      </c>
      <c r="H222" s="4" t="str">
        <f>LEFT(Table13[[#This Row],[Values Col 1]],3)</f>
        <v/>
      </c>
      <c r="I222" s="4" t="s">
        <v>1098</v>
      </c>
      <c r="J222" s="4" t="str">
        <f>MID(Table13[[#This Row],[Function Col]],5,2)</f>
        <v/>
      </c>
      <c r="K222" s="4" t="s">
        <v>1098</v>
      </c>
      <c r="L222" s="4" t="str">
        <f>RIGHT(Table13[[#This Row],[Function Col]],4)</f>
        <v/>
      </c>
      <c r="M222" s="4" t="s">
        <v>1098</v>
      </c>
      <c r="N222" s="4" t="str">
        <f>IF(Table13[[#This Row],[Function Col5]]="","",_xlfn.CONCAT(Table13[[#This Row],[Day Col]],"/",Table13[[#This Row],[Month Col]],"/",Table13[[#This Row],[Year Col]]))</f>
        <v/>
      </c>
      <c r="O222" s="4" t="s">
        <v>1098</v>
      </c>
      <c r="P222" s="4">
        <f>IF(ISNUMBER(Table13[[#This Row],[Claim_Date2]]),Table13[[#This Row],[Claim_Date2]],Table13[[#This Row],[Function Col32]])</f>
        <v>44981</v>
      </c>
      <c r="Q222" s="4">
        <v>44981</v>
      </c>
      <c r="R222" s="1" t="s">
        <v>85</v>
      </c>
      <c r="S222" s="1" t="s">
        <v>23</v>
      </c>
      <c r="T222" s="1" t="s">
        <v>48</v>
      </c>
      <c r="U222" s="1"/>
      <c r="W222">
        <f>IF(Table1[[#This Row],[Claim_Amount]]&lt;0,0,Table1[[#This Row],[Claim_Amount]])</f>
        <v>0</v>
      </c>
      <c r="X222" t="str">
        <f>IF(Table1[[#This Row],[Column1]]=0,"",Table1[[#This Row],[Column1]])</f>
        <v/>
      </c>
      <c r="Y222" t="s">
        <v>1098</v>
      </c>
      <c r="Z222">
        <v>2481</v>
      </c>
      <c r="AA222">
        <v>832</v>
      </c>
      <c r="AB222" s="1" t="s">
        <v>25</v>
      </c>
      <c r="AC222" s="1" t="s">
        <v>57</v>
      </c>
      <c r="AD222">
        <v>9</v>
      </c>
      <c r="AE222" s="3" t="s">
        <v>37</v>
      </c>
    </row>
    <row r="223" spans="1:31" ht="15.75" customHeight="1" x14ac:dyDescent="0.35">
      <c r="A223" s="1" t="s">
        <v>249</v>
      </c>
      <c r="B223" t="s">
        <v>1083</v>
      </c>
      <c r="C223" t="s">
        <v>1084</v>
      </c>
      <c r="D223" s="1" t="s">
        <v>434</v>
      </c>
      <c r="E223" s="5" t="s">
        <v>434</v>
      </c>
      <c r="F223" s="4" t="str">
        <f>IF(ISNUMBER(Table13[[#This Row],[Claim_Date2]]),"",Table13[[#This Row],[Claim_Date2]])</f>
        <v>Jan 25 2023</v>
      </c>
      <c r="G223" s="4" t="s">
        <v>434</v>
      </c>
      <c r="H223" s="4" t="str">
        <f>LEFT(Table13[[#This Row],[Values Col 1]],3)</f>
        <v>Jan</v>
      </c>
      <c r="I223" s="4" t="s">
        <v>1107</v>
      </c>
      <c r="J223" s="4" t="str">
        <f>MID(Table13[[#This Row],[Function Col]],5,2)</f>
        <v>25</v>
      </c>
      <c r="K223" s="4" t="s">
        <v>1123</v>
      </c>
      <c r="L223" s="4" t="str">
        <f>RIGHT(Table13[[#This Row],[Function Col]],4)</f>
        <v>2023</v>
      </c>
      <c r="M223" s="4" t="s">
        <v>1146</v>
      </c>
      <c r="N223" s="4" t="str">
        <f>IF(Table13[[#This Row],[Function Col5]]="","",_xlfn.CONCAT(Table13[[#This Row],[Day Col]],"/",Table13[[#This Row],[Month Col]],"/",Table13[[#This Row],[Year Col]]))</f>
        <v>25/Jan/2023</v>
      </c>
      <c r="O223" s="4" t="s">
        <v>1221</v>
      </c>
      <c r="P223" s="4" t="str">
        <f>IF(ISNUMBER(Table13[[#This Row],[Claim_Date2]]),Table13[[#This Row],[Claim_Date2]],Table13[[#This Row],[Function Col32]])</f>
        <v>25/Jan/2023</v>
      </c>
      <c r="Q223" s="4">
        <v>44951</v>
      </c>
      <c r="R223" s="1" t="s">
        <v>77</v>
      </c>
      <c r="S223" s="1" t="s">
        <v>47</v>
      </c>
      <c r="T223" s="1" t="s">
        <v>48</v>
      </c>
      <c r="U223" s="1"/>
      <c r="W223">
        <f>IF(Table1[[#This Row],[Claim_Amount]]&lt;0,0,Table1[[#This Row],[Claim_Amount]])</f>
        <v>0</v>
      </c>
      <c r="X223" t="str">
        <f>IF(Table1[[#This Row],[Column1]]=0,"",Table1[[#This Row],[Column1]])</f>
        <v/>
      </c>
      <c r="Y223" t="s">
        <v>1098</v>
      </c>
      <c r="Z223">
        <v>2481</v>
      </c>
      <c r="AA223" s="1">
        <v>3665.95</v>
      </c>
      <c r="AB223" s="1" t="s">
        <v>25</v>
      </c>
      <c r="AC223" s="1" t="s">
        <v>1093</v>
      </c>
      <c r="AD223">
        <v>9</v>
      </c>
      <c r="AE223" s="3" t="s">
        <v>1097</v>
      </c>
    </row>
    <row r="224" spans="1:31" ht="15.75" customHeight="1" x14ac:dyDescent="0.35">
      <c r="A224" s="1" t="s">
        <v>58</v>
      </c>
      <c r="B224" t="s">
        <v>1083</v>
      </c>
      <c r="C224" s="1" t="s">
        <v>363</v>
      </c>
      <c r="D224" s="1" t="s">
        <v>307</v>
      </c>
      <c r="E224" s="5">
        <v>45130</v>
      </c>
      <c r="F224" s="4" t="str">
        <f>IF(ISNUMBER(Table13[[#This Row],[Claim_Date2]]),"",Table13[[#This Row],[Claim_Date2]])</f>
        <v/>
      </c>
      <c r="G224" s="4" t="s">
        <v>1098</v>
      </c>
      <c r="H224" s="4" t="str">
        <f>LEFT(Table13[[#This Row],[Values Col 1]],3)</f>
        <v/>
      </c>
      <c r="I224" s="4" t="s">
        <v>1098</v>
      </c>
      <c r="J224" s="4" t="str">
        <f>MID(Table13[[#This Row],[Function Col]],5,2)</f>
        <v/>
      </c>
      <c r="K224" s="4" t="s">
        <v>1098</v>
      </c>
      <c r="L224" s="4" t="str">
        <f>RIGHT(Table13[[#This Row],[Function Col]],4)</f>
        <v/>
      </c>
      <c r="M224" s="4" t="s">
        <v>1098</v>
      </c>
      <c r="N224" s="4" t="str">
        <f>IF(Table13[[#This Row],[Function Col5]]="","",_xlfn.CONCAT(Table13[[#This Row],[Day Col]],"/",Table13[[#This Row],[Month Col]],"/",Table13[[#This Row],[Year Col]]))</f>
        <v/>
      </c>
      <c r="O224" s="4" t="s">
        <v>1098</v>
      </c>
      <c r="P224" s="4">
        <f>IF(ISNUMBER(Table13[[#This Row],[Claim_Date2]]),Table13[[#This Row],[Claim_Date2]],Table13[[#This Row],[Function Col32]])</f>
        <v>45130</v>
      </c>
      <c r="Q224" s="4">
        <v>45130</v>
      </c>
      <c r="R224" s="1" t="s">
        <v>77</v>
      </c>
      <c r="S224" s="1" t="s">
        <v>93</v>
      </c>
      <c r="T224" s="1" t="s">
        <v>24</v>
      </c>
      <c r="U224" s="1"/>
      <c r="W224">
        <f>IF(Table1[[#This Row],[Claim_Amount]]&lt;0,0,Table1[[#This Row],[Claim_Amount]])</f>
        <v>0</v>
      </c>
      <c r="X224" t="str">
        <f>IF(Table1[[#This Row],[Column1]]=0,"",Table1[[#This Row],[Column1]])</f>
        <v/>
      </c>
      <c r="Y224" t="s">
        <v>1098</v>
      </c>
      <c r="Z224">
        <v>2481</v>
      </c>
      <c r="AA224">
        <v>832</v>
      </c>
      <c r="AB224" s="1" t="s">
        <v>42</v>
      </c>
      <c r="AC224" s="1" t="s">
        <v>57</v>
      </c>
      <c r="AD224" s="1">
        <v>40</v>
      </c>
      <c r="AE224" s="3" t="s">
        <v>65</v>
      </c>
    </row>
    <row r="225" spans="1:31" ht="15.75" customHeight="1" x14ac:dyDescent="0.35">
      <c r="A225" s="1" t="s">
        <v>187</v>
      </c>
      <c r="B225" t="s">
        <v>1083</v>
      </c>
      <c r="C225" t="s">
        <v>1084</v>
      </c>
      <c r="D225" s="1" t="s">
        <v>435</v>
      </c>
      <c r="E225" s="5" t="s">
        <v>435</v>
      </c>
      <c r="F225" s="4" t="str">
        <f>IF(ISNUMBER(Table13[[#This Row],[Claim_Date2]]),"",Table13[[#This Row],[Claim_Date2]])</f>
        <v>Dec 30 2023</v>
      </c>
      <c r="G225" s="4" t="s">
        <v>435</v>
      </c>
      <c r="H225" s="4" t="str">
        <f>LEFT(Table13[[#This Row],[Values Col 1]],3)</f>
        <v>Dec</v>
      </c>
      <c r="I225" s="4" t="s">
        <v>1111</v>
      </c>
      <c r="J225" s="4" t="str">
        <f>MID(Table13[[#This Row],[Function Col]],5,2)</f>
        <v>30</v>
      </c>
      <c r="K225" s="4" t="s">
        <v>1126</v>
      </c>
      <c r="L225" s="4" t="str">
        <f>RIGHT(Table13[[#This Row],[Function Col]],4)</f>
        <v>2023</v>
      </c>
      <c r="M225" s="4" t="s">
        <v>1146</v>
      </c>
      <c r="N225" s="4" t="str">
        <f>IF(Table13[[#This Row],[Function Col5]]="","",_xlfn.CONCAT(Table13[[#This Row],[Day Col]],"/",Table13[[#This Row],[Month Col]],"/",Table13[[#This Row],[Year Col]]))</f>
        <v>30/Dec/2023</v>
      </c>
      <c r="O225" s="4" t="s">
        <v>1222</v>
      </c>
      <c r="P225" s="4" t="str">
        <f>IF(ISNUMBER(Table13[[#This Row],[Claim_Date2]]),Table13[[#This Row],[Claim_Date2]],Table13[[#This Row],[Function Col32]])</f>
        <v>30/Dec/2023</v>
      </c>
      <c r="Q225" s="4">
        <v>45290</v>
      </c>
      <c r="R225" s="1" t="s">
        <v>85</v>
      </c>
      <c r="S225" s="1" t="s">
        <v>47</v>
      </c>
      <c r="T225" s="1" t="s">
        <v>54</v>
      </c>
      <c r="U225" s="1"/>
      <c r="V225" s="1">
        <v>3486.84</v>
      </c>
      <c r="W225" s="1">
        <f>IF(Table1[[#This Row],[Claim_Amount]]&lt;0,0,Table1[[#This Row],[Claim_Amount]])</f>
        <v>3486.84</v>
      </c>
      <c r="X225" s="1">
        <f>IF(Table1[[#This Row],[Column1]]=0,"",Table1[[#This Row],[Column1]])</f>
        <v>3486.84</v>
      </c>
      <c r="Y225" s="1">
        <v>3486.84</v>
      </c>
      <c r="Z225" s="1">
        <v>3486.84</v>
      </c>
      <c r="AA225">
        <v>832</v>
      </c>
      <c r="AB225" s="1" t="s">
        <v>25</v>
      </c>
      <c r="AC225" s="1" t="s">
        <v>57</v>
      </c>
      <c r="AD225">
        <v>9</v>
      </c>
      <c r="AE225" s="3" t="s">
        <v>37</v>
      </c>
    </row>
    <row r="226" spans="1:31" ht="15.75" customHeight="1" x14ac:dyDescent="0.35">
      <c r="A226" s="1" t="s">
        <v>275</v>
      </c>
      <c r="B226" t="s">
        <v>1083</v>
      </c>
      <c r="C226" t="s">
        <v>1084</v>
      </c>
      <c r="D226" s="1" t="s">
        <v>436</v>
      </c>
      <c r="E226" s="5">
        <v>44933</v>
      </c>
      <c r="F226" s="4" t="str">
        <f>IF(ISNUMBER(Table13[[#This Row],[Claim_Date2]]),"",Table13[[#This Row],[Claim_Date2]])</f>
        <v/>
      </c>
      <c r="G226" s="4" t="s">
        <v>1098</v>
      </c>
      <c r="H226" s="4" t="str">
        <f>LEFT(Table13[[#This Row],[Values Col 1]],3)</f>
        <v/>
      </c>
      <c r="I226" s="4" t="s">
        <v>1098</v>
      </c>
      <c r="J226" s="4" t="str">
        <f>MID(Table13[[#This Row],[Function Col]],5,2)</f>
        <v/>
      </c>
      <c r="K226" s="4" t="s">
        <v>1098</v>
      </c>
      <c r="L226" s="4" t="str">
        <f>RIGHT(Table13[[#This Row],[Function Col]],4)</f>
        <v/>
      </c>
      <c r="M226" s="4" t="s">
        <v>1098</v>
      </c>
      <c r="N226" s="4" t="str">
        <f>IF(Table13[[#This Row],[Function Col5]]="","",_xlfn.CONCAT(Table13[[#This Row],[Day Col]],"/",Table13[[#This Row],[Month Col]],"/",Table13[[#This Row],[Year Col]]))</f>
        <v/>
      </c>
      <c r="O226" s="4" t="s">
        <v>1098</v>
      </c>
      <c r="P226" s="4">
        <f>IF(ISNUMBER(Table13[[#This Row],[Claim_Date2]]),Table13[[#This Row],[Claim_Date2]],Table13[[#This Row],[Function Col32]])</f>
        <v>44933</v>
      </c>
      <c r="Q226" s="4">
        <v>44933</v>
      </c>
      <c r="R226" s="1" t="s">
        <v>77</v>
      </c>
      <c r="S226" s="1" t="s">
        <v>93</v>
      </c>
      <c r="T226" s="1" t="s">
        <v>61</v>
      </c>
      <c r="U226" s="1"/>
      <c r="W226">
        <f>IF(Table1[[#This Row],[Claim_Amount]]&lt;0,0,Table1[[#This Row],[Claim_Amount]])</f>
        <v>0</v>
      </c>
      <c r="X226" t="str">
        <f>IF(Table1[[#This Row],[Column1]]=0,"",Table1[[#This Row],[Column1]])</f>
        <v/>
      </c>
      <c r="Y226" t="s">
        <v>1098</v>
      </c>
      <c r="Z226">
        <v>2481</v>
      </c>
      <c r="AA226" s="1">
        <v>3763.42</v>
      </c>
      <c r="AB226" s="1" t="s">
        <v>42</v>
      </c>
      <c r="AC226" s="1" t="s">
        <v>32</v>
      </c>
      <c r="AD226" s="1">
        <v>9</v>
      </c>
      <c r="AE226" s="3" t="s">
        <v>27</v>
      </c>
    </row>
    <row r="227" spans="1:31" ht="15.75" customHeight="1" x14ac:dyDescent="0.35">
      <c r="A227" s="1" t="s">
        <v>187</v>
      </c>
      <c r="B227" t="s">
        <v>1083</v>
      </c>
      <c r="C227" t="s">
        <v>1084</v>
      </c>
      <c r="D227" s="1" t="s">
        <v>437</v>
      </c>
      <c r="E227" s="5" t="s">
        <v>437</v>
      </c>
      <c r="F227" s="4" t="str">
        <f>IF(ISNUMBER(Table13[[#This Row],[Claim_Date2]]),"",Table13[[#This Row],[Claim_Date2]])</f>
        <v>Nov 12 2023</v>
      </c>
      <c r="G227" s="4" t="s">
        <v>437</v>
      </c>
      <c r="H227" s="4" t="str">
        <f>LEFT(Table13[[#This Row],[Values Col 1]],3)</f>
        <v>Nov</v>
      </c>
      <c r="I227" s="4" t="s">
        <v>1105</v>
      </c>
      <c r="J227" s="4" t="str">
        <f>MID(Table13[[#This Row],[Function Col]],5,2)</f>
        <v>12</v>
      </c>
      <c r="K227" s="4" t="s">
        <v>1135</v>
      </c>
      <c r="L227" s="4" t="str">
        <f>RIGHT(Table13[[#This Row],[Function Col]],4)</f>
        <v>2023</v>
      </c>
      <c r="M227" s="4" t="s">
        <v>1146</v>
      </c>
      <c r="N227" s="4" t="str">
        <f>IF(Table13[[#This Row],[Function Col5]]="","",_xlfn.CONCAT(Table13[[#This Row],[Day Col]],"/",Table13[[#This Row],[Month Col]],"/",Table13[[#This Row],[Year Col]]))</f>
        <v>12/Nov/2023</v>
      </c>
      <c r="O227" s="4" t="s">
        <v>1223</v>
      </c>
      <c r="P227" s="4" t="str">
        <f>IF(ISNUMBER(Table13[[#This Row],[Claim_Date2]]),Table13[[#This Row],[Claim_Date2]],Table13[[#This Row],[Function Col32]])</f>
        <v>12/Nov/2023</v>
      </c>
      <c r="Q227" s="4">
        <v>45242</v>
      </c>
      <c r="R227" s="1" t="s">
        <v>16</v>
      </c>
      <c r="S227" s="1" t="s">
        <v>47</v>
      </c>
      <c r="T227" s="1" t="s">
        <v>24</v>
      </c>
      <c r="U227" s="1"/>
      <c r="V227" s="1">
        <v>-153</v>
      </c>
      <c r="W227" s="1">
        <f>IF(Table1[[#This Row],[Claim_Amount]]&lt;0,0,Table1[[#This Row],[Claim_Amount]])</f>
        <v>0</v>
      </c>
      <c r="X227" s="1" t="str">
        <f>IF(Table1[[#This Row],[Column1]]=0,"",Table1[[#This Row],[Column1]])</f>
        <v/>
      </c>
      <c r="Y227" s="1" t="s">
        <v>1098</v>
      </c>
      <c r="Z227" s="1">
        <v>2481</v>
      </c>
      <c r="AA227">
        <v>832</v>
      </c>
      <c r="AB227" s="1" t="s">
        <v>42</v>
      </c>
      <c r="AC227" s="1" t="s">
        <v>26</v>
      </c>
      <c r="AD227">
        <v>9</v>
      </c>
      <c r="AE227" s="3" t="s">
        <v>37</v>
      </c>
    </row>
    <row r="228" spans="1:31" ht="15.75" customHeight="1" x14ac:dyDescent="0.35">
      <c r="A228" s="1" t="s">
        <v>70</v>
      </c>
      <c r="B228" t="s">
        <v>1083</v>
      </c>
      <c r="C228" s="1" t="s">
        <v>228</v>
      </c>
      <c r="D228" s="1" t="s">
        <v>438</v>
      </c>
      <c r="E228" s="5" t="s">
        <v>438</v>
      </c>
      <c r="F228" s="4" t="str">
        <f>IF(ISNUMBER(Table13[[#This Row],[Claim_Date2]]),"",Table13[[#This Row],[Claim_Date2]])</f>
        <v>Apr 14 2023</v>
      </c>
      <c r="G228" s="4" t="s">
        <v>438</v>
      </c>
      <c r="H228" s="4" t="str">
        <f>LEFT(Table13[[#This Row],[Values Col 1]],3)</f>
        <v>Apr</v>
      </c>
      <c r="I228" s="4" t="s">
        <v>1104</v>
      </c>
      <c r="J228" s="4" t="str">
        <f>MID(Table13[[#This Row],[Function Col]],5,2)</f>
        <v>14</v>
      </c>
      <c r="K228" s="4" t="s">
        <v>1131</v>
      </c>
      <c r="L228" s="4" t="str">
        <f>RIGHT(Table13[[#This Row],[Function Col]],4)</f>
        <v>2023</v>
      </c>
      <c r="M228" s="4" t="s">
        <v>1146</v>
      </c>
      <c r="N228" s="4" t="str">
        <f>IF(Table13[[#This Row],[Function Col5]]="","",_xlfn.CONCAT(Table13[[#This Row],[Day Col]],"/",Table13[[#This Row],[Month Col]],"/",Table13[[#This Row],[Year Col]]))</f>
        <v>14/Apr/2023</v>
      </c>
      <c r="O228" s="4" t="s">
        <v>1224</v>
      </c>
      <c r="P228" s="4" t="str">
        <f>IF(ISNUMBER(Table13[[#This Row],[Claim_Date2]]),Table13[[#This Row],[Claim_Date2]],Table13[[#This Row],[Function Col32]])</f>
        <v>14/Apr/2023</v>
      </c>
      <c r="Q228" s="4">
        <v>45030</v>
      </c>
      <c r="R228" s="1" t="s">
        <v>85</v>
      </c>
      <c r="S228" s="1" t="s">
        <v>53</v>
      </c>
      <c r="T228" s="1" t="s">
        <v>24</v>
      </c>
      <c r="U228" s="1"/>
      <c r="W228">
        <f>IF(Table1[[#This Row],[Claim_Amount]]&lt;0,0,Table1[[#This Row],[Claim_Amount]])</f>
        <v>0</v>
      </c>
      <c r="X228" t="str">
        <f>IF(Table1[[#This Row],[Column1]]=0,"",Table1[[#This Row],[Column1]])</f>
        <v/>
      </c>
      <c r="Y228" t="s">
        <v>1098</v>
      </c>
      <c r="Z228">
        <v>2481</v>
      </c>
      <c r="AA228">
        <v>832</v>
      </c>
      <c r="AB228" s="1" t="s">
        <v>1091</v>
      </c>
      <c r="AC228" s="1" t="s">
        <v>18</v>
      </c>
      <c r="AD228">
        <v>9</v>
      </c>
      <c r="AE228" s="3" t="s">
        <v>65</v>
      </c>
    </row>
    <row r="229" spans="1:31" ht="15.75" customHeight="1" x14ac:dyDescent="0.35">
      <c r="A229" s="1" t="s">
        <v>261</v>
      </c>
      <c r="B229" s="1" t="s">
        <v>74</v>
      </c>
      <c r="C229" s="1" t="s">
        <v>135</v>
      </c>
      <c r="D229" s="1" t="s">
        <v>439</v>
      </c>
      <c r="E229" s="5">
        <v>45022</v>
      </c>
      <c r="F229" s="4" t="str">
        <f>IF(ISNUMBER(Table13[[#This Row],[Claim_Date2]]),"",Table13[[#This Row],[Claim_Date2]])</f>
        <v/>
      </c>
      <c r="G229" s="4" t="s">
        <v>1098</v>
      </c>
      <c r="H229" s="4" t="str">
        <f>LEFT(Table13[[#This Row],[Values Col 1]],3)</f>
        <v/>
      </c>
      <c r="I229" s="4" t="s">
        <v>1098</v>
      </c>
      <c r="J229" s="4" t="str">
        <f>MID(Table13[[#This Row],[Function Col]],5,2)</f>
        <v/>
      </c>
      <c r="K229" s="4" t="s">
        <v>1098</v>
      </c>
      <c r="L229" s="4" t="str">
        <f>RIGHT(Table13[[#This Row],[Function Col]],4)</f>
        <v/>
      </c>
      <c r="M229" s="4" t="s">
        <v>1098</v>
      </c>
      <c r="N229" s="4" t="str">
        <f>IF(Table13[[#This Row],[Function Col5]]="","",_xlfn.CONCAT(Table13[[#This Row],[Day Col]],"/",Table13[[#This Row],[Month Col]],"/",Table13[[#This Row],[Year Col]]))</f>
        <v/>
      </c>
      <c r="O229" s="4" t="s">
        <v>1098</v>
      </c>
      <c r="P229" s="4">
        <f>IF(ISNUMBER(Table13[[#This Row],[Claim_Date2]]),Table13[[#This Row],[Claim_Date2]],Table13[[#This Row],[Function Col32]])</f>
        <v>45022</v>
      </c>
      <c r="Q229" s="4">
        <v>45022</v>
      </c>
      <c r="R229" s="1" t="s">
        <v>77</v>
      </c>
      <c r="S229" s="1" t="s">
        <v>23</v>
      </c>
      <c r="T229" s="1" t="s">
        <v>48</v>
      </c>
      <c r="U229" s="1"/>
      <c r="W229">
        <f>IF(Table1[[#This Row],[Claim_Amount]]&lt;0,0,Table1[[#This Row],[Claim_Amount]])</f>
        <v>0</v>
      </c>
      <c r="X229" t="str">
        <f>IF(Table1[[#This Row],[Column1]]=0,"",Table1[[#This Row],[Column1]])</f>
        <v/>
      </c>
      <c r="Y229" t="s">
        <v>1098</v>
      </c>
      <c r="Z229">
        <v>2481</v>
      </c>
      <c r="AA229">
        <v>832</v>
      </c>
      <c r="AB229" s="1" t="s">
        <v>25</v>
      </c>
      <c r="AC229" s="1" t="s">
        <v>32</v>
      </c>
      <c r="AD229">
        <v>9</v>
      </c>
      <c r="AE229" s="3" t="s">
        <v>65</v>
      </c>
    </row>
    <row r="230" spans="1:31" ht="15.75" customHeight="1" x14ac:dyDescent="0.35">
      <c r="A230" s="1" t="s">
        <v>166</v>
      </c>
      <c r="B230" t="s">
        <v>1083</v>
      </c>
      <c r="C230" s="1" t="s">
        <v>440</v>
      </c>
      <c r="D230" s="1" t="s">
        <v>441</v>
      </c>
      <c r="E230" s="5">
        <v>45242</v>
      </c>
      <c r="F230" s="4" t="str">
        <f>IF(ISNUMBER(Table13[[#This Row],[Claim_Date2]]),"",Table13[[#This Row],[Claim_Date2]])</f>
        <v/>
      </c>
      <c r="G230" s="4" t="s">
        <v>1098</v>
      </c>
      <c r="H230" s="4" t="str">
        <f>LEFT(Table13[[#This Row],[Values Col 1]],3)</f>
        <v/>
      </c>
      <c r="I230" s="4" t="s">
        <v>1098</v>
      </c>
      <c r="J230" s="4" t="str">
        <f>MID(Table13[[#This Row],[Function Col]],5,2)</f>
        <v/>
      </c>
      <c r="K230" s="4" t="s">
        <v>1098</v>
      </c>
      <c r="L230" s="4" t="str">
        <f>RIGHT(Table13[[#This Row],[Function Col]],4)</f>
        <v/>
      </c>
      <c r="M230" s="4" t="s">
        <v>1098</v>
      </c>
      <c r="N230" s="4" t="str">
        <f>IF(Table13[[#This Row],[Function Col5]]="","",_xlfn.CONCAT(Table13[[#This Row],[Day Col]],"/",Table13[[#This Row],[Month Col]],"/",Table13[[#This Row],[Year Col]]))</f>
        <v/>
      </c>
      <c r="O230" s="4" t="s">
        <v>1098</v>
      </c>
      <c r="P230" s="4">
        <f>IF(ISNUMBER(Table13[[#This Row],[Claim_Date2]]),Table13[[#This Row],[Claim_Date2]],Table13[[#This Row],[Function Col32]])</f>
        <v>45242</v>
      </c>
      <c r="Q230" s="4">
        <v>45242</v>
      </c>
      <c r="R230" s="1" t="s">
        <v>77</v>
      </c>
      <c r="S230" s="1" t="s">
        <v>47</v>
      </c>
      <c r="T230" s="1" t="s">
        <v>54</v>
      </c>
      <c r="U230" s="1"/>
      <c r="W230">
        <f>IF(Table1[[#This Row],[Claim_Amount]]&lt;0,0,Table1[[#This Row],[Claim_Amount]])</f>
        <v>0</v>
      </c>
      <c r="X230" t="str">
        <f>IF(Table1[[#This Row],[Column1]]=0,"",Table1[[#This Row],[Column1]])</f>
        <v/>
      </c>
      <c r="Y230" t="s">
        <v>1098</v>
      </c>
      <c r="Z230">
        <v>2481</v>
      </c>
      <c r="AA230" s="1">
        <v>2650.71</v>
      </c>
      <c r="AB230" s="1" t="s">
        <v>1091</v>
      </c>
      <c r="AC230" s="1" t="s">
        <v>26</v>
      </c>
      <c r="AD230">
        <v>9</v>
      </c>
      <c r="AE230" s="3" t="s">
        <v>65</v>
      </c>
    </row>
    <row r="231" spans="1:31" ht="15.75" customHeight="1" x14ac:dyDescent="0.35">
      <c r="A231" s="1" t="s">
        <v>70</v>
      </c>
      <c r="B231" t="s">
        <v>1083</v>
      </c>
      <c r="C231" s="1" t="s">
        <v>442</v>
      </c>
      <c r="D231" s="1" t="s">
        <v>91</v>
      </c>
      <c r="E231" s="5" t="s">
        <v>91</v>
      </c>
      <c r="F231" s="4" t="str">
        <f>IF(ISNUMBER(Table13[[#This Row],[Claim_Date2]]),"",Table13[[#This Row],[Claim_Date2]])</f>
        <v>Apr 20 2023</v>
      </c>
      <c r="G231" s="4" t="s">
        <v>91</v>
      </c>
      <c r="H231" s="4" t="str">
        <f>LEFT(Table13[[#This Row],[Values Col 1]],3)</f>
        <v>Apr</v>
      </c>
      <c r="I231" s="4" t="s">
        <v>1104</v>
      </c>
      <c r="J231" s="4" t="str">
        <f>MID(Table13[[#This Row],[Function Col]],5,2)</f>
        <v>20</v>
      </c>
      <c r="K231" s="4" t="s">
        <v>1118</v>
      </c>
      <c r="L231" s="4" t="str">
        <f>RIGHT(Table13[[#This Row],[Function Col]],4)</f>
        <v>2023</v>
      </c>
      <c r="M231" s="4" t="s">
        <v>1146</v>
      </c>
      <c r="N231" s="4" t="str">
        <f>IF(Table13[[#This Row],[Function Col5]]="","",_xlfn.CONCAT(Table13[[#This Row],[Day Col]],"/",Table13[[#This Row],[Month Col]],"/",Table13[[#This Row],[Year Col]]))</f>
        <v>20/Apr/2023</v>
      </c>
      <c r="O231" s="4" t="s">
        <v>1157</v>
      </c>
      <c r="P231" s="4" t="str">
        <f>IF(ISNUMBER(Table13[[#This Row],[Claim_Date2]]),Table13[[#This Row],[Claim_Date2]],Table13[[#This Row],[Function Col32]])</f>
        <v>20/Apr/2023</v>
      </c>
      <c r="Q231" s="4">
        <v>45036</v>
      </c>
      <c r="R231" s="1" t="s">
        <v>92</v>
      </c>
      <c r="S231" s="1" t="s">
        <v>31</v>
      </c>
      <c r="T231" s="1" t="s">
        <v>41</v>
      </c>
      <c r="U231" s="1"/>
      <c r="V231" s="1">
        <v>-168</v>
      </c>
      <c r="W231" s="1">
        <f>IF(Table1[[#This Row],[Claim_Amount]]&lt;0,0,Table1[[#This Row],[Claim_Amount]])</f>
        <v>0</v>
      </c>
      <c r="X231" s="1" t="str">
        <f>IF(Table1[[#This Row],[Column1]]=0,"",Table1[[#This Row],[Column1]])</f>
        <v/>
      </c>
      <c r="Y231" s="1" t="s">
        <v>1098</v>
      </c>
      <c r="Z231" s="1">
        <v>2481</v>
      </c>
      <c r="AA231">
        <v>832</v>
      </c>
      <c r="AB231" s="1" t="s">
        <v>25</v>
      </c>
      <c r="AC231" s="1" t="s">
        <v>26</v>
      </c>
      <c r="AD231">
        <v>9</v>
      </c>
      <c r="AE231" s="3" t="s">
        <v>37</v>
      </c>
    </row>
    <row r="232" spans="1:31" ht="15.75" customHeight="1" x14ac:dyDescent="0.35">
      <c r="A232" s="1" t="s">
        <v>170</v>
      </c>
      <c r="B232" t="s">
        <v>1083</v>
      </c>
      <c r="C232" s="1" t="s">
        <v>87</v>
      </c>
      <c r="D232" s="1" t="s">
        <v>443</v>
      </c>
      <c r="E232" s="5">
        <v>45276</v>
      </c>
      <c r="F232" s="4" t="str">
        <f>IF(ISNUMBER(Table13[[#This Row],[Claim_Date2]]),"",Table13[[#This Row],[Claim_Date2]])</f>
        <v/>
      </c>
      <c r="G232" s="4" t="s">
        <v>1098</v>
      </c>
      <c r="H232" s="4" t="str">
        <f>LEFT(Table13[[#This Row],[Values Col 1]],3)</f>
        <v/>
      </c>
      <c r="I232" s="4" t="s">
        <v>1098</v>
      </c>
      <c r="J232" s="4" t="str">
        <f>MID(Table13[[#This Row],[Function Col]],5,2)</f>
        <v/>
      </c>
      <c r="K232" s="4" t="s">
        <v>1098</v>
      </c>
      <c r="L232" s="4" t="str">
        <f>RIGHT(Table13[[#This Row],[Function Col]],4)</f>
        <v/>
      </c>
      <c r="M232" s="4" t="s">
        <v>1098</v>
      </c>
      <c r="N232" s="4" t="str">
        <f>IF(Table13[[#This Row],[Function Col5]]="","",_xlfn.CONCAT(Table13[[#This Row],[Day Col]],"/",Table13[[#This Row],[Month Col]],"/",Table13[[#This Row],[Year Col]]))</f>
        <v/>
      </c>
      <c r="O232" s="4" t="s">
        <v>1098</v>
      </c>
      <c r="P232" s="4">
        <f>IF(ISNUMBER(Table13[[#This Row],[Claim_Date2]]),Table13[[#This Row],[Claim_Date2]],Table13[[#This Row],[Function Col32]])</f>
        <v>45276</v>
      </c>
      <c r="Q232" s="4">
        <v>45276</v>
      </c>
      <c r="R232" s="1" t="s">
        <v>85</v>
      </c>
      <c r="S232" s="1" t="s">
        <v>23</v>
      </c>
      <c r="T232" s="1" t="s">
        <v>48</v>
      </c>
      <c r="U232" s="1"/>
      <c r="W232">
        <f>IF(Table1[[#This Row],[Claim_Amount]]&lt;0,0,Table1[[#This Row],[Claim_Amount]])</f>
        <v>0</v>
      </c>
      <c r="X232" t="str">
        <f>IF(Table1[[#This Row],[Column1]]=0,"",Table1[[#This Row],[Column1]])</f>
        <v/>
      </c>
      <c r="Y232" t="s">
        <v>1098</v>
      </c>
      <c r="Z232">
        <v>2481</v>
      </c>
      <c r="AA232">
        <v>832</v>
      </c>
      <c r="AB232" s="1" t="s">
        <v>42</v>
      </c>
      <c r="AC232" s="1" t="s">
        <v>57</v>
      </c>
      <c r="AD232">
        <v>9</v>
      </c>
      <c r="AE232" s="3" t="s">
        <v>37</v>
      </c>
    </row>
    <row r="233" spans="1:31" ht="15.75" customHeight="1" x14ac:dyDescent="0.35">
      <c r="A233" s="1" t="s">
        <v>117</v>
      </c>
      <c r="B233" t="s">
        <v>1083</v>
      </c>
      <c r="C233" s="1" t="s">
        <v>130</v>
      </c>
      <c r="D233" s="1" t="s">
        <v>444</v>
      </c>
      <c r="E233" s="5">
        <v>45091</v>
      </c>
      <c r="F233" s="4" t="str">
        <f>IF(ISNUMBER(Table13[[#This Row],[Claim_Date2]]),"",Table13[[#This Row],[Claim_Date2]])</f>
        <v/>
      </c>
      <c r="G233" s="4" t="s">
        <v>1098</v>
      </c>
      <c r="H233" s="4" t="str">
        <f>LEFT(Table13[[#This Row],[Values Col 1]],3)</f>
        <v/>
      </c>
      <c r="I233" s="4" t="s">
        <v>1098</v>
      </c>
      <c r="J233" s="4" t="str">
        <f>MID(Table13[[#This Row],[Function Col]],5,2)</f>
        <v/>
      </c>
      <c r="K233" s="4" t="s">
        <v>1098</v>
      </c>
      <c r="L233" s="4" t="str">
        <f>RIGHT(Table13[[#This Row],[Function Col]],4)</f>
        <v/>
      </c>
      <c r="M233" s="4" t="s">
        <v>1098</v>
      </c>
      <c r="N233" s="4" t="str">
        <f>IF(Table13[[#This Row],[Function Col5]]="","",_xlfn.CONCAT(Table13[[#This Row],[Day Col]],"/",Table13[[#This Row],[Month Col]],"/",Table13[[#This Row],[Year Col]]))</f>
        <v/>
      </c>
      <c r="O233" s="4" t="s">
        <v>1098</v>
      </c>
      <c r="P233" s="4">
        <f>IF(ISNUMBER(Table13[[#This Row],[Claim_Date2]]),Table13[[#This Row],[Claim_Date2]],Table13[[#This Row],[Function Col32]])</f>
        <v>45091</v>
      </c>
      <c r="Q233" s="4">
        <v>45091</v>
      </c>
      <c r="R233" s="1" t="s">
        <v>85</v>
      </c>
      <c r="S233" s="1" t="s">
        <v>47</v>
      </c>
      <c r="T233" s="1" t="s">
        <v>54</v>
      </c>
      <c r="U233" s="1"/>
      <c r="W233">
        <f>IF(Table1[[#This Row],[Claim_Amount]]&lt;0,0,Table1[[#This Row],[Claim_Amount]])</f>
        <v>0</v>
      </c>
      <c r="X233" t="str">
        <f>IF(Table1[[#This Row],[Column1]]=0,"",Table1[[#This Row],[Column1]])</f>
        <v/>
      </c>
      <c r="Y233" t="s">
        <v>1098</v>
      </c>
      <c r="Z233">
        <v>2481</v>
      </c>
      <c r="AA233" s="1">
        <v>3368.16</v>
      </c>
      <c r="AB233" s="1" t="s">
        <v>25</v>
      </c>
      <c r="AC233" s="1" t="s">
        <v>26</v>
      </c>
      <c r="AD233">
        <v>9</v>
      </c>
      <c r="AE233" s="3" t="s">
        <v>37</v>
      </c>
    </row>
    <row r="234" spans="1:31" ht="15.75" customHeight="1" x14ac:dyDescent="0.35">
      <c r="A234" s="1" t="s">
        <v>43</v>
      </c>
      <c r="B234" t="s">
        <v>1083</v>
      </c>
      <c r="C234" s="1" t="s">
        <v>135</v>
      </c>
      <c r="D234" s="1" t="s">
        <v>445</v>
      </c>
      <c r="E234" s="5">
        <v>44939</v>
      </c>
      <c r="F234" s="4" t="str">
        <f>IF(ISNUMBER(Table13[[#This Row],[Claim_Date2]]),"",Table13[[#This Row],[Claim_Date2]])</f>
        <v/>
      </c>
      <c r="G234" s="4" t="s">
        <v>1098</v>
      </c>
      <c r="H234" s="4" t="str">
        <f>LEFT(Table13[[#This Row],[Values Col 1]],3)</f>
        <v/>
      </c>
      <c r="I234" s="4" t="s">
        <v>1098</v>
      </c>
      <c r="J234" s="4" t="str">
        <f>MID(Table13[[#This Row],[Function Col]],5,2)</f>
        <v/>
      </c>
      <c r="K234" s="4" t="s">
        <v>1098</v>
      </c>
      <c r="L234" s="4" t="str">
        <f>RIGHT(Table13[[#This Row],[Function Col]],4)</f>
        <v/>
      </c>
      <c r="M234" s="4" t="s">
        <v>1098</v>
      </c>
      <c r="N234" s="4" t="str">
        <f>IF(Table13[[#This Row],[Function Col5]]="","",_xlfn.CONCAT(Table13[[#This Row],[Day Col]],"/",Table13[[#This Row],[Month Col]],"/",Table13[[#This Row],[Year Col]]))</f>
        <v/>
      </c>
      <c r="O234" s="4" t="s">
        <v>1098</v>
      </c>
      <c r="P234" s="4">
        <f>IF(ISNUMBER(Table13[[#This Row],[Claim_Date2]]),Table13[[#This Row],[Claim_Date2]],Table13[[#This Row],[Function Col32]])</f>
        <v>44939</v>
      </c>
      <c r="Q234" s="4">
        <v>44939</v>
      </c>
      <c r="R234" s="1" t="s">
        <v>16</v>
      </c>
      <c r="S234" s="1" t="s">
        <v>23</v>
      </c>
      <c r="T234" s="1" t="s">
        <v>61</v>
      </c>
      <c r="U234" s="1"/>
      <c r="V234" s="1">
        <v>931.06</v>
      </c>
      <c r="W234" s="1">
        <f>IF(Table1[[#This Row],[Claim_Amount]]&lt;0,0,Table1[[#This Row],[Claim_Amount]])</f>
        <v>931.06</v>
      </c>
      <c r="X234" s="1">
        <f>IF(Table1[[#This Row],[Column1]]=0,"",Table1[[#This Row],[Column1]])</f>
        <v>931.06</v>
      </c>
      <c r="Y234" s="1">
        <v>931.06</v>
      </c>
      <c r="Z234" s="1">
        <v>931.06</v>
      </c>
      <c r="AA234" s="1">
        <v>2896.06</v>
      </c>
      <c r="AB234" s="1" t="s">
        <v>42</v>
      </c>
      <c r="AC234" s="1" t="s">
        <v>1093</v>
      </c>
      <c r="AD234">
        <v>9</v>
      </c>
      <c r="AE234" s="3" t="s">
        <v>37</v>
      </c>
    </row>
    <row r="235" spans="1:31" ht="15.75" customHeight="1" x14ac:dyDescent="0.35">
      <c r="A235" s="1" t="s">
        <v>62</v>
      </c>
      <c r="B235" s="1" t="s">
        <v>446</v>
      </c>
      <c r="C235" s="1" t="s">
        <v>447</v>
      </c>
      <c r="D235" s="1" t="s">
        <v>301</v>
      </c>
      <c r="E235" s="5" t="s">
        <v>301</v>
      </c>
      <c r="F235" s="4" t="str">
        <f>IF(ISNUMBER(Table13[[#This Row],[Claim_Date2]]),"",Table13[[#This Row],[Claim_Date2]])</f>
        <v>Nov 25 2023</v>
      </c>
      <c r="G235" s="4" t="s">
        <v>301</v>
      </c>
      <c r="H235" s="4" t="str">
        <f>LEFT(Table13[[#This Row],[Values Col 1]],3)</f>
        <v>Nov</v>
      </c>
      <c r="I235" s="4" t="s">
        <v>1105</v>
      </c>
      <c r="J235" s="4" t="str">
        <f>MID(Table13[[#This Row],[Function Col]],5,2)</f>
        <v>25</v>
      </c>
      <c r="K235" s="4" t="s">
        <v>1123</v>
      </c>
      <c r="L235" s="4" t="str">
        <f>RIGHT(Table13[[#This Row],[Function Col]],4)</f>
        <v>2023</v>
      </c>
      <c r="M235" s="4" t="s">
        <v>1146</v>
      </c>
      <c r="N235" s="4" t="str">
        <f>IF(Table13[[#This Row],[Function Col5]]="","",_xlfn.CONCAT(Table13[[#This Row],[Day Col]],"/",Table13[[#This Row],[Month Col]],"/",Table13[[#This Row],[Year Col]]))</f>
        <v>25/Nov/2023</v>
      </c>
      <c r="O235" s="4" t="s">
        <v>1189</v>
      </c>
      <c r="P235" s="4" t="str">
        <f>IF(ISNUMBER(Table13[[#This Row],[Claim_Date2]]),Table13[[#This Row],[Claim_Date2]],Table13[[#This Row],[Function Col32]])</f>
        <v>25/Nov/2023</v>
      </c>
      <c r="Q235" s="4">
        <v>45255</v>
      </c>
      <c r="R235" s="1" t="s">
        <v>30</v>
      </c>
      <c r="S235" s="1" t="s">
        <v>23</v>
      </c>
      <c r="T235" t="s">
        <v>1086</v>
      </c>
      <c r="V235" s="1">
        <v>2948.76</v>
      </c>
      <c r="W235" s="1">
        <f>IF(Table1[[#This Row],[Claim_Amount]]&lt;0,0,Table1[[#This Row],[Claim_Amount]])</f>
        <v>2948.76</v>
      </c>
      <c r="X235" s="1">
        <f>IF(Table1[[#This Row],[Column1]]=0,"",Table1[[#This Row],[Column1]])</f>
        <v>2948.76</v>
      </c>
      <c r="Y235" s="1">
        <v>2948.76</v>
      </c>
      <c r="Z235" s="1">
        <v>2948.76</v>
      </c>
      <c r="AA235">
        <v>832</v>
      </c>
      <c r="AB235" s="1" t="s">
        <v>25</v>
      </c>
      <c r="AC235" s="1" t="s">
        <v>32</v>
      </c>
      <c r="AD235">
        <v>9</v>
      </c>
      <c r="AE235" s="3" t="s">
        <v>27</v>
      </c>
    </row>
    <row r="236" spans="1:31" ht="15.75" customHeight="1" x14ac:dyDescent="0.35">
      <c r="A236" s="1" t="s">
        <v>154</v>
      </c>
      <c r="B236" t="s">
        <v>1083</v>
      </c>
      <c r="C236" t="s">
        <v>1084</v>
      </c>
      <c r="D236" s="1" t="s">
        <v>448</v>
      </c>
      <c r="E236" s="5">
        <v>45122</v>
      </c>
      <c r="F236" s="4" t="str">
        <f>IF(ISNUMBER(Table13[[#This Row],[Claim_Date2]]),"",Table13[[#This Row],[Claim_Date2]])</f>
        <v/>
      </c>
      <c r="G236" s="4" t="s">
        <v>1098</v>
      </c>
      <c r="H236" s="4" t="str">
        <f>LEFT(Table13[[#This Row],[Values Col 1]],3)</f>
        <v/>
      </c>
      <c r="I236" s="4" t="s">
        <v>1098</v>
      </c>
      <c r="J236" s="4" t="str">
        <f>MID(Table13[[#This Row],[Function Col]],5,2)</f>
        <v/>
      </c>
      <c r="K236" s="4" t="s">
        <v>1098</v>
      </c>
      <c r="L236" s="4" t="str">
        <f>RIGHT(Table13[[#This Row],[Function Col]],4)</f>
        <v/>
      </c>
      <c r="M236" s="4" t="s">
        <v>1098</v>
      </c>
      <c r="N236" s="4" t="str">
        <f>IF(Table13[[#This Row],[Function Col5]]="","",_xlfn.CONCAT(Table13[[#This Row],[Day Col]],"/",Table13[[#This Row],[Month Col]],"/",Table13[[#This Row],[Year Col]]))</f>
        <v/>
      </c>
      <c r="O236" s="4" t="s">
        <v>1098</v>
      </c>
      <c r="P236" s="4">
        <f>IF(ISNUMBER(Table13[[#This Row],[Claim_Date2]]),Table13[[#This Row],[Claim_Date2]],Table13[[#This Row],[Function Col32]])</f>
        <v>45122</v>
      </c>
      <c r="Q236" s="4">
        <v>45122</v>
      </c>
      <c r="R236" s="1" t="s">
        <v>77</v>
      </c>
      <c r="S236" s="1" t="s">
        <v>93</v>
      </c>
      <c r="T236" s="1" t="s">
        <v>54</v>
      </c>
      <c r="U236" s="1"/>
      <c r="W236">
        <f>IF(Table1[[#This Row],[Claim_Amount]]&lt;0,0,Table1[[#This Row],[Claim_Amount]])</f>
        <v>0</v>
      </c>
      <c r="X236" t="str">
        <f>IF(Table1[[#This Row],[Column1]]=0,"",Table1[[#This Row],[Column1]])</f>
        <v/>
      </c>
      <c r="Y236" t="s">
        <v>1098</v>
      </c>
      <c r="Z236">
        <v>2481</v>
      </c>
      <c r="AA236" s="1">
        <v>4802.66</v>
      </c>
      <c r="AB236" s="1" t="s">
        <v>42</v>
      </c>
      <c r="AC236" s="1" t="s">
        <v>32</v>
      </c>
      <c r="AD236" s="1">
        <v>60</v>
      </c>
      <c r="AE236" s="3" t="s">
        <v>1097</v>
      </c>
    </row>
    <row r="237" spans="1:31" ht="15.75" customHeight="1" x14ac:dyDescent="0.35">
      <c r="A237" s="1" t="s">
        <v>20</v>
      </c>
      <c r="B237" s="1" t="s">
        <v>449</v>
      </c>
      <c r="C237" s="1" t="s">
        <v>238</v>
      </c>
      <c r="D237" s="1" t="s">
        <v>450</v>
      </c>
      <c r="E237" s="5" t="s">
        <v>450</v>
      </c>
      <c r="F237" s="4" t="str">
        <f>IF(ISNUMBER(Table13[[#This Row],[Claim_Date2]]),"",Table13[[#This Row],[Claim_Date2]])</f>
        <v>Jul 21 2023</v>
      </c>
      <c r="G237" s="4" t="s">
        <v>450</v>
      </c>
      <c r="H237" s="4" t="str">
        <f>LEFT(Table13[[#This Row],[Values Col 1]],3)</f>
        <v>Jul</v>
      </c>
      <c r="I237" s="4" t="s">
        <v>1101</v>
      </c>
      <c r="J237" s="4" t="str">
        <f>MID(Table13[[#This Row],[Function Col]],5,2)</f>
        <v>21</v>
      </c>
      <c r="K237" s="4" t="s">
        <v>1136</v>
      </c>
      <c r="L237" s="4" t="str">
        <f>RIGHT(Table13[[#This Row],[Function Col]],4)</f>
        <v>2023</v>
      </c>
      <c r="M237" s="4" t="s">
        <v>1146</v>
      </c>
      <c r="N237" s="4" t="str">
        <f>IF(Table13[[#This Row],[Function Col5]]="","",_xlfn.CONCAT(Table13[[#This Row],[Day Col]],"/",Table13[[#This Row],[Month Col]],"/",Table13[[#This Row],[Year Col]]))</f>
        <v>21/Jul/2023</v>
      </c>
      <c r="O237" s="4" t="s">
        <v>1225</v>
      </c>
      <c r="P237" s="4" t="str">
        <f>IF(ISNUMBER(Table13[[#This Row],[Claim_Date2]]),Table13[[#This Row],[Claim_Date2]],Table13[[#This Row],[Function Col32]])</f>
        <v>21/Jul/2023</v>
      </c>
      <c r="Q237" s="4">
        <v>45128</v>
      </c>
      <c r="R237" s="1" t="s">
        <v>30</v>
      </c>
      <c r="S237" s="1" t="s">
        <v>23</v>
      </c>
      <c r="T237" s="1" t="s">
        <v>41</v>
      </c>
      <c r="U237" s="1"/>
      <c r="W237">
        <f>IF(Table1[[#This Row],[Claim_Amount]]&lt;0,0,Table1[[#This Row],[Claim_Amount]])</f>
        <v>0</v>
      </c>
      <c r="X237" t="str">
        <f>IF(Table1[[#This Row],[Column1]]=0,"",Table1[[#This Row],[Column1]])</f>
        <v/>
      </c>
      <c r="Y237" t="s">
        <v>1098</v>
      </c>
      <c r="Z237">
        <v>2481</v>
      </c>
      <c r="AA237">
        <v>832</v>
      </c>
      <c r="AB237" s="1" t="s">
        <v>1091</v>
      </c>
      <c r="AC237" s="1" t="s">
        <v>18</v>
      </c>
      <c r="AD237" s="1">
        <v>10</v>
      </c>
      <c r="AE237" s="3" t="s">
        <v>65</v>
      </c>
    </row>
    <row r="238" spans="1:31" ht="15.75" customHeight="1" x14ac:dyDescent="0.35">
      <c r="A238" s="1" t="s">
        <v>110</v>
      </c>
      <c r="B238" s="1" t="s">
        <v>451</v>
      </c>
      <c r="C238" s="1" t="s">
        <v>425</v>
      </c>
      <c r="D238" s="1" t="s">
        <v>452</v>
      </c>
      <c r="E238" s="5" t="s">
        <v>452</v>
      </c>
      <c r="F238" s="4" t="str">
        <f>IF(ISNUMBER(Table13[[#This Row],[Claim_Date2]]),"",Table13[[#This Row],[Claim_Date2]])</f>
        <v>Jan 28 2023</v>
      </c>
      <c r="G238" s="4" t="s">
        <v>452</v>
      </c>
      <c r="H238" s="4" t="str">
        <f>LEFT(Table13[[#This Row],[Values Col 1]],3)</f>
        <v>Jan</v>
      </c>
      <c r="I238" s="4" t="s">
        <v>1107</v>
      </c>
      <c r="J238" s="4" t="str">
        <f>MID(Table13[[#This Row],[Function Col]],5,2)</f>
        <v>28</v>
      </c>
      <c r="K238" s="4" t="s">
        <v>1134</v>
      </c>
      <c r="L238" s="4" t="str">
        <f>RIGHT(Table13[[#This Row],[Function Col]],4)</f>
        <v>2023</v>
      </c>
      <c r="M238" s="4" t="s">
        <v>1146</v>
      </c>
      <c r="N238" s="4" t="str">
        <f>IF(Table13[[#This Row],[Function Col5]]="","",_xlfn.CONCAT(Table13[[#This Row],[Day Col]],"/",Table13[[#This Row],[Month Col]],"/",Table13[[#This Row],[Year Col]]))</f>
        <v>28/Jan/2023</v>
      </c>
      <c r="O238" s="4" t="s">
        <v>1226</v>
      </c>
      <c r="P238" s="4" t="str">
        <f>IF(ISNUMBER(Table13[[#This Row],[Claim_Date2]]),Table13[[#This Row],[Claim_Date2]],Table13[[#This Row],[Function Col32]])</f>
        <v>28/Jan/2023</v>
      </c>
      <c r="Q238" s="4">
        <v>44954</v>
      </c>
      <c r="R238" s="1" t="s">
        <v>77</v>
      </c>
      <c r="S238" t="s">
        <v>1085</v>
      </c>
      <c r="T238" s="1" t="s">
        <v>54</v>
      </c>
      <c r="U238" s="1"/>
      <c r="V238" s="1">
        <v>412.07</v>
      </c>
      <c r="W238" s="1">
        <f>IF(Table1[[#This Row],[Claim_Amount]]&lt;0,0,Table1[[#This Row],[Claim_Amount]])</f>
        <v>412.07</v>
      </c>
      <c r="X238" s="1">
        <f>IF(Table1[[#This Row],[Column1]]=0,"",Table1[[#This Row],[Column1]])</f>
        <v>412.07</v>
      </c>
      <c r="Y238" s="1">
        <v>412.07</v>
      </c>
      <c r="Z238" s="1">
        <v>412.07</v>
      </c>
      <c r="AA238" s="1">
        <v>1290.9000000000001</v>
      </c>
      <c r="AB238" s="1" t="s">
        <v>1091</v>
      </c>
      <c r="AC238" s="1" t="s">
        <v>1093</v>
      </c>
      <c r="AD238">
        <v>9</v>
      </c>
      <c r="AE238" s="3" t="s">
        <v>27</v>
      </c>
    </row>
    <row r="239" spans="1:31" ht="15.75" customHeight="1" x14ac:dyDescent="0.35">
      <c r="A239" s="1" t="s">
        <v>277</v>
      </c>
      <c r="B239" t="s">
        <v>1083</v>
      </c>
      <c r="C239" s="1" t="s">
        <v>453</v>
      </c>
      <c r="D239" s="1" t="s">
        <v>454</v>
      </c>
      <c r="E239" s="5">
        <v>45072</v>
      </c>
      <c r="F239" s="4" t="str">
        <f>IF(ISNUMBER(Table13[[#This Row],[Claim_Date2]]),"",Table13[[#This Row],[Claim_Date2]])</f>
        <v/>
      </c>
      <c r="G239" s="4" t="s">
        <v>1098</v>
      </c>
      <c r="H239" s="4" t="str">
        <f>LEFT(Table13[[#This Row],[Values Col 1]],3)</f>
        <v/>
      </c>
      <c r="I239" s="4" t="s">
        <v>1098</v>
      </c>
      <c r="J239" s="4" t="str">
        <f>MID(Table13[[#This Row],[Function Col]],5,2)</f>
        <v/>
      </c>
      <c r="K239" s="4" t="s">
        <v>1098</v>
      </c>
      <c r="L239" s="4" t="str">
        <f>RIGHT(Table13[[#This Row],[Function Col]],4)</f>
        <v/>
      </c>
      <c r="M239" s="4" t="s">
        <v>1098</v>
      </c>
      <c r="N239" s="4" t="str">
        <f>IF(Table13[[#This Row],[Function Col5]]="","",_xlfn.CONCAT(Table13[[#This Row],[Day Col]],"/",Table13[[#This Row],[Month Col]],"/",Table13[[#This Row],[Year Col]]))</f>
        <v/>
      </c>
      <c r="O239" s="4" t="s">
        <v>1098</v>
      </c>
      <c r="P239" s="4">
        <f>IF(ISNUMBER(Table13[[#This Row],[Claim_Date2]]),Table13[[#This Row],[Claim_Date2]],Table13[[#This Row],[Function Col32]])</f>
        <v>45072</v>
      </c>
      <c r="Q239" s="4">
        <v>45072</v>
      </c>
      <c r="R239" s="1" t="s">
        <v>92</v>
      </c>
      <c r="S239" s="1" t="s">
        <v>53</v>
      </c>
      <c r="T239" s="1" t="s">
        <v>48</v>
      </c>
      <c r="U239" s="1"/>
      <c r="W239">
        <f>IF(Table1[[#This Row],[Claim_Amount]]&lt;0,0,Table1[[#This Row],[Claim_Amount]])</f>
        <v>0</v>
      </c>
      <c r="X239" t="str">
        <f>IF(Table1[[#This Row],[Column1]]=0,"",Table1[[#This Row],[Column1]])</f>
        <v/>
      </c>
      <c r="Y239" t="s">
        <v>1098</v>
      </c>
      <c r="Z239">
        <v>2481</v>
      </c>
      <c r="AA239" s="1">
        <v>3482.62</v>
      </c>
      <c r="AB239" s="1" t="s">
        <v>1091</v>
      </c>
      <c r="AC239" s="1" t="s">
        <v>57</v>
      </c>
      <c r="AD239">
        <v>9</v>
      </c>
      <c r="AE239" s="3" t="s">
        <v>37</v>
      </c>
    </row>
    <row r="240" spans="1:31" ht="15.75" customHeight="1" x14ac:dyDescent="0.35">
      <c r="A240" s="1" t="s">
        <v>132</v>
      </c>
      <c r="B240" t="s">
        <v>1083</v>
      </c>
      <c r="C240" s="1" t="s">
        <v>455</v>
      </c>
      <c r="D240" s="1" t="s">
        <v>255</v>
      </c>
      <c r="E240" s="5">
        <v>45255</v>
      </c>
      <c r="F240" s="4" t="str">
        <f>IF(ISNUMBER(Table13[[#This Row],[Claim_Date2]]),"",Table13[[#This Row],[Claim_Date2]])</f>
        <v/>
      </c>
      <c r="G240" s="4" t="s">
        <v>1098</v>
      </c>
      <c r="H240" s="4" t="str">
        <f>LEFT(Table13[[#This Row],[Values Col 1]],3)</f>
        <v/>
      </c>
      <c r="I240" s="4" t="s">
        <v>1098</v>
      </c>
      <c r="J240" s="4" t="str">
        <f>MID(Table13[[#This Row],[Function Col]],5,2)</f>
        <v/>
      </c>
      <c r="K240" s="4" t="s">
        <v>1098</v>
      </c>
      <c r="L240" s="4" t="str">
        <f>RIGHT(Table13[[#This Row],[Function Col]],4)</f>
        <v/>
      </c>
      <c r="M240" s="4" t="s">
        <v>1098</v>
      </c>
      <c r="N240" s="4" t="str">
        <f>IF(Table13[[#This Row],[Function Col5]]="","",_xlfn.CONCAT(Table13[[#This Row],[Day Col]],"/",Table13[[#This Row],[Month Col]],"/",Table13[[#This Row],[Year Col]]))</f>
        <v/>
      </c>
      <c r="O240" s="4" t="s">
        <v>1098</v>
      </c>
      <c r="P240" s="4">
        <f>IF(ISNUMBER(Table13[[#This Row],[Claim_Date2]]),Table13[[#This Row],[Claim_Date2]],Table13[[#This Row],[Function Col32]])</f>
        <v>45255</v>
      </c>
      <c r="Q240" s="4">
        <v>45255</v>
      </c>
      <c r="R240" s="1" t="s">
        <v>85</v>
      </c>
      <c r="S240" s="1" t="s">
        <v>31</v>
      </c>
      <c r="T240" s="1" t="s">
        <v>24</v>
      </c>
      <c r="U240" s="1"/>
      <c r="V240" s="1">
        <v>-94</v>
      </c>
      <c r="W240" s="1">
        <f>IF(Table1[[#This Row],[Claim_Amount]]&lt;0,0,Table1[[#This Row],[Claim_Amount]])</f>
        <v>0</v>
      </c>
      <c r="X240" s="1" t="str">
        <f>IF(Table1[[#This Row],[Column1]]=0,"",Table1[[#This Row],[Column1]])</f>
        <v/>
      </c>
      <c r="Y240" s="1" t="s">
        <v>1098</v>
      </c>
      <c r="Z240" s="1">
        <v>2481</v>
      </c>
      <c r="AA240">
        <v>832</v>
      </c>
      <c r="AB240" s="1" t="s">
        <v>42</v>
      </c>
      <c r="AC240" s="1" t="s">
        <v>1093</v>
      </c>
      <c r="AD240" s="1">
        <v>35</v>
      </c>
      <c r="AE240" s="3" t="s">
        <v>65</v>
      </c>
    </row>
    <row r="241" spans="1:31" ht="15.75" customHeight="1" x14ac:dyDescent="0.35">
      <c r="A241" s="1" t="s">
        <v>43</v>
      </c>
      <c r="B241" s="1" t="s">
        <v>456</v>
      </c>
      <c r="C241" s="1" t="s">
        <v>97</v>
      </c>
      <c r="D241" s="1" t="s">
        <v>457</v>
      </c>
      <c r="E241" s="5" t="s">
        <v>457</v>
      </c>
      <c r="F241" s="4" t="str">
        <f>IF(ISNUMBER(Table13[[#This Row],[Claim_Date2]]),"",Table13[[#This Row],[Claim_Date2]])</f>
        <v>May 15 2023</v>
      </c>
      <c r="G241" s="4" t="s">
        <v>457</v>
      </c>
      <c r="H241" s="4" t="str">
        <f>LEFT(Table13[[#This Row],[Values Col 1]],3)</f>
        <v>May</v>
      </c>
      <c r="I241" s="4" t="s">
        <v>1110</v>
      </c>
      <c r="J241" s="4" t="str">
        <f>MID(Table13[[#This Row],[Function Col]],5,2)</f>
        <v>15</v>
      </c>
      <c r="K241" s="4" t="s">
        <v>1116</v>
      </c>
      <c r="L241" s="4" t="str">
        <f>RIGHT(Table13[[#This Row],[Function Col]],4)</f>
        <v>2023</v>
      </c>
      <c r="M241" s="4" t="s">
        <v>1146</v>
      </c>
      <c r="N241" s="4" t="str">
        <f>IF(Table13[[#This Row],[Function Col5]]="","",_xlfn.CONCAT(Table13[[#This Row],[Day Col]],"/",Table13[[#This Row],[Month Col]],"/",Table13[[#This Row],[Year Col]]))</f>
        <v>15/May/2023</v>
      </c>
      <c r="O241" s="4" t="s">
        <v>1227</v>
      </c>
      <c r="P241" s="4" t="str">
        <f>IF(ISNUMBER(Table13[[#This Row],[Claim_Date2]]),Table13[[#This Row],[Claim_Date2]],Table13[[#This Row],[Function Col32]])</f>
        <v>15/May/2023</v>
      </c>
      <c r="Q241" s="4">
        <v>45061</v>
      </c>
      <c r="R241" s="1" t="s">
        <v>16</v>
      </c>
      <c r="S241" s="1" t="s">
        <v>23</v>
      </c>
      <c r="T241" t="s">
        <v>1086</v>
      </c>
      <c r="V241" s="1">
        <v>423.23</v>
      </c>
      <c r="W241" s="1">
        <f>IF(Table1[[#This Row],[Claim_Amount]]&lt;0,0,Table1[[#This Row],[Claim_Amount]])</f>
        <v>423.23</v>
      </c>
      <c r="X241" s="1">
        <f>IF(Table1[[#This Row],[Column1]]=0,"",Table1[[#This Row],[Column1]])</f>
        <v>423.23</v>
      </c>
      <c r="Y241" s="1">
        <v>423.23</v>
      </c>
      <c r="Z241" s="1">
        <v>423.23</v>
      </c>
      <c r="AA241">
        <v>832</v>
      </c>
      <c r="AB241" s="1" t="s">
        <v>25</v>
      </c>
      <c r="AC241" s="1" t="s">
        <v>57</v>
      </c>
      <c r="AD241" s="1">
        <v>13</v>
      </c>
      <c r="AE241" s="3" t="s">
        <v>1097</v>
      </c>
    </row>
    <row r="242" spans="1:31" ht="15.75" customHeight="1" x14ac:dyDescent="0.35">
      <c r="A242" s="1" t="s">
        <v>247</v>
      </c>
      <c r="B242" t="s">
        <v>1083</v>
      </c>
      <c r="C242" s="1" t="s">
        <v>458</v>
      </c>
      <c r="D242" s="1" t="s">
        <v>459</v>
      </c>
      <c r="E242" s="5" t="s">
        <v>459</v>
      </c>
      <c r="F242" s="4" t="str">
        <f>IF(ISNUMBER(Table13[[#This Row],[Claim_Date2]]),"",Table13[[#This Row],[Claim_Date2]])</f>
        <v>Apr 25 2023</v>
      </c>
      <c r="G242" s="4" t="s">
        <v>459</v>
      </c>
      <c r="H242" s="4" t="str">
        <f>LEFT(Table13[[#This Row],[Values Col 1]],3)</f>
        <v>Apr</v>
      </c>
      <c r="I242" s="4" t="s">
        <v>1104</v>
      </c>
      <c r="J242" s="4" t="str">
        <f>MID(Table13[[#This Row],[Function Col]],5,2)</f>
        <v>25</v>
      </c>
      <c r="K242" s="4" t="s">
        <v>1123</v>
      </c>
      <c r="L242" s="4" t="str">
        <f>RIGHT(Table13[[#This Row],[Function Col]],4)</f>
        <v>2023</v>
      </c>
      <c r="M242" s="4" t="s">
        <v>1146</v>
      </c>
      <c r="N242" s="4" t="str">
        <f>IF(Table13[[#This Row],[Function Col5]]="","",_xlfn.CONCAT(Table13[[#This Row],[Day Col]],"/",Table13[[#This Row],[Month Col]],"/",Table13[[#This Row],[Year Col]]))</f>
        <v>25/Apr/2023</v>
      </c>
      <c r="O242" s="4" t="s">
        <v>1228</v>
      </c>
      <c r="P242" s="4" t="str">
        <f>IF(ISNUMBER(Table13[[#This Row],[Claim_Date2]]),Table13[[#This Row],[Claim_Date2]],Table13[[#This Row],[Function Col32]])</f>
        <v>25/Apr/2023</v>
      </c>
      <c r="Q242" s="4">
        <v>45041</v>
      </c>
      <c r="R242" s="1" t="s">
        <v>16</v>
      </c>
      <c r="S242" s="1" t="s">
        <v>31</v>
      </c>
      <c r="T242" s="1" t="s">
        <v>24</v>
      </c>
      <c r="U242" s="1"/>
      <c r="V242" s="1">
        <v>2350.27</v>
      </c>
      <c r="W242" s="1">
        <f>IF(Table1[[#This Row],[Claim_Amount]]&lt;0,0,Table1[[#This Row],[Claim_Amount]])</f>
        <v>2350.27</v>
      </c>
      <c r="X242" s="1">
        <f>IF(Table1[[#This Row],[Column1]]=0,"",Table1[[#This Row],[Column1]])</f>
        <v>2350.27</v>
      </c>
      <c r="Y242" s="1">
        <v>2350.27</v>
      </c>
      <c r="Z242" s="1">
        <v>2350.27</v>
      </c>
      <c r="AA242">
        <v>832</v>
      </c>
      <c r="AB242" s="1" t="s">
        <v>25</v>
      </c>
      <c r="AC242" s="1" t="s">
        <v>18</v>
      </c>
      <c r="AD242">
        <v>9</v>
      </c>
      <c r="AE242" s="3" t="s">
        <v>65</v>
      </c>
    </row>
    <row r="243" spans="1:31" ht="15.75" customHeight="1" x14ac:dyDescent="0.35">
      <c r="A243" s="1" t="s">
        <v>231</v>
      </c>
      <c r="B243" s="1" t="s">
        <v>460</v>
      </c>
      <c r="C243" s="1" t="s">
        <v>232</v>
      </c>
      <c r="D243" s="1" t="s">
        <v>461</v>
      </c>
      <c r="E243" s="5" t="s">
        <v>461</v>
      </c>
      <c r="F243" s="4" t="str">
        <f>IF(ISNUMBER(Table13[[#This Row],[Claim_Date2]]),"",Table13[[#This Row],[Claim_Date2]])</f>
        <v>Oct 17 2023</v>
      </c>
      <c r="G243" s="4" t="s">
        <v>461</v>
      </c>
      <c r="H243" s="4" t="str">
        <f>LEFT(Table13[[#This Row],[Values Col 1]],3)</f>
        <v>Oct</v>
      </c>
      <c r="I243" s="4" t="s">
        <v>1103</v>
      </c>
      <c r="J243" s="4" t="str">
        <f>MID(Table13[[#This Row],[Function Col]],5,2)</f>
        <v>17</v>
      </c>
      <c r="K243" s="4" t="s">
        <v>1140</v>
      </c>
      <c r="L243" s="4" t="str">
        <f>RIGHT(Table13[[#This Row],[Function Col]],4)</f>
        <v>2023</v>
      </c>
      <c r="M243" s="4" t="s">
        <v>1146</v>
      </c>
      <c r="N243" s="4" t="str">
        <f>IF(Table13[[#This Row],[Function Col5]]="","",_xlfn.CONCAT(Table13[[#This Row],[Day Col]],"/",Table13[[#This Row],[Month Col]],"/",Table13[[#This Row],[Year Col]]))</f>
        <v>17/Oct/2023</v>
      </c>
      <c r="O243" s="4" t="s">
        <v>1229</v>
      </c>
      <c r="P243" s="4" t="str">
        <f>IF(ISNUMBER(Table13[[#This Row],[Claim_Date2]]),Table13[[#This Row],[Claim_Date2]],Table13[[#This Row],[Function Col32]])</f>
        <v>17/Oct/2023</v>
      </c>
      <c r="Q243" s="4">
        <v>45216</v>
      </c>
      <c r="R243" s="1" t="s">
        <v>85</v>
      </c>
      <c r="S243" s="1" t="s">
        <v>93</v>
      </c>
      <c r="T243" t="s">
        <v>1086</v>
      </c>
      <c r="V243" s="1">
        <v>3673.42</v>
      </c>
      <c r="W243" s="1">
        <f>IF(Table1[[#This Row],[Claim_Amount]]&lt;0,0,Table1[[#This Row],[Claim_Amount]])</f>
        <v>3673.42</v>
      </c>
      <c r="X243" s="1">
        <f>IF(Table1[[#This Row],[Column1]]=0,"",Table1[[#This Row],[Column1]])</f>
        <v>3673.42</v>
      </c>
      <c r="Y243" s="1">
        <v>3673.42</v>
      </c>
      <c r="Z243" s="1">
        <v>3673.42</v>
      </c>
      <c r="AA243">
        <v>832</v>
      </c>
      <c r="AB243" s="1" t="s">
        <v>17</v>
      </c>
      <c r="AC243" s="1" t="s">
        <v>26</v>
      </c>
      <c r="AD243">
        <v>9</v>
      </c>
      <c r="AE243" s="3" t="s">
        <v>65</v>
      </c>
    </row>
    <row r="244" spans="1:31" ht="15.75" customHeight="1" x14ac:dyDescent="0.35">
      <c r="A244" s="1" t="s">
        <v>166</v>
      </c>
      <c r="B244" s="1" t="s">
        <v>462</v>
      </c>
      <c r="C244" t="s">
        <v>1084</v>
      </c>
      <c r="D244" s="1" t="s">
        <v>377</v>
      </c>
      <c r="E244" s="5">
        <v>45125</v>
      </c>
      <c r="F244" s="4" t="str">
        <f>IF(ISNUMBER(Table13[[#This Row],[Claim_Date2]]),"",Table13[[#This Row],[Claim_Date2]])</f>
        <v/>
      </c>
      <c r="G244" s="4" t="s">
        <v>1098</v>
      </c>
      <c r="H244" s="4" t="str">
        <f>LEFT(Table13[[#This Row],[Values Col 1]],3)</f>
        <v/>
      </c>
      <c r="I244" s="4" t="s">
        <v>1098</v>
      </c>
      <c r="J244" s="4" t="str">
        <f>MID(Table13[[#This Row],[Function Col]],5,2)</f>
        <v/>
      </c>
      <c r="K244" s="4" t="s">
        <v>1098</v>
      </c>
      <c r="L244" s="4" t="str">
        <f>RIGHT(Table13[[#This Row],[Function Col]],4)</f>
        <v/>
      </c>
      <c r="M244" s="4" t="s">
        <v>1098</v>
      </c>
      <c r="N244" s="4" t="str">
        <f>IF(Table13[[#This Row],[Function Col5]]="","",_xlfn.CONCAT(Table13[[#This Row],[Day Col]],"/",Table13[[#This Row],[Month Col]],"/",Table13[[#This Row],[Year Col]]))</f>
        <v/>
      </c>
      <c r="O244" s="4" t="s">
        <v>1098</v>
      </c>
      <c r="P244" s="4">
        <f>IF(ISNUMBER(Table13[[#This Row],[Claim_Date2]]),Table13[[#This Row],[Claim_Date2]],Table13[[#This Row],[Function Col32]])</f>
        <v>45125</v>
      </c>
      <c r="Q244" s="4">
        <v>45125</v>
      </c>
      <c r="R244" s="1" t="s">
        <v>16</v>
      </c>
      <c r="S244" t="s">
        <v>1085</v>
      </c>
      <c r="T244" s="1" t="s">
        <v>41</v>
      </c>
      <c r="U244" s="1"/>
      <c r="W244">
        <f>IF(Table1[[#This Row],[Claim_Amount]]&lt;0,0,Table1[[#This Row],[Claim_Amount]])</f>
        <v>0</v>
      </c>
      <c r="X244" t="str">
        <f>IF(Table1[[#This Row],[Column1]]=0,"",Table1[[#This Row],[Column1]])</f>
        <v/>
      </c>
      <c r="Y244" t="s">
        <v>1098</v>
      </c>
      <c r="Z244">
        <v>2481</v>
      </c>
      <c r="AA244">
        <v>832</v>
      </c>
      <c r="AB244" s="1" t="s">
        <v>1091</v>
      </c>
      <c r="AC244" s="1" t="s">
        <v>57</v>
      </c>
      <c r="AD244" s="1">
        <v>36</v>
      </c>
      <c r="AE244" s="3" t="s">
        <v>37</v>
      </c>
    </row>
    <row r="245" spans="1:31" ht="15.75" customHeight="1" x14ac:dyDescent="0.35">
      <c r="A245" s="1" t="s">
        <v>43</v>
      </c>
      <c r="B245" t="s">
        <v>1083</v>
      </c>
      <c r="C245" s="1" t="s">
        <v>463</v>
      </c>
      <c r="D245" s="1" t="s">
        <v>464</v>
      </c>
      <c r="E245" s="5">
        <v>45191</v>
      </c>
      <c r="F245" s="4" t="str">
        <f>IF(ISNUMBER(Table13[[#This Row],[Claim_Date2]]),"",Table13[[#This Row],[Claim_Date2]])</f>
        <v/>
      </c>
      <c r="G245" s="4" t="s">
        <v>1098</v>
      </c>
      <c r="H245" s="4" t="str">
        <f>LEFT(Table13[[#This Row],[Values Col 1]],3)</f>
        <v/>
      </c>
      <c r="I245" s="4" t="s">
        <v>1098</v>
      </c>
      <c r="J245" s="4" t="str">
        <f>MID(Table13[[#This Row],[Function Col]],5,2)</f>
        <v/>
      </c>
      <c r="K245" s="4" t="s">
        <v>1098</v>
      </c>
      <c r="L245" s="4" t="str">
        <f>RIGHT(Table13[[#This Row],[Function Col]],4)</f>
        <v/>
      </c>
      <c r="M245" s="4" t="s">
        <v>1098</v>
      </c>
      <c r="N245" s="4" t="str">
        <f>IF(Table13[[#This Row],[Function Col5]]="","",_xlfn.CONCAT(Table13[[#This Row],[Day Col]],"/",Table13[[#This Row],[Month Col]],"/",Table13[[#This Row],[Year Col]]))</f>
        <v/>
      </c>
      <c r="O245" s="4" t="s">
        <v>1098</v>
      </c>
      <c r="P245" s="4">
        <f>IF(ISNUMBER(Table13[[#This Row],[Claim_Date2]]),Table13[[#This Row],[Claim_Date2]],Table13[[#This Row],[Function Col32]])</f>
        <v>45191</v>
      </c>
      <c r="Q245" s="4">
        <v>45191</v>
      </c>
      <c r="R245" s="1" t="s">
        <v>30</v>
      </c>
      <c r="S245" s="1" t="s">
        <v>53</v>
      </c>
      <c r="T245" s="1" t="s">
        <v>41</v>
      </c>
      <c r="U245" s="1"/>
      <c r="V245" s="1">
        <v>-98</v>
      </c>
      <c r="W245" s="1">
        <f>IF(Table1[[#This Row],[Claim_Amount]]&lt;0,0,Table1[[#This Row],[Claim_Amount]])</f>
        <v>0</v>
      </c>
      <c r="X245" s="1" t="str">
        <f>IF(Table1[[#This Row],[Column1]]=0,"",Table1[[#This Row],[Column1]])</f>
        <v/>
      </c>
      <c r="Y245" s="1" t="s">
        <v>1098</v>
      </c>
      <c r="Z245" s="1">
        <v>2481</v>
      </c>
      <c r="AA245">
        <v>832</v>
      </c>
      <c r="AB245" s="1" t="s">
        <v>25</v>
      </c>
      <c r="AC245" s="1" t="s">
        <v>57</v>
      </c>
      <c r="AD245" s="1">
        <v>56</v>
      </c>
      <c r="AE245" s="3" t="s">
        <v>37</v>
      </c>
    </row>
    <row r="246" spans="1:31" ht="15.75" customHeight="1" x14ac:dyDescent="0.35">
      <c r="A246" s="1" t="s">
        <v>132</v>
      </c>
      <c r="B246" s="1" t="s">
        <v>465</v>
      </c>
      <c r="C246" t="s">
        <v>1084</v>
      </c>
      <c r="D246" s="1" t="s">
        <v>466</v>
      </c>
      <c r="E246" s="5">
        <v>45035</v>
      </c>
      <c r="F246" s="4" t="str">
        <f>IF(ISNUMBER(Table13[[#This Row],[Claim_Date2]]),"",Table13[[#This Row],[Claim_Date2]])</f>
        <v/>
      </c>
      <c r="G246" s="4" t="s">
        <v>1098</v>
      </c>
      <c r="H246" s="4" t="str">
        <f>LEFT(Table13[[#This Row],[Values Col 1]],3)</f>
        <v/>
      </c>
      <c r="I246" s="4" t="s">
        <v>1098</v>
      </c>
      <c r="J246" s="4" t="str">
        <f>MID(Table13[[#This Row],[Function Col]],5,2)</f>
        <v/>
      </c>
      <c r="K246" s="4" t="s">
        <v>1098</v>
      </c>
      <c r="L246" s="4" t="str">
        <f>RIGHT(Table13[[#This Row],[Function Col]],4)</f>
        <v/>
      </c>
      <c r="M246" s="4" t="s">
        <v>1098</v>
      </c>
      <c r="N246" s="4" t="str">
        <f>IF(Table13[[#This Row],[Function Col5]]="","",_xlfn.CONCAT(Table13[[#This Row],[Day Col]],"/",Table13[[#This Row],[Month Col]],"/",Table13[[#This Row],[Year Col]]))</f>
        <v/>
      </c>
      <c r="O246" s="4" t="s">
        <v>1098</v>
      </c>
      <c r="P246" s="4">
        <f>IF(ISNUMBER(Table13[[#This Row],[Claim_Date2]]),Table13[[#This Row],[Claim_Date2]],Table13[[#This Row],[Function Col32]])</f>
        <v>45035</v>
      </c>
      <c r="Q246" s="4">
        <v>45035</v>
      </c>
      <c r="R246" s="1" t="s">
        <v>92</v>
      </c>
      <c r="S246" s="1" t="s">
        <v>47</v>
      </c>
      <c r="T246" t="s">
        <v>1086</v>
      </c>
      <c r="W246">
        <f>IF(Table1[[#This Row],[Claim_Amount]]&lt;0,0,Table1[[#This Row],[Claim_Amount]])</f>
        <v>0</v>
      </c>
      <c r="X246" t="str">
        <f>IF(Table1[[#This Row],[Column1]]=0,"",Table1[[#This Row],[Column1]])</f>
        <v/>
      </c>
      <c r="Y246" t="s">
        <v>1098</v>
      </c>
      <c r="Z246">
        <v>2481</v>
      </c>
      <c r="AA246">
        <v>832</v>
      </c>
      <c r="AB246" s="1" t="s">
        <v>25</v>
      </c>
      <c r="AC246" s="1" t="s">
        <v>1093</v>
      </c>
      <c r="AD246">
        <v>9</v>
      </c>
      <c r="AE246" s="3" t="s">
        <v>37</v>
      </c>
    </row>
    <row r="247" spans="1:31" ht="15.75" customHeight="1" x14ac:dyDescent="0.35">
      <c r="A247" s="1" t="s">
        <v>187</v>
      </c>
      <c r="B247" s="1" t="s">
        <v>335</v>
      </c>
      <c r="C247" t="s">
        <v>1084</v>
      </c>
      <c r="D247" s="1" t="s">
        <v>467</v>
      </c>
      <c r="E247" s="5">
        <v>44938</v>
      </c>
      <c r="F247" s="4" t="str">
        <f>IF(ISNUMBER(Table13[[#This Row],[Claim_Date2]]),"",Table13[[#This Row],[Claim_Date2]])</f>
        <v/>
      </c>
      <c r="G247" s="4" t="s">
        <v>1098</v>
      </c>
      <c r="H247" s="4" t="str">
        <f>LEFT(Table13[[#This Row],[Values Col 1]],3)</f>
        <v/>
      </c>
      <c r="I247" s="4" t="s">
        <v>1098</v>
      </c>
      <c r="J247" s="4" t="str">
        <f>MID(Table13[[#This Row],[Function Col]],5,2)</f>
        <v/>
      </c>
      <c r="K247" s="4" t="s">
        <v>1098</v>
      </c>
      <c r="L247" s="4" t="str">
        <f>RIGHT(Table13[[#This Row],[Function Col]],4)</f>
        <v/>
      </c>
      <c r="M247" s="4" t="s">
        <v>1098</v>
      </c>
      <c r="N247" s="4" t="str">
        <f>IF(Table13[[#This Row],[Function Col5]]="","",_xlfn.CONCAT(Table13[[#This Row],[Day Col]],"/",Table13[[#This Row],[Month Col]],"/",Table13[[#This Row],[Year Col]]))</f>
        <v/>
      </c>
      <c r="O247" s="4" t="s">
        <v>1098</v>
      </c>
      <c r="P247" s="4">
        <f>IF(ISNUMBER(Table13[[#This Row],[Claim_Date2]]),Table13[[#This Row],[Claim_Date2]],Table13[[#This Row],[Function Col32]])</f>
        <v>44938</v>
      </c>
      <c r="Q247" s="4">
        <v>44938</v>
      </c>
      <c r="R247" s="1" t="s">
        <v>30</v>
      </c>
      <c r="S247" s="1" t="s">
        <v>47</v>
      </c>
      <c r="T247" s="1" t="s">
        <v>24</v>
      </c>
      <c r="U247" s="1"/>
      <c r="V247" s="1">
        <v>716.88</v>
      </c>
      <c r="W247" s="1">
        <f>IF(Table1[[#This Row],[Claim_Amount]]&lt;0,0,Table1[[#This Row],[Claim_Amount]])</f>
        <v>716.88</v>
      </c>
      <c r="X247" s="1">
        <f>IF(Table1[[#This Row],[Column1]]=0,"",Table1[[#This Row],[Column1]])</f>
        <v>716.88</v>
      </c>
      <c r="Y247" s="1">
        <v>716.88</v>
      </c>
      <c r="Z247" s="1">
        <v>716.88</v>
      </c>
      <c r="AA247" s="1">
        <v>4459.45</v>
      </c>
      <c r="AB247" s="1" t="s">
        <v>25</v>
      </c>
      <c r="AC247" s="1" t="s">
        <v>18</v>
      </c>
      <c r="AD247" s="1">
        <v>16</v>
      </c>
      <c r="AE247" s="3" t="s">
        <v>1097</v>
      </c>
    </row>
    <row r="248" spans="1:31" ht="15.75" customHeight="1" x14ac:dyDescent="0.35">
      <c r="A248" s="1" t="s">
        <v>78</v>
      </c>
      <c r="B248" t="s">
        <v>1083</v>
      </c>
      <c r="C248" s="1" t="s">
        <v>308</v>
      </c>
      <c r="D248" s="1" t="s">
        <v>417</v>
      </c>
      <c r="E248" s="5">
        <v>45265</v>
      </c>
      <c r="F248" s="4" t="str">
        <f>IF(ISNUMBER(Table13[[#This Row],[Claim_Date2]]),"",Table13[[#This Row],[Claim_Date2]])</f>
        <v/>
      </c>
      <c r="G248" s="4" t="s">
        <v>1098</v>
      </c>
      <c r="H248" s="4" t="str">
        <f>LEFT(Table13[[#This Row],[Values Col 1]],3)</f>
        <v/>
      </c>
      <c r="I248" s="4" t="s">
        <v>1098</v>
      </c>
      <c r="J248" s="4" t="str">
        <f>MID(Table13[[#This Row],[Function Col]],5,2)</f>
        <v/>
      </c>
      <c r="K248" s="4" t="s">
        <v>1098</v>
      </c>
      <c r="L248" s="4" t="str">
        <f>RIGHT(Table13[[#This Row],[Function Col]],4)</f>
        <v/>
      </c>
      <c r="M248" s="4" t="s">
        <v>1098</v>
      </c>
      <c r="N248" s="4" t="str">
        <f>IF(Table13[[#This Row],[Function Col5]]="","",_xlfn.CONCAT(Table13[[#This Row],[Day Col]],"/",Table13[[#This Row],[Month Col]],"/",Table13[[#This Row],[Year Col]]))</f>
        <v/>
      </c>
      <c r="O248" s="4" t="s">
        <v>1098</v>
      </c>
      <c r="P248" s="4">
        <f>IF(ISNUMBER(Table13[[#This Row],[Claim_Date2]]),Table13[[#This Row],[Claim_Date2]],Table13[[#This Row],[Function Col32]])</f>
        <v>45265</v>
      </c>
      <c r="Q248" s="4">
        <v>45265</v>
      </c>
      <c r="R248" s="1" t="s">
        <v>77</v>
      </c>
      <c r="S248" s="1" t="s">
        <v>47</v>
      </c>
      <c r="T248" s="1" t="s">
        <v>48</v>
      </c>
      <c r="U248" s="1"/>
      <c r="W248">
        <f>IF(Table1[[#This Row],[Claim_Amount]]&lt;0,0,Table1[[#This Row],[Claim_Amount]])</f>
        <v>0</v>
      </c>
      <c r="X248" t="str">
        <f>IF(Table1[[#This Row],[Column1]]=0,"",Table1[[#This Row],[Column1]])</f>
        <v/>
      </c>
      <c r="Y248" t="s">
        <v>1098</v>
      </c>
      <c r="Z248">
        <v>2481</v>
      </c>
      <c r="AA248">
        <v>832</v>
      </c>
      <c r="AB248" s="1" t="s">
        <v>17</v>
      </c>
      <c r="AC248" s="1" t="s">
        <v>57</v>
      </c>
      <c r="AD248" s="1">
        <v>52</v>
      </c>
      <c r="AE248" s="3" t="s">
        <v>1097</v>
      </c>
    </row>
    <row r="249" spans="1:31" ht="15.75" customHeight="1" x14ac:dyDescent="0.35">
      <c r="A249" s="1" t="s">
        <v>249</v>
      </c>
      <c r="B249" t="s">
        <v>1083</v>
      </c>
      <c r="C249" t="s">
        <v>1084</v>
      </c>
      <c r="D249" s="1" t="s">
        <v>468</v>
      </c>
      <c r="E249" s="5">
        <v>45159</v>
      </c>
      <c r="F249" s="4" t="str">
        <f>IF(ISNUMBER(Table13[[#This Row],[Claim_Date2]]),"",Table13[[#This Row],[Claim_Date2]])</f>
        <v/>
      </c>
      <c r="G249" s="4" t="s">
        <v>1098</v>
      </c>
      <c r="H249" s="4" t="str">
        <f>LEFT(Table13[[#This Row],[Values Col 1]],3)</f>
        <v/>
      </c>
      <c r="I249" s="4" t="s">
        <v>1098</v>
      </c>
      <c r="J249" s="4" t="str">
        <f>MID(Table13[[#This Row],[Function Col]],5,2)</f>
        <v/>
      </c>
      <c r="K249" s="4" t="s">
        <v>1098</v>
      </c>
      <c r="L249" s="4" t="str">
        <f>RIGHT(Table13[[#This Row],[Function Col]],4)</f>
        <v/>
      </c>
      <c r="M249" s="4" t="s">
        <v>1098</v>
      </c>
      <c r="N249" s="4" t="str">
        <f>IF(Table13[[#This Row],[Function Col5]]="","",_xlfn.CONCAT(Table13[[#This Row],[Day Col]],"/",Table13[[#This Row],[Month Col]],"/",Table13[[#This Row],[Year Col]]))</f>
        <v/>
      </c>
      <c r="O249" s="4" t="s">
        <v>1098</v>
      </c>
      <c r="P249" s="4">
        <f>IF(ISNUMBER(Table13[[#This Row],[Claim_Date2]]),Table13[[#This Row],[Claim_Date2]],Table13[[#This Row],[Function Col32]])</f>
        <v>45159</v>
      </c>
      <c r="Q249" s="4">
        <v>45159</v>
      </c>
      <c r="R249" s="1" t="s">
        <v>85</v>
      </c>
      <c r="S249" s="1" t="s">
        <v>53</v>
      </c>
      <c r="T249" s="1" t="s">
        <v>48</v>
      </c>
      <c r="U249" s="1"/>
      <c r="W249">
        <f>IF(Table1[[#This Row],[Claim_Amount]]&lt;0,0,Table1[[#This Row],[Claim_Amount]])</f>
        <v>0</v>
      </c>
      <c r="X249" t="str">
        <f>IF(Table1[[#This Row],[Column1]]=0,"",Table1[[#This Row],[Column1]])</f>
        <v/>
      </c>
      <c r="Y249" t="s">
        <v>1098</v>
      </c>
      <c r="Z249">
        <v>2481</v>
      </c>
      <c r="AA249">
        <v>832</v>
      </c>
      <c r="AB249" s="1" t="s">
        <v>25</v>
      </c>
      <c r="AC249" s="1" t="s">
        <v>18</v>
      </c>
      <c r="AD249" s="1">
        <v>38</v>
      </c>
      <c r="AE249" s="3" t="s">
        <v>65</v>
      </c>
    </row>
    <row r="250" spans="1:31" ht="15.75" customHeight="1" x14ac:dyDescent="0.35">
      <c r="A250" s="1" t="s">
        <v>285</v>
      </c>
      <c r="B250" t="s">
        <v>1083</v>
      </c>
      <c r="C250" s="1" t="s">
        <v>469</v>
      </c>
      <c r="D250" s="1" t="s">
        <v>470</v>
      </c>
      <c r="E250" s="5">
        <v>44974</v>
      </c>
      <c r="F250" s="4" t="str">
        <f>IF(ISNUMBER(Table13[[#This Row],[Claim_Date2]]),"",Table13[[#This Row],[Claim_Date2]])</f>
        <v/>
      </c>
      <c r="G250" s="4" t="s">
        <v>1098</v>
      </c>
      <c r="H250" s="4" t="str">
        <f>LEFT(Table13[[#This Row],[Values Col 1]],3)</f>
        <v/>
      </c>
      <c r="I250" s="4" t="s">
        <v>1098</v>
      </c>
      <c r="J250" s="4" t="str">
        <f>MID(Table13[[#This Row],[Function Col]],5,2)</f>
        <v/>
      </c>
      <c r="K250" s="4" t="s">
        <v>1098</v>
      </c>
      <c r="L250" s="4" t="str">
        <f>RIGHT(Table13[[#This Row],[Function Col]],4)</f>
        <v/>
      </c>
      <c r="M250" s="4" t="s">
        <v>1098</v>
      </c>
      <c r="N250" s="4" t="str">
        <f>IF(Table13[[#This Row],[Function Col5]]="","",_xlfn.CONCAT(Table13[[#This Row],[Day Col]],"/",Table13[[#This Row],[Month Col]],"/",Table13[[#This Row],[Year Col]]))</f>
        <v/>
      </c>
      <c r="O250" s="4" t="s">
        <v>1098</v>
      </c>
      <c r="P250" s="4">
        <f>IF(ISNUMBER(Table13[[#This Row],[Claim_Date2]]),Table13[[#This Row],[Claim_Date2]],Table13[[#This Row],[Function Col32]])</f>
        <v>44974</v>
      </c>
      <c r="Q250" s="4">
        <v>44974</v>
      </c>
      <c r="R250" s="1" t="s">
        <v>30</v>
      </c>
      <c r="S250" s="1" t="s">
        <v>47</v>
      </c>
      <c r="T250" s="1" t="s">
        <v>61</v>
      </c>
      <c r="U250" s="1"/>
      <c r="V250" s="1">
        <v>-183</v>
      </c>
      <c r="W250" s="1">
        <f>IF(Table1[[#This Row],[Claim_Amount]]&lt;0,0,Table1[[#This Row],[Claim_Amount]])</f>
        <v>0</v>
      </c>
      <c r="X250" s="1" t="str">
        <f>IF(Table1[[#This Row],[Column1]]=0,"",Table1[[#This Row],[Column1]])</f>
        <v/>
      </c>
      <c r="Y250" s="1" t="s">
        <v>1098</v>
      </c>
      <c r="Z250" s="1">
        <v>2481</v>
      </c>
      <c r="AA250">
        <v>832</v>
      </c>
      <c r="AB250" s="1" t="s">
        <v>25</v>
      </c>
      <c r="AC250" s="1" t="s">
        <v>57</v>
      </c>
      <c r="AD250" s="1">
        <v>27</v>
      </c>
      <c r="AE250" s="3" t="s">
        <v>37</v>
      </c>
    </row>
    <row r="251" spans="1:31" ht="15.75" customHeight="1" x14ac:dyDescent="0.35">
      <c r="A251" s="1" t="s">
        <v>179</v>
      </c>
      <c r="B251" t="s">
        <v>1083</v>
      </c>
      <c r="C251" s="1" t="s">
        <v>471</v>
      </c>
      <c r="D251" s="1" t="s">
        <v>472</v>
      </c>
      <c r="E251" s="5">
        <v>44995</v>
      </c>
      <c r="F251" s="4" t="str">
        <f>IF(ISNUMBER(Table13[[#This Row],[Claim_Date2]]),"",Table13[[#This Row],[Claim_Date2]])</f>
        <v/>
      </c>
      <c r="G251" s="4" t="s">
        <v>1098</v>
      </c>
      <c r="H251" s="4" t="str">
        <f>LEFT(Table13[[#This Row],[Values Col 1]],3)</f>
        <v/>
      </c>
      <c r="I251" s="4" t="s">
        <v>1098</v>
      </c>
      <c r="J251" s="4" t="str">
        <f>MID(Table13[[#This Row],[Function Col]],5,2)</f>
        <v/>
      </c>
      <c r="K251" s="4" t="s">
        <v>1098</v>
      </c>
      <c r="L251" s="4" t="str">
        <f>RIGHT(Table13[[#This Row],[Function Col]],4)</f>
        <v/>
      </c>
      <c r="M251" s="4" t="s">
        <v>1098</v>
      </c>
      <c r="N251" s="4" t="str">
        <f>IF(Table13[[#This Row],[Function Col5]]="","",_xlfn.CONCAT(Table13[[#This Row],[Day Col]],"/",Table13[[#This Row],[Month Col]],"/",Table13[[#This Row],[Year Col]]))</f>
        <v/>
      </c>
      <c r="O251" s="4" t="s">
        <v>1098</v>
      </c>
      <c r="P251" s="4">
        <f>IF(ISNUMBER(Table13[[#This Row],[Claim_Date2]]),Table13[[#This Row],[Claim_Date2]],Table13[[#This Row],[Function Col32]])</f>
        <v>44995</v>
      </c>
      <c r="Q251" s="4">
        <v>44995</v>
      </c>
      <c r="R251" s="1" t="s">
        <v>85</v>
      </c>
      <c r="S251" s="1" t="s">
        <v>93</v>
      </c>
      <c r="T251" s="1" t="s">
        <v>61</v>
      </c>
      <c r="U251" s="1"/>
      <c r="V251" s="1">
        <v>-149</v>
      </c>
      <c r="W251" s="1">
        <f>IF(Table1[[#This Row],[Claim_Amount]]&lt;0,0,Table1[[#This Row],[Claim_Amount]])</f>
        <v>0</v>
      </c>
      <c r="X251" s="1" t="str">
        <f>IF(Table1[[#This Row],[Column1]]=0,"",Table1[[#This Row],[Column1]])</f>
        <v/>
      </c>
      <c r="Y251" s="1" t="s">
        <v>1098</v>
      </c>
      <c r="Z251" s="1">
        <v>2481</v>
      </c>
      <c r="AA251" s="1">
        <v>1326.13</v>
      </c>
      <c r="AB251" s="1" t="s">
        <v>25</v>
      </c>
      <c r="AC251" s="1" t="s">
        <v>57</v>
      </c>
      <c r="AD251" s="1">
        <v>33</v>
      </c>
      <c r="AE251" s="3" t="s">
        <v>1097</v>
      </c>
    </row>
    <row r="252" spans="1:31" ht="15.75" customHeight="1" x14ac:dyDescent="0.35">
      <c r="A252" s="1" t="s">
        <v>89</v>
      </c>
      <c r="B252" t="s">
        <v>1083</v>
      </c>
      <c r="C252" t="s">
        <v>1084</v>
      </c>
      <c r="D252" s="1" t="s">
        <v>473</v>
      </c>
      <c r="E252" s="5">
        <v>45136</v>
      </c>
      <c r="F252" s="4" t="str">
        <f>IF(ISNUMBER(Table13[[#This Row],[Claim_Date2]]),"",Table13[[#This Row],[Claim_Date2]])</f>
        <v/>
      </c>
      <c r="G252" s="4" t="s">
        <v>1098</v>
      </c>
      <c r="H252" s="4" t="str">
        <f>LEFT(Table13[[#This Row],[Values Col 1]],3)</f>
        <v/>
      </c>
      <c r="I252" s="4" t="s">
        <v>1098</v>
      </c>
      <c r="J252" s="4" t="str">
        <f>MID(Table13[[#This Row],[Function Col]],5,2)</f>
        <v/>
      </c>
      <c r="K252" s="4" t="s">
        <v>1098</v>
      </c>
      <c r="L252" s="4" t="str">
        <f>RIGHT(Table13[[#This Row],[Function Col]],4)</f>
        <v/>
      </c>
      <c r="M252" s="4" t="s">
        <v>1098</v>
      </c>
      <c r="N252" s="4" t="str">
        <f>IF(Table13[[#This Row],[Function Col5]]="","",_xlfn.CONCAT(Table13[[#This Row],[Day Col]],"/",Table13[[#This Row],[Month Col]],"/",Table13[[#This Row],[Year Col]]))</f>
        <v/>
      </c>
      <c r="O252" s="4" t="s">
        <v>1098</v>
      </c>
      <c r="P252" s="4">
        <f>IF(ISNUMBER(Table13[[#This Row],[Claim_Date2]]),Table13[[#This Row],[Claim_Date2]],Table13[[#This Row],[Function Col32]])</f>
        <v>45136</v>
      </c>
      <c r="Q252" s="4">
        <v>45136</v>
      </c>
      <c r="R252" s="1" t="s">
        <v>77</v>
      </c>
      <c r="S252" t="s">
        <v>1085</v>
      </c>
      <c r="T252" s="1" t="s">
        <v>54</v>
      </c>
      <c r="U252" s="1"/>
      <c r="V252" s="1">
        <v>-147</v>
      </c>
      <c r="W252" s="1">
        <f>IF(Table1[[#This Row],[Claim_Amount]]&lt;0,0,Table1[[#This Row],[Claim_Amount]])</f>
        <v>0</v>
      </c>
      <c r="X252" s="1" t="str">
        <f>IF(Table1[[#This Row],[Column1]]=0,"",Table1[[#This Row],[Column1]])</f>
        <v/>
      </c>
      <c r="Y252" s="1" t="s">
        <v>1098</v>
      </c>
      <c r="Z252" s="1">
        <v>2481</v>
      </c>
      <c r="AA252">
        <v>832</v>
      </c>
      <c r="AB252" s="1" t="s">
        <v>42</v>
      </c>
      <c r="AC252" s="1" t="s">
        <v>1093</v>
      </c>
      <c r="AD252" s="1">
        <v>48</v>
      </c>
      <c r="AE252" s="3" t="s">
        <v>37</v>
      </c>
    </row>
    <row r="253" spans="1:31" ht="15.75" customHeight="1" x14ac:dyDescent="0.35">
      <c r="A253" s="1" t="s">
        <v>20</v>
      </c>
      <c r="B253" t="s">
        <v>1083</v>
      </c>
      <c r="C253" t="s">
        <v>1084</v>
      </c>
      <c r="D253" s="1" t="s">
        <v>474</v>
      </c>
      <c r="E253" s="5">
        <v>45211</v>
      </c>
      <c r="F253" s="4" t="str">
        <f>IF(ISNUMBER(Table13[[#This Row],[Claim_Date2]]),"",Table13[[#This Row],[Claim_Date2]])</f>
        <v/>
      </c>
      <c r="G253" s="4" t="s">
        <v>1098</v>
      </c>
      <c r="H253" s="4" t="str">
        <f>LEFT(Table13[[#This Row],[Values Col 1]],3)</f>
        <v/>
      </c>
      <c r="I253" s="4" t="s">
        <v>1098</v>
      </c>
      <c r="J253" s="4" t="str">
        <f>MID(Table13[[#This Row],[Function Col]],5,2)</f>
        <v/>
      </c>
      <c r="K253" s="4" t="s">
        <v>1098</v>
      </c>
      <c r="L253" s="4" t="str">
        <f>RIGHT(Table13[[#This Row],[Function Col]],4)</f>
        <v/>
      </c>
      <c r="M253" s="4" t="s">
        <v>1098</v>
      </c>
      <c r="N253" s="4" t="str">
        <f>IF(Table13[[#This Row],[Function Col5]]="","",_xlfn.CONCAT(Table13[[#This Row],[Day Col]],"/",Table13[[#This Row],[Month Col]],"/",Table13[[#This Row],[Year Col]]))</f>
        <v/>
      </c>
      <c r="O253" s="4" t="s">
        <v>1098</v>
      </c>
      <c r="P253" s="4">
        <f>IF(ISNUMBER(Table13[[#This Row],[Claim_Date2]]),Table13[[#This Row],[Claim_Date2]],Table13[[#This Row],[Function Col32]])</f>
        <v>45211</v>
      </c>
      <c r="Q253" s="4">
        <v>45211</v>
      </c>
      <c r="R253" s="1" t="s">
        <v>92</v>
      </c>
      <c r="S253" s="1" t="s">
        <v>47</v>
      </c>
      <c r="T253" s="1" t="s">
        <v>41</v>
      </c>
      <c r="U253" s="1"/>
      <c r="W253">
        <f>IF(Table1[[#This Row],[Claim_Amount]]&lt;0,0,Table1[[#This Row],[Claim_Amount]])</f>
        <v>0</v>
      </c>
      <c r="X253" t="str">
        <f>IF(Table1[[#This Row],[Column1]]=0,"",Table1[[#This Row],[Column1]])</f>
        <v/>
      </c>
      <c r="Y253" t="s">
        <v>1098</v>
      </c>
      <c r="Z253">
        <v>2481</v>
      </c>
      <c r="AA253">
        <v>832</v>
      </c>
      <c r="AB253" s="1" t="s">
        <v>25</v>
      </c>
      <c r="AC253" s="1" t="s">
        <v>18</v>
      </c>
      <c r="AD253">
        <v>9</v>
      </c>
      <c r="AE253" s="3" t="s">
        <v>65</v>
      </c>
    </row>
    <row r="254" spans="1:31" ht="15.75" customHeight="1" x14ac:dyDescent="0.35">
      <c r="A254" s="1" t="s">
        <v>108</v>
      </c>
      <c r="B254" t="s">
        <v>1083</v>
      </c>
      <c r="C254" t="s">
        <v>1084</v>
      </c>
      <c r="D254" s="1" t="s">
        <v>398</v>
      </c>
      <c r="E254" s="5" t="s">
        <v>398</v>
      </c>
      <c r="F254" s="4" t="str">
        <f>IF(ISNUMBER(Table13[[#This Row],[Claim_Date2]]),"",Table13[[#This Row],[Claim_Date2]])</f>
        <v>Dec 23 2023</v>
      </c>
      <c r="G254" s="4" t="s">
        <v>398</v>
      </c>
      <c r="H254" s="4" t="str">
        <f>LEFT(Table13[[#This Row],[Values Col 1]],3)</f>
        <v>Dec</v>
      </c>
      <c r="I254" s="4" t="s">
        <v>1111</v>
      </c>
      <c r="J254" s="4" t="str">
        <f>MID(Table13[[#This Row],[Function Col]],5,2)</f>
        <v>23</v>
      </c>
      <c r="K254" s="4" t="s">
        <v>1143</v>
      </c>
      <c r="L254" s="4" t="str">
        <f>RIGHT(Table13[[#This Row],[Function Col]],4)</f>
        <v>2023</v>
      </c>
      <c r="M254" s="4" t="s">
        <v>1146</v>
      </c>
      <c r="N254" s="4" t="str">
        <f>IF(Table13[[#This Row],[Function Col5]]="","",_xlfn.CONCAT(Table13[[#This Row],[Day Col]],"/",Table13[[#This Row],[Month Col]],"/",Table13[[#This Row],[Year Col]]))</f>
        <v>23/Dec/2023</v>
      </c>
      <c r="O254" s="4" t="s">
        <v>1210</v>
      </c>
      <c r="P254" s="4" t="str">
        <f>IF(ISNUMBER(Table13[[#This Row],[Claim_Date2]]),Table13[[#This Row],[Claim_Date2]],Table13[[#This Row],[Function Col32]])</f>
        <v>23/Dec/2023</v>
      </c>
      <c r="Q254" s="4">
        <v>45283</v>
      </c>
      <c r="R254" s="1" t="s">
        <v>16</v>
      </c>
      <c r="S254" s="1" t="s">
        <v>23</v>
      </c>
      <c r="T254" s="1" t="s">
        <v>24</v>
      </c>
      <c r="U254" s="1"/>
      <c r="V254" s="1">
        <v>1976.06</v>
      </c>
      <c r="W254" s="1">
        <f>IF(Table1[[#This Row],[Claim_Amount]]&lt;0,0,Table1[[#This Row],[Claim_Amount]])</f>
        <v>1976.06</v>
      </c>
      <c r="X254" s="1">
        <f>IF(Table1[[#This Row],[Column1]]=0,"",Table1[[#This Row],[Column1]])</f>
        <v>1976.06</v>
      </c>
      <c r="Y254" s="1">
        <v>1976.06</v>
      </c>
      <c r="Z254" s="1">
        <v>1976.06</v>
      </c>
      <c r="AA254" s="1">
        <v>4031.63</v>
      </c>
      <c r="AB254" s="1" t="s">
        <v>25</v>
      </c>
      <c r="AC254" s="1" t="s">
        <v>57</v>
      </c>
      <c r="AD254" s="1">
        <v>27</v>
      </c>
      <c r="AE254" s="3" t="s">
        <v>19</v>
      </c>
    </row>
    <row r="255" spans="1:31" ht="15.75" customHeight="1" x14ac:dyDescent="0.35">
      <c r="A255" s="1" t="s">
        <v>247</v>
      </c>
      <c r="B255" t="s">
        <v>1083</v>
      </c>
      <c r="C255" s="1" t="s">
        <v>203</v>
      </c>
      <c r="D255" s="1" t="s">
        <v>475</v>
      </c>
      <c r="E255" s="5" t="s">
        <v>475</v>
      </c>
      <c r="F255" s="4" t="str">
        <f>IF(ISNUMBER(Table13[[#This Row],[Claim_Date2]]),"",Table13[[#This Row],[Claim_Date2]])</f>
        <v>Nov 11 2023</v>
      </c>
      <c r="G255" s="4" t="s">
        <v>475</v>
      </c>
      <c r="H255" s="4" t="str">
        <f>LEFT(Table13[[#This Row],[Values Col 1]],3)</f>
        <v>Nov</v>
      </c>
      <c r="I255" s="4" t="s">
        <v>1105</v>
      </c>
      <c r="J255" s="4" t="str">
        <f>MID(Table13[[#This Row],[Function Col]],5,2)</f>
        <v>11</v>
      </c>
      <c r="K255" s="4" t="s">
        <v>1121</v>
      </c>
      <c r="L255" s="4" t="str">
        <f>RIGHT(Table13[[#This Row],[Function Col]],4)</f>
        <v>2023</v>
      </c>
      <c r="M255" s="4" t="s">
        <v>1146</v>
      </c>
      <c r="N255" s="4" t="str">
        <f>IF(Table13[[#This Row],[Function Col5]]="","",_xlfn.CONCAT(Table13[[#This Row],[Day Col]],"/",Table13[[#This Row],[Month Col]],"/",Table13[[#This Row],[Year Col]]))</f>
        <v>11/Nov/2023</v>
      </c>
      <c r="O255" s="4" t="s">
        <v>1230</v>
      </c>
      <c r="P255" s="4" t="str">
        <f>IF(ISNUMBER(Table13[[#This Row],[Claim_Date2]]),Table13[[#This Row],[Claim_Date2]],Table13[[#This Row],[Function Col32]])</f>
        <v>11/Nov/2023</v>
      </c>
      <c r="Q255" s="4">
        <v>45241</v>
      </c>
      <c r="R255" s="1" t="s">
        <v>30</v>
      </c>
      <c r="S255" s="1" t="s">
        <v>31</v>
      </c>
      <c r="T255" t="s">
        <v>1086</v>
      </c>
      <c r="W255">
        <f>IF(Table1[[#This Row],[Claim_Amount]]&lt;0,0,Table1[[#This Row],[Claim_Amount]])</f>
        <v>0</v>
      </c>
      <c r="X255" t="str">
        <f>IF(Table1[[#This Row],[Column1]]=0,"",Table1[[#This Row],[Column1]])</f>
        <v/>
      </c>
      <c r="Y255" t="s">
        <v>1098</v>
      </c>
      <c r="Z255">
        <v>2481</v>
      </c>
      <c r="AA255">
        <v>832</v>
      </c>
      <c r="AB255" s="1" t="s">
        <v>25</v>
      </c>
      <c r="AC255" s="1" t="s">
        <v>18</v>
      </c>
      <c r="AD255">
        <v>9</v>
      </c>
      <c r="AE255" s="3" t="s">
        <v>1097</v>
      </c>
    </row>
    <row r="256" spans="1:31" ht="15.75" customHeight="1" x14ac:dyDescent="0.35">
      <c r="A256" s="1" t="s">
        <v>261</v>
      </c>
      <c r="B256" s="1" t="s">
        <v>476</v>
      </c>
      <c r="C256" s="1" t="s">
        <v>440</v>
      </c>
      <c r="D256" s="1" t="s">
        <v>477</v>
      </c>
      <c r="E256" s="5">
        <v>45241</v>
      </c>
      <c r="F256" s="4" t="str">
        <f>IF(ISNUMBER(Table13[[#This Row],[Claim_Date2]]),"",Table13[[#This Row],[Claim_Date2]])</f>
        <v/>
      </c>
      <c r="G256" s="4" t="s">
        <v>1098</v>
      </c>
      <c r="H256" s="4" t="str">
        <f>LEFT(Table13[[#This Row],[Values Col 1]],3)</f>
        <v/>
      </c>
      <c r="I256" s="4" t="s">
        <v>1098</v>
      </c>
      <c r="J256" s="4" t="str">
        <f>MID(Table13[[#This Row],[Function Col]],5,2)</f>
        <v/>
      </c>
      <c r="K256" s="4" t="s">
        <v>1098</v>
      </c>
      <c r="L256" s="4" t="str">
        <f>RIGHT(Table13[[#This Row],[Function Col]],4)</f>
        <v/>
      </c>
      <c r="M256" s="4" t="s">
        <v>1098</v>
      </c>
      <c r="N256" s="4" t="str">
        <f>IF(Table13[[#This Row],[Function Col5]]="","",_xlfn.CONCAT(Table13[[#This Row],[Day Col]],"/",Table13[[#This Row],[Month Col]],"/",Table13[[#This Row],[Year Col]]))</f>
        <v/>
      </c>
      <c r="O256" s="4" t="s">
        <v>1098</v>
      </c>
      <c r="P256" s="4">
        <f>IF(ISNUMBER(Table13[[#This Row],[Claim_Date2]]),Table13[[#This Row],[Claim_Date2]],Table13[[#This Row],[Function Col32]])</f>
        <v>45241</v>
      </c>
      <c r="Q256" s="4">
        <v>45241</v>
      </c>
      <c r="R256" s="1" t="s">
        <v>92</v>
      </c>
      <c r="S256" s="1" t="s">
        <v>93</v>
      </c>
      <c r="T256" t="s">
        <v>1086</v>
      </c>
      <c r="V256" s="1">
        <v>51.42</v>
      </c>
      <c r="W256" s="1">
        <f>IF(Table1[[#This Row],[Claim_Amount]]&lt;0,0,Table1[[#This Row],[Claim_Amount]])</f>
        <v>51.42</v>
      </c>
      <c r="X256" s="1">
        <f>IF(Table1[[#This Row],[Column1]]=0,"",Table1[[#This Row],[Column1]])</f>
        <v>51.42</v>
      </c>
      <c r="Y256" s="1">
        <v>51.42</v>
      </c>
      <c r="Z256" s="1">
        <v>51.42</v>
      </c>
      <c r="AA256">
        <v>832</v>
      </c>
      <c r="AB256" s="1" t="s">
        <v>42</v>
      </c>
      <c r="AC256" s="1" t="s">
        <v>1093</v>
      </c>
      <c r="AD256">
        <v>9</v>
      </c>
      <c r="AE256" s="3" t="s">
        <v>65</v>
      </c>
    </row>
    <row r="257" spans="1:31" ht="15.75" customHeight="1" x14ac:dyDescent="0.35">
      <c r="A257" s="1" t="s">
        <v>302</v>
      </c>
      <c r="B257" t="s">
        <v>1083</v>
      </c>
      <c r="C257" s="1" t="s">
        <v>271</v>
      </c>
      <c r="D257" s="1" t="s">
        <v>478</v>
      </c>
      <c r="E257" s="5" t="s">
        <v>478</v>
      </c>
      <c r="F257" s="4" t="str">
        <f>IF(ISNUMBER(Table13[[#This Row],[Claim_Date2]]),"",Table13[[#This Row],[Claim_Date2]])</f>
        <v>May 26 2023</v>
      </c>
      <c r="G257" s="4" t="s">
        <v>478</v>
      </c>
      <c r="H257" s="4" t="str">
        <f>LEFT(Table13[[#This Row],[Values Col 1]],3)</f>
        <v>May</v>
      </c>
      <c r="I257" s="4" t="s">
        <v>1110</v>
      </c>
      <c r="J257" s="4" t="str">
        <f>MID(Table13[[#This Row],[Function Col]],5,2)</f>
        <v>26</v>
      </c>
      <c r="K257" s="4" t="s">
        <v>1117</v>
      </c>
      <c r="L257" s="4" t="str">
        <f>RIGHT(Table13[[#This Row],[Function Col]],4)</f>
        <v>2023</v>
      </c>
      <c r="M257" s="4" t="s">
        <v>1146</v>
      </c>
      <c r="N257" s="4" t="str">
        <f>IF(Table13[[#This Row],[Function Col5]]="","",_xlfn.CONCAT(Table13[[#This Row],[Day Col]],"/",Table13[[#This Row],[Month Col]],"/",Table13[[#This Row],[Year Col]]))</f>
        <v>26/May/2023</v>
      </c>
      <c r="O257" s="4" t="s">
        <v>1231</v>
      </c>
      <c r="P257" s="4" t="str">
        <f>IF(ISNUMBER(Table13[[#This Row],[Claim_Date2]]),Table13[[#This Row],[Claim_Date2]],Table13[[#This Row],[Function Col32]])</f>
        <v>26/May/2023</v>
      </c>
      <c r="Q257" s="4">
        <v>45072</v>
      </c>
      <c r="R257" s="1" t="s">
        <v>85</v>
      </c>
      <c r="S257" s="1" t="s">
        <v>47</v>
      </c>
      <c r="T257" s="1" t="s">
        <v>54</v>
      </c>
      <c r="U257" s="1"/>
      <c r="W257">
        <f>IF(Table1[[#This Row],[Claim_Amount]]&lt;0,0,Table1[[#This Row],[Claim_Amount]])</f>
        <v>0</v>
      </c>
      <c r="X257" t="str">
        <f>IF(Table1[[#This Row],[Column1]]=0,"",Table1[[#This Row],[Column1]])</f>
        <v/>
      </c>
      <c r="Y257" t="s">
        <v>1098</v>
      </c>
      <c r="Z257">
        <v>2481</v>
      </c>
      <c r="AA257" s="1">
        <v>3051.5</v>
      </c>
      <c r="AB257" s="1" t="s">
        <v>25</v>
      </c>
      <c r="AC257" s="1" t="s">
        <v>1093</v>
      </c>
      <c r="AD257" s="1">
        <v>36</v>
      </c>
      <c r="AE257" s="3" t="s">
        <v>27</v>
      </c>
    </row>
    <row r="258" spans="1:31" ht="15.75" customHeight="1" x14ac:dyDescent="0.35">
      <c r="A258" s="1" t="s">
        <v>102</v>
      </c>
      <c r="B258" t="s">
        <v>1083</v>
      </c>
      <c r="C258" s="1" t="s">
        <v>479</v>
      </c>
      <c r="D258" s="1" t="s">
        <v>480</v>
      </c>
      <c r="E258" s="5">
        <v>45184</v>
      </c>
      <c r="F258" s="4" t="str">
        <f>IF(ISNUMBER(Table13[[#This Row],[Claim_Date2]]),"",Table13[[#This Row],[Claim_Date2]])</f>
        <v/>
      </c>
      <c r="G258" s="4" t="s">
        <v>1098</v>
      </c>
      <c r="H258" s="4" t="str">
        <f>LEFT(Table13[[#This Row],[Values Col 1]],3)</f>
        <v/>
      </c>
      <c r="I258" s="4" t="s">
        <v>1098</v>
      </c>
      <c r="J258" s="4" t="str">
        <f>MID(Table13[[#This Row],[Function Col]],5,2)</f>
        <v/>
      </c>
      <c r="K258" s="4" t="s">
        <v>1098</v>
      </c>
      <c r="L258" s="4" t="str">
        <f>RIGHT(Table13[[#This Row],[Function Col]],4)</f>
        <v/>
      </c>
      <c r="M258" s="4" t="s">
        <v>1098</v>
      </c>
      <c r="N258" s="4" t="str">
        <f>IF(Table13[[#This Row],[Function Col5]]="","",_xlfn.CONCAT(Table13[[#This Row],[Day Col]],"/",Table13[[#This Row],[Month Col]],"/",Table13[[#This Row],[Year Col]]))</f>
        <v/>
      </c>
      <c r="O258" s="4" t="s">
        <v>1098</v>
      </c>
      <c r="P258" s="4">
        <f>IF(ISNUMBER(Table13[[#This Row],[Claim_Date2]]),Table13[[#This Row],[Claim_Date2]],Table13[[#This Row],[Function Col32]])</f>
        <v>45184</v>
      </c>
      <c r="Q258" s="4">
        <v>45184</v>
      </c>
      <c r="R258" s="1" t="s">
        <v>85</v>
      </c>
      <c r="S258" s="1" t="s">
        <v>47</v>
      </c>
      <c r="T258" s="1" t="s">
        <v>41</v>
      </c>
      <c r="U258" s="1"/>
      <c r="W258">
        <f>IF(Table1[[#This Row],[Claim_Amount]]&lt;0,0,Table1[[#This Row],[Claim_Amount]])</f>
        <v>0</v>
      </c>
      <c r="X258" t="str">
        <f>IF(Table1[[#This Row],[Column1]]=0,"",Table1[[#This Row],[Column1]])</f>
        <v/>
      </c>
      <c r="Y258" t="s">
        <v>1098</v>
      </c>
      <c r="Z258">
        <v>2481</v>
      </c>
      <c r="AA258">
        <v>832</v>
      </c>
      <c r="AB258" s="1" t="s">
        <v>1091</v>
      </c>
      <c r="AC258" s="1" t="s">
        <v>1093</v>
      </c>
      <c r="AD258" s="1">
        <v>49</v>
      </c>
      <c r="AE258" s="3" t="s">
        <v>27</v>
      </c>
    </row>
    <row r="259" spans="1:31" ht="15.75" customHeight="1" x14ac:dyDescent="0.35">
      <c r="A259" s="1" t="s">
        <v>202</v>
      </c>
      <c r="B259" t="s">
        <v>1083</v>
      </c>
      <c r="C259" s="1" t="s">
        <v>152</v>
      </c>
      <c r="D259" s="1" t="s">
        <v>481</v>
      </c>
      <c r="E259" s="5">
        <v>45173</v>
      </c>
      <c r="F259" s="4" t="str">
        <f>IF(ISNUMBER(Table13[[#This Row],[Claim_Date2]]),"",Table13[[#This Row],[Claim_Date2]])</f>
        <v/>
      </c>
      <c r="G259" s="4" t="s">
        <v>1098</v>
      </c>
      <c r="H259" s="4" t="str">
        <f>LEFT(Table13[[#This Row],[Values Col 1]],3)</f>
        <v/>
      </c>
      <c r="I259" s="4" t="s">
        <v>1098</v>
      </c>
      <c r="J259" s="4" t="str">
        <f>MID(Table13[[#This Row],[Function Col]],5,2)</f>
        <v/>
      </c>
      <c r="K259" s="4" t="s">
        <v>1098</v>
      </c>
      <c r="L259" s="4" t="str">
        <f>RIGHT(Table13[[#This Row],[Function Col]],4)</f>
        <v/>
      </c>
      <c r="M259" s="4" t="s">
        <v>1098</v>
      </c>
      <c r="N259" s="4" t="str">
        <f>IF(Table13[[#This Row],[Function Col5]]="","",_xlfn.CONCAT(Table13[[#This Row],[Day Col]],"/",Table13[[#This Row],[Month Col]],"/",Table13[[#This Row],[Year Col]]))</f>
        <v/>
      </c>
      <c r="O259" s="4" t="s">
        <v>1098</v>
      </c>
      <c r="P259" s="4">
        <f>IF(ISNUMBER(Table13[[#This Row],[Claim_Date2]]),Table13[[#This Row],[Claim_Date2]],Table13[[#This Row],[Function Col32]])</f>
        <v>45173</v>
      </c>
      <c r="Q259" s="4">
        <v>45173</v>
      </c>
      <c r="R259" s="1" t="s">
        <v>77</v>
      </c>
      <c r="S259" t="s">
        <v>1085</v>
      </c>
      <c r="T259" s="1" t="s">
        <v>24</v>
      </c>
      <c r="U259" s="1"/>
      <c r="W259">
        <f>IF(Table1[[#This Row],[Claim_Amount]]&lt;0,0,Table1[[#This Row],[Claim_Amount]])</f>
        <v>0</v>
      </c>
      <c r="X259" t="str">
        <f>IF(Table1[[#This Row],[Column1]]=0,"",Table1[[#This Row],[Column1]])</f>
        <v/>
      </c>
      <c r="Y259" t="s">
        <v>1098</v>
      </c>
      <c r="Z259">
        <v>2481</v>
      </c>
      <c r="AA259">
        <v>832</v>
      </c>
      <c r="AB259" s="1" t="s">
        <v>1091</v>
      </c>
      <c r="AC259" s="1" t="s">
        <v>57</v>
      </c>
      <c r="AD259">
        <v>9</v>
      </c>
      <c r="AE259" s="3" t="s">
        <v>27</v>
      </c>
    </row>
    <row r="260" spans="1:31" ht="15.75" customHeight="1" x14ac:dyDescent="0.35">
      <c r="A260" s="1" t="s">
        <v>170</v>
      </c>
      <c r="B260" s="1" t="s">
        <v>482</v>
      </c>
      <c r="C260" t="s">
        <v>1084</v>
      </c>
      <c r="D260" s="1" t="s">
        <v>483</v>
      </c>
      <c r="E260" s="5">
        <v>45210</v>
      </c>
      <c r="F260" s="4" t="str">
        <f>IF(ISNUMBER(Table13[[#This Row],[Claim_Date2]]),"",Table13[[#This Row],[Claim_Date2]])</f>
        <v/>
      </c>
      <c r="G260" s="4" t="s">
        <v>1098</v>
      </c>
      <c r="H260" s="4" t="str">
        <f>LEFT(Table13[[#This Row],[Values Col 1]],3)</f>
        <v/>
      </c>
      <c r="I260" s="4" t="s">
        <v>1098</v>
      </c>
      <c r="J260" s="4" t="str">
        <f>MID(Table13[[#This Row],[Function Col]],5,2)</f>
        <v/>
      </c>
      <c r="K260" s="4" t="s">
        <v>1098</v>
      </c>
      <c r="L260" s="4" t="str">
        <f>RIGHT(Table13[[#This Row],[Function Col]],4)</f>
        <v/>
      </c>
      <c r="M260" s="4" t="s">
        <v>1098</v>
      </c>
      <c r="N260" s="4" t="str">
        <f>IF(Table13[[#This Row],[Function Col5]]="","",_xlfn.CONCAT(Table13[[#This Row],[Day Col]],"/",Table13[[#This Row],[Month Col]],"/",Table13[[#This Row],[Year Col]]))</f>
        <v/>
      </c>
      <c r="O260" s="4" t="s">
        <v>1098</v>
      </c>
      <c r="P260" s="4">
        <f>IF(ISNUMBER(Table13[[#This Row],[Claim_Date2]]),Table13[[#This Row],[Claim_Date2]],Table13[[#This Row],[Function Col32]])</f>
        <v>45210</v>
      </c>
      <c r="Q260" s="4">
        <v>45210</v>
      </c>
      <c r="R260" s="1" t="s">
        <v>92</v>
      </c>
      <c r="S260" s="1" t="s">
        <v>31</v>
      </c>
      <c r="T260" s="1" t="s">
        <v>24</v>
      </c>
      <c r="U260" s="1"/>
      <c r="W260">
        <f>IF(Table1[[#This Row],[Claim_Amount]]&lt;0,0,Table1[[#This Row],[Claim_Amount]])</f>
        <v>0</v>
      </c>
      <c r="X260" t="str">
        <f>IF(Table1[[#This Row],[Column1]]=0,"",Table1[[#This Row],[Column1]])</f>
        <v/>
      </c>
      <c r="Y260" t="s">
        <v>1098</v>
      </c>
      <c r="Z260">
        <v>2481</v>
      </c>
      <c r="AA260">
        <v>832</v>
      </c>
      <c r="AB260" s="1" t="s">
        <v>17</v>
      </c>
      <c r="AC260" s="1" t="s">
        <v>1093</v>
      </c>
      <c r="AD260" s="1">
        <v>47</v>
      </c>
      <c r="AE260" s="3" t="s">
        <v>65</v>
      </c>
    </row>
    <row r="261" spans="1:31" ht="15.75" customHeight="1" x14ac:dyDescent="0.35">
      <c r="A261" s="1" t="s">
        <v>148</v>
      </c>
      <c r="B261" t="s">
        <v>1083</v>
      </c>
      <c r="C261" s="1" t="s">
        <v>484</v>
      </c>
      <c r="D261" s="1" t="s">
        <v>485</v>
      </c>
      <c r="E261" s="5">
        <v>45054</v>
      </c>
      <c r="F261" s="4" t="str">
        <f>IF(ISNUMBER(Table13[[#This Row],[Claim_Date2]]),"",Table13[[#This Row],[Claim_Date2]])</f>
        <v/>
      </c>
      <c r="G261" s="4" t="s">
        <v>1098</v>
      </c>
      <c r="H261" s="4" t="str">
        <f>LEFT(Table13[[#This Row],[Values Col 1]],3)</f>
        <v/>
      </c>
      <c r="I261" s="4" t="s">
        <v>1098</v>
      </c>
      <c r="J261" s="4" t="str">
        <f>MID(Table13[[#This Row],[Function Col]],5,2)</f>
        <v/>
      </c>
      <c r="K261" s="4" t="s">
        <v>1098</v>
      </c>
      <c r="L261" s="4" t="str">
        <f>RIGHT(Table13[[#This Row],[Function Col]],4)</f>
        <v/>
      </c>
      <c r="M261" s="4" t="s">
        <v>1098</v>
      </c>
      <c r="N261" s="4" t="str">
        <f>IF(Table13[[#This Row],[Function Col5]]="","",_xlfn.CONCAT(Table13[[#This Row],[Day Col]],"/",Table13[[#This Row],[Month Col]],"/",Table13[[#This Row],[Year Col]]))</f>
        <v/>
      </c>
      <c r="O261" s="4" t="s">
        <v>1098</v>
      </c>
      <c r="P261" s="4">
        <f>IF(ISNUMBER(Table13[[#This Row],[Claim_Date2]]),Table13[[#This Row],[Claim_Date2]],Table13[[#This Row],[Function Col32]])</f>
        <v>45054</v>
      </c>
      <c r="Q261" s="4">
        <v>45054</v>
      </c>
      <c r="R261" s="1" t="s">
        <v>85</v>
      </c>
      <c r="S261" s="1" t="s">
        <v>23</v>
      </c>
      <c r="T261" s="1" t="s">
        <v>61</v>
      </c>
      <c r="U261" s="1"/>
      <c r="V261" s="1">
        <v>-183</v>
      </c>
      <c r="W261" s="1">
        <f>IF(Table1[[#This Row],[Claim_Amount]]&lt;0,0,Table1[[#This Row],[Claim_Amount]])</f>
        <v>0</v>
      </c>
      <c r="X261" s="1" t="str">
        <f>IF(Table1[[#This Row],[Column1]]=0,"",Table1[[#This Row],[Column1]])</f>
        <v/>
      </c>
      <c r="Y261" s="1" t="s">
        <v>1098</v>
      </c>
      <c r="Z261" s="1">
        <v>2481</v>
      </c>
      <c r="AA261">
        <v>832</v>
      </c>
      <c r="AB261" s="1" t="s">
        <v>25</v>
      </c>
      <c r="AC261" s="1" t="s">
        <v>1093</v>
      </c>
      <c r="AD261">
        <v>9</v>
      </c>
      <c r="AE261" s="3" t="s">
        <v>27</v>
      </c>
    </row>
    <row r="262" spans="1:31" ht="15.75" customHeight="1" x14ac:dyDescent="0.35">
      <c r="A262" s="1" t="s">
        <v>117</v>
      </c>
      <c r="B262" t="s">
        <v>1083</v>
      </c>
      <c r="C262" s="1" t="s">
        <v>486</v>
      </c>
      <c r="D262" s="1" t="s">
        <v>487</v>
      </c>
      <c r="E262" s="5">
        <v>45188</v>
      </c>
      <c r="F262" s="4" t="str">
        <f>IF(ISNUMBER(Table13[[#This Row],[Claim_Date2]]),"",Table13[[#This Row],[Claim_Date2]])</f>
        <v/>
      </c>
      <c r="G262" s="4" t="s">
        <v>1098</v>
      </c>
      <c r="H262" s="4" t="str">
        <f>LEFT(Table13[[#This Row],[Values Col 1]],3)</f>
        <v/>
      </c>
      <c r="I262" s="4" t="s">
        <v>1098</v>
      </c>
      <c r="J262" s="4" t="str">
        <f>MID(Table13[[#This Row],[Function Col]],5,2)</f>
        <v/>
      </c>
      <c r="K262" s="4" t="s">
        <v>1098</v>
      </c>
      <c r="L262" s="4" t="str">
        <f>RIGHT(Table13[[#This Row],[Function Col]],4)</f>
        <v/>
      </c>
      <c r="M262" s="4" t="s">
        <v>1098</v>
      </c>
      <c r="N262" s="4" t="str">
        <f>IF(Table13[[#This Row],[Function Col5]]="","",_xlfn.CONCAT(Table13[[#This Row],[Day Col]],"/",Table13[[#This Row],[Month Col]],"/",Table13[[#This Row],[Year Col]]))</f>
        <v/>
      </c>
      <c r="O262" s="4" t="s">
        <v>1098</v>
      </c>
      <c r="P262" s="4">
        <f>IF(ISNUMBER(Table13[[#This Row],[Claim_Date2]]),Table13[[#This Row],[Claim_Date2]],Table13[[#This Row],[Function Col32]])</f>
        <v>45188</v>
      </c>
      <c r="Q262" s="4">
        <v>45188</v>
      </c>
      <c r="R262" s="1" t="s">
        <v>85</v>
      </c>
      <c r="S262" s="1" t="s">
        <v>47</v>
      </c>
      <c r="T262" s="1" t="s">
        <v>24</v>
      </c>
      <c r="U262" s="1"/>
      <c r="V262" s="1">
        <v>-118</v>
      </c>
      <c r="W262" s="1">
        <f>IF(Table1[[#This Row],[Claim_Amount]]&lt;0,0,Table1[[#This Row],[Claim_Amount]])</f>
        <v>0</v>
      </c>
      <c r="X262" s="1" t="str">
        <f>IF(Table1[[#This Row],[Column1]]=0,"",Table1[[#This Row],[Column1]])</f>
        <v/>
      </c>
      <c r="Y262" s="1" t="s">
        <v>1098</v>
      </c>
      <c r="Z262" s="1">
        <v>2481</v>
      </c>
      <c r="AA262" s="1">
        <v>4701.29</v>
      </c>
      <c r="AB262" s="1" t="s">
        <v>1091</v>
      </c>
      <c r="AC262" s="1" t="s">
        <v>32</v>
      </c>
      <c r="AD262">
        <v>9</v>
      </c>
      <c r="AE262" s="3" t="s">
        <v>65</v>
      </c>
    </row>
    <row r="263" spans="1:31" ht="15.75" customHeight="1" x14ac:dyDescent="0.35">
      <c r="A263" s="1" t="s">
        <v>173</v>
      </c>
      <c r="B263" t="s">
        <v>1083</v>
      </c>
      <c r="C263" t="s">
        <v>1084</v>
      </c>
      <c r="D263" s="1" t="s">
        <v>488</v>
      </c>
      <c r="E263" s="5">
        <v>45088</v>
      </c>
      <c r="F263" s="4" t="str">
        <f>IF(ISNUMBER(Table13[[#This Row],[Claim_Date2]]),"",Table13[[#This Row],[Claim_Date2]])</f>
        <v/>
      </c>
      <c r="G263" s="4" t="s">
        <v>1098</v>
      </c>
      <c r="H263" s="4" t="str">
        <f>LEFT(Table13[[#This Row],[Values Col 1]],3)</f>
        <v/>
      </c>
      <c r="I263" s="4" t="s">
        <v>1098</v>
      </c>
      <c r="J263" s="4" t="str">
        <f>MID(Table13[[#This Row],[Function Col]],5,2)</f>
        <v/>
      </c>
      <c r="K263" s="4" t="s">
        <v>1098</v>
      </c>
      <c r="L263" s="4" t="str">
        <f>RIGHT(Table13[[#This Row],[Function Col]],4)</f>
        <v/>
      </c>
      <c r="M263" s="4" t="s">
        <v>1098</v>
      </c>
      <c r="N263" s="4" t="str">
        <f>IF(Table13[[#This Row],[Function Col5]]="","",_xlfn.CONCAT(Table13[[#This Row],[Day Col]],"/",Table13[[#This Row],[Month Col]],"/",Table13[[#This Row],[Year Col]]))</f>
        <v/>
      </c>
      <c r="O263" s="4" t="s">
        <v>1098</v>
      </c>
      <c r="P263" s="4">
        <f>IF(ISNUMBER(Table13[[#This Row],[Claim_Date2]]),Table13[[#This Row],[Claim_Date2]],Table13[[#This Row],[Function Col32]])</f>
        <v>45088</v>
      </c>
      <c r="Q263" s="4">
        <v>45088</v>
      </c>
      <c r="R263" s="1" t="s">
        <v>16</v>
      </c>
      <c r="S263" s="1" t="s">
        <v>93</v>
      </c>
      <c r="T263" s="1" t="s">
        <v>48</v>
      </c>
      <c r="U263" s="1"/>
      <c r="W263">
        <f>IF(Table1[[#This Row],[Claim_Amount]]&lt;0,0,Table1[[#This Row],[Claim_Amount]])</f>
        <v>0</v>
      </c>
      <c r="X263" t="str">
        <f>IF(Table1[[#This Row],[Column1]]=0,"",Table1[[#This Row],[Column1]])</f>
        <v/>
      </c>
      <c r="Y263" t="s">
        <v>1098</v>
      </c>
      <c r="Z263">
        <v>2481</v>
      </c>
      <c r="AA263">
        <v>832</v>
      </c>
      <c r="AB263" s="1" t="s">
        <v>17</v>
      </c>
      <c r="AC263" s="1" t="s">
        <v>57</v>
      </c>
      <c r="AD263" s="1">
        <v>16</v>
      </c>
      <c r="AE263" s="3" t="s">
        <v>27</v>
      </c>
    </row>
    <row r="264" spans="1:31" ht="15.75" customHeight="1" x14ac:dyDescent="0.35">
      <c r="A264" s="1" t="s">
        <v>285</v>
      </c>
      <c r="B264" t="s">
        <v>1083</v>
      </c>
      <c r="C264" s="1" t="s">
        <v>356</v>
      </c>
      <c r="D264" s="1" t="s">
        <v>489</v>
      </c>
      <c r="E264" s="5">
        <v>45144</v>
      </c>
      <c r="F264" s="4" t="str">
        <f>IF(ISNUMBER(Table13[[#This Row],[Claim_Date2]]),"",Table13[[#This Row],[Claim_Date2]])</f>
        <v/>
      </c>
      <c r="G264" s="4" t="s">
        <v>1098</v>
      </c>
      <c r="H264" s="4" t="str">
        <f>LEFT(Table13[[#This Row],[Values Col 1]],3)</f>
        <v/>
      </c>
      <c r="I264" s="4" t="s">
        <v>1098</v>
      </c>
      <c r="J264" s="4" t="str">
        <f>MID(Table13[[#This Row],[Function Col]],5,2)</f>
        <v/>
      </c>
      <c r="K264" s="4" t="s">
        <v>1098</v>
      </c>
      <c r="L264" s="4" t="str">
        <f>RIGHT(Table13[[#This Row],[Function Col]],4)</f>
        <v/>
      </c>
      <c r="M264" s="4" t="s">
        <v>1098</v>
      </c>
      <c r="N264" s="4" t="str">
        <f>IF(Table13[[#This Row],[Function Col5]]="","",_xlfn.CONCAT(Table13[[#This Row],[Day Col]],"/",Table13[[#This Row],[Month Col]],"/",Table13[[#This Row],[Year Col]]))</f>
        <v/>
      </c>
      <c r="O264" s="4" t="s">
        <v>1098</v>
      </c>
      <c r="P264" s="4">
        <f>IF(ISNUMBER(Table13[[#This Row],[Claim_Date2]]),Table13[[#This Row],[Claim_Date2]],Table13[[#This Row],[Function Col32]])</f>
        <v>45144</v>
      </c>
      <c r="Q264" s="4">
        <v>45144</v>
      </c>
      <c r="R264" s="1" t="s">
        <v>16</v>
      </c>
      <c r="S264" s="1" t="s">
        <v>31</v>
      </c>
      <c r="T264" s="1" t="s">
        <v>41</v>
      </c>
      <c r="U264" s="1"/>
      <c r="V264" s="1">
        <v>-81</v>
      </c>
      <c r="W264" s="1">
        <f>IF(Table1[[#This Row],[Claim_Amount]]&lt;0,0,Table1[[#This Row],[Claim_Amount]])</f>
        <v>0</v>
      </c>
      <c r="X264" s="1" t="str">
        <f>IF(Table1[[#This Row],[Column1]]=0,"",Table1[[#This Row],[Column1]])</f>
        <v/>
      </c>
      <c r="Y264" s="1" t="s">
        <v>1098</v>
      </c>
      <c r="Z264" s="1">
        <v>2481</v>
      </c>
      <c r="AA264" s="1">
        <v>940.45</v>
      </c>
      <c r="AB264" s="1" t="s">
        <v>1091</v>
      </c>
      <c r="AC264" s="1" t="s">
        <v>18</v>
      </c>
      <c r="AD264" s="1">
        <v>52</v>
      </c>
      <c r="AE264" s="3" t="s">
        <v>27</v>
      </c>
    </row>
    <row r="265" spans="1:31" ht="15.75" customHeight="1" x14ac:dyDescent="0.35">
      <c r="A265" s="1" t="s">
        <v>170</v>
      </c>
      <c r="B265" t="s">
        <v>1083</v>
      </c>
      <c r="C265" s="1" t="s">
        <v>80</v>
      </c>
      <c r="D265" s="1" t="s">
        <v>490</v>
      </c>
      <c r="E265" s="5">
        <v>45001</v>
      </c>
      <c r="F265" s="4" t="str">
        <f>IF(ISNUMBER(Table13[[#This Row],[Claim_Date2]]),"",Table13[[#This Row],[Claim_Date2]])</f>
        <v/>
      </c>
      <c r="G265" s="4" t="s">
        <v>1098</v>
      </c>
      <c r="H265" s="4" t="str">
        <f>LEFT(Table13[[#This Row],[Values Col 1]],3)</f>
        <v/>
      </c>
      <c r="I265" s="4" t="s">
        <v>1098</v>
      </c>
      <c r="J265" s="4" t="str">
        <f>MID(Table13[[#This Row],[Function Col]],5,2)</f>
        <v/>
      </c>
      <c r="K265" s="4" t="s">
        <v>1098</v>
      </c>
      <c r="L265" s="4" t="str">
        <f>RIGHT(Table13[[#This Row],[Function Col]],4)</f>
        <v/>
      </c>
      <c r="M265" s="4" t="s">
        <v>1098</v>
      </c>
      <c r="N265" s="4" t="str">
        <f>IF(Table13[[#This Row],[Function Col5]]="","",_xlfn.CONCAT(Table13[[#This Row],[Day Col]],"/",Table13[[#This Row],[Month Col]],"/",Table13[[#This Row],[Year Col]]))</f>
        <v/>
      </c>
      <c r="O265" s="4" t="s">
        <v>1098</v>
      </c>
      <c r="P265" s="4">
        <f>IF(ISNUMBER(Table13[[#This Row],[Claim_Date2]]),Table13[[#This Row],[Claim_Date2]],Table13[[#This Row],[Function Col32]])</f>
        <v>45001</v>
      </c>
      <c r="Q265" s="4">
        <v>45001</v>
      </c>
      <c r="R265" s="1" t="s">
        <v>85</v>
      </c>
      <c r="S265" s="1" t="s">
        <v>53</v>
      </c>
      <c r="T265" s="1" t="s">
        <v>48</v>
      </c>
      <c r="U265" s="1"/>
      <c r="W265">
        <f>IF(Table1[[#This Row],[Claim_Amount]]&lt;0,0,Table1[[#This Row],[Claim_Amount]])</f>
        <v>0</v>
      </c>
      <c r="X265" t="str">
        <f>IF(Table1[[#This Row],[Column1]]=0,"",Table1[[#This Row],[Column1]])</f>
        <v/>
      </c>
      <c r="Y265" t="s">
        <v>1098</v>
      </c>
      <c r="Z265">
        <v>2481</v>
      </c>
      <c r="AA265">
        <v>832</v>
      </c>
      <c r="AB265" s="1" t="s">
        <v>42</v>
      </c>
      <c r="AC265" s="1" t="s">
        <v>57</v>
      </c>
      <c r="AD265">
        <v>9</v>
      </c>
      <c r="AE265" s="3" t="s">
        <v>19</v>
      </c>
    </row>
    <row r="266" spans="1:31" ht="15.75" customHeight="1" x14ac:dyDescent="0.35">
      <c r="A266" s="1" t="s">
        <v>78</v>
      </c>
      <c r="B266" t="s">
        <v>1083</v>
      </c>
      <c r="C266" s="1" t="s">
        <v>491</v>
      </c>
      <c r="D266" s="1" t="s">
        <v>393</v>
      </c>
      <c r="E266" s="5" t="s">
        <v>393</v>
      </c>
      <c r="F266" s="4" t="str">
        <f>IF(ISNUMBER(Table13[[#This Row],[Claim_Date2]]),"",Table13[[#This Row],[Claim_Date2]])</f>
        <v>Sep 01 2023</v>
      </c>
      <c r="G266" s="4" t="s">
        <v>393</v>
      </c>
      <c r="H266" s="4" t="str">
        <f>LEFT(Table13[[#This Row],[Values Col 1]],3)</f>
        <v>Sep</v>
      </c>
      <c r="I266" s="4" t="s">
        <v>1102</v>
      </c>
      <c r="J266" s="4" t="str">
        <f>MID(Table13[[#This Row],[Function Col]],5,2)</f>
        <v>01</v>
      </c>
      <c r="K266" s="4" t="s">
        <v>1138</v>
      </c>
      <c r="L266" s="4" t="str">
        <f>RIGHT(Table13[[#This Row],[Function Col]],4)</f>
        <v>2023</v>
      </c>
      <c r="M266" s="4" t="s">
        <v>1146</v>
      </c>
      <c r="N266" s="4" t="str">
        <f>IF(Table13[[#This Row],[Function Col5]]="","",_xlfn.CONCAT(Table13[[#This Row],[Day Col]],"/",Table13[[#This Row],[Month Col]],"/",Table13[[#This Row],[Year Col]]))</f>
        <v>01/Sep/2023</v>
      </c>
      <c r="O266" s="4" t="s">
        <v>1208</v>
      </c>
      <c r="P266" s="4" t="str">
        <f>IF(ISNUMBER(Table13[[#This Row],[Claim_Date2]]),Table13[[#This Row],[Claim_Date2]],Table13[[#This Row],[Function Col32]])</f>
        <v>01/Sep/2023</v>
      </c>
      <c r="Q266" s="4">
        <v>45170</v>
      </c>
      <c r="R266" s="1" t="s">
        <v>16</v>
      </c>
      <c r="S266" s="1" t="s">
        <v>53</v>
      </c>
      <c r="T266" t="s">
        <v>1086</v>
      </c>
      <c r="W266">
        <f>IF(Table1[[#This Row],[Claim_Amount]]&lt;0,0,Table1[[#This Row],[Claim_Amount]])</f>
        <v>0</v>
      </c>
      <c r="X266" t="str">
        <f>IF(Table1[[#This Row],[Column1]]=0,"",Table1[[#This Row],[Column1]])</f>
        <v/>
      </c>
      <c r="Y266" t="s">
        <v>1098</v>
      </c>
      <c r="Z266">
        <v>2481</v>
      </c>
      <c r="AA266">
        <v>832</v>
      </c>
      <c r="AB266" s="1" t="s">
        <v>42</v>
      </c>
      <c r="AC266" s="1" t="s">
        <v>26</v>
      </c>
      <c r="AD266" s="1">
        <v>26</v>
      </c>
      <c r="AE266" s="3" t="s">
        <v>27</v>
      </c>
    </row>
    <row r="267" spans="1:31" ht="15.75" customHeight="1" x14ac:dyDescent="0.35">
      <c r="A267" s="1" t="s">
        <v>275</v>
      </c>
      <c r="B267" s="1" t="s">
        <v>456</v>
      </c>
      <c r="C267" s="1" t="s">
        <v>156</v>
      </c>
      <c r="D267" s="1" t="s">
        <v>492</v>
      </c>
      <c r="E267" s="5" t="s">
        <v>492</v>
      </c>
      <c r="F267" s="4" t="str">
        <f>IF(ISNUMBER(Table13[[#This Row],[Claim_Date2]]),"",Table13[[#This Row],[Claim_Date2]])</f>
        <v>Jun 16 2023</v>
      </c>
      <c r="G267" s="4" t="s">
        <v>492</v>
      </c>
      <c r="H267" s="4" t="str">
        <f>LEFT(Table13[[#This Row],[Values Col 1]],3)</f>
        <v>Jun</v>
      </c>
      <c r="I267" s="4" t="s">
        <v>1108</v>
      </c>
      <c r="J267" s="4" t="str">
        <f>MID(Table13[[#This Row],[Function Col]],5,2)</f>
        <v>16</v>
      </c>
      <c r="K267" s="4" t="s">
        <v>1125</v>
      </c>
      <c r="L267" s="4" t="str">
        <f>RIGHT(Table13[[#This Row],[Function Col]],4)</f>
        <v>2023</v>
      </c>
      <c r="M267" s="4" t="s">
        <v>1146</v>
      </c>
      <c r="N267" s="4" t="str">
        <f>IF(Table13[[#This Row],[Function Col5]]="","",_xlfn.CONCAT(Table13[[#This Row],[Day Col]],"/",Table13[[#This Row],[Month Col]],"/",Table13[[#This Row],[Year Col]]))</f>
        <v>16/Jun/2023</v>
      </c>
      <c r="O267" s="4" t="s">
        <v>1232</v>
      </c>
      <c r="P267" s="4" t="str">
        <f>IF(ISNUMBER(Table13[[#This Row],[Claim_Date2]]),Table13[[#This Row],[Claim_Date2]],Table13[[#This Row],[Function Col32]])</f>
        <v>16/Jun/2023</v>
      </c>
      <c r="Q267" s="4">
        <v>45093</v>
      </c>
      <c r="R267" s="1" t="s">
        <v>30</v>
      </c>
      <c r="S267" s="1" t="s">
        <v>53</v>
      </c>
      <c r="T267" t="s">
        <v>1086</v>
      </c>
      <c r="V267" s="1">
        <v>-30</v>
      </c>
      <c r="W267" s="1">
        <f>IF(Table1[[#This Row],[Claim_Amount]]&lt;0,0,Table1[[#This Row],[Claim_Amount]])</f>
        <v>0</v>
      </c>
      <c r="X267" s="1" t="str">
        <f>IF(Table1[[#This Row],[Column1]]=0,"",Table1[[#This Row],[Column1]])</f>
        <v/>
      </c>
      <c r="Y267" s="1" t="s">
        <v>1098</v>
      </c>
      <c r="Z267" s="1">
        <v>2481</v>
      </c>
      <c r="AA267">
        <v>832</v>
      </c>
      <c r="AB267" s="1" t="s">
        <v>17</v>
      </c>
      <c r="AC267" s="1" t="s">
        <v>18</v>
      </c>
      <c r="AD267">
        <v>9</v>
      </c>
      <c r="AE267" s="3" t="s">
        <v>37</v>
      </c>
    </row>
    <row r="268" spans="1:31" ht="15.75" customHeight="1" x14ac:dyDescent="0.35">
      <c r="A268" s="1" t="s">
        <v>13</v>
      </c>
      <c r="B268" t="s">
        <v>1083</v>
      </c>
      <c r="C268" s="1" t="s">
        <v>442</v>
      </c>
      <c r="D268" s="1" t="s">
        <v>233</v>
      </c>
      <c r="E268" s="5">
        <v>44967</v>
      </c>
      <c r="F268" s="4" t="str">
        <f>IF(ISNUMBER(Table13[[#This Row],[Claim_Date2]]),"",Table13[[#This Row],[Claim_Date2]])</f>
        <v/>
      </c>
      <c r="G268" s="4" t="s">
        <v>1098</v>
      </c>
      <c r="H268" s="4" t="str">
        <f>LEFT(Table13[[#This Row],[Values Col 1]],3)</f>
        <v/>
      </c>
      <c r="I268" s="4" t="s">
        <v>1098</v>
      </c>
      <c r="J268" s="4" t="str">
        <f>MID(Table13[[#This Row],[Function Col]],5,2)</f>
        <v/>
      </c>
      <c r="K268" s="4" t="s">
        <v>1098</v>
      </c>
      <c r="L268" s="4" t="str">
        <f>RIGHT(Table13[[#This Row],[Function Col]],4)</f>
        <v/>
      </c>
      <c r="M268" s="4" t="s">
        <v>1098</v>
      </c>
      <c r="N268" s="4" t="str">
        <f>IF(Table13[[#This Row],[Function Col5]]="","",_xlfn.CONCAT(Table13[[#This Row],[Day Col]],"/",Table13[[#This Row],[Month Col]],"/",Table13[[#This Row],[Year Col]]))</f>
        <v/>
      </c>
      <c r="O268" s="4" t="s">
        <v>1098</v>
      </c>
      <c r="P268" s="4">
        <f>IF(ISNUMBER(Table13[[#This Row],[Claim_Date2]]),Table13[[#This Row],[Claim_Date2]],Table13[[#This Row],[Function Col32]])</f>
        <v>44967</v>
      </c>
      <c r="Q268" s="4">
        <v>44967</v>
      </c>
      <c r="R268" s="1" t="s">
        <v>92</v>
      </c>
      <c r="S268" s="1" t="s">
        <v>31</v>
      </c>
      <c r="T268" t="s">
        <v>1086</v>
      </c>
      <c r="V268" s="1">
        <v>-78</v>
      </c>
      <c r="W268" s="1">
        <f>IF(Table1[[#This Row],[Claim_Amount]]&lt;0,0,Table1[[#This Row],[Claim_Amount]])</f>
        <v>0</v>
      </c>
      <c r="X268" s="1" t="str">
        <f>IF(Table1[[#This Row],[Column1]]=0,"",Table1[[#This Row],[Column1]])</f>
        <v/>
      </c>
      <c r="Y268" s="1" t="s">
        <v>1098</v>
      </c>
      <c r="Z268" s="1">
        <v>2481</v>
      </c>
      <c r="AA268">
        <v>832</v>
      </c>
      <c r="AB268" s="1" t="s">
        <v>42</v>
      </c>
      <c r="AC268" s="1" t="s">
        <v>57</v>
      </c>
      <c r="AD268">
        <v>9</v>
      </c>
      <c r="AE268" s="3" t="s">
        <v>37</v>
      </c>
    </row>
    <row r="269" spans="1:31" ht="15.75" customHeight="1" x14ac:dyDescent="0.35">
      <c r="A269" s="1" t="s">
        <v>132</v>
      </c>
      <c r="B269" s="1" t="s">
        <v>493</v>
      </c>
      <c r="C269" s="1" t="s">
        <v>494</v>
      </c>
      <c r="D269" s="1" t="s">
        <v>370</v>
      </c>
      <c r="E269" s="5" t="s">
        <v>370</v>
      </c>
      <c r="F269" s="4" t="str">
        <f>IF(ISNUMBER(Table13[[#This Row],[Claim_Date2]]),"",Table13[[#This Row],[Claim_Date2]])</f>
        <v>Dec 25 2023</v>
      </c>
      <c r="G269" s="4" t="s">
        <v>370</v>
      </c>
      <c r="H269" s="4" t="str">
        <f>LEFT(Table13[[#This Row],[Values Col 1]],3)</f>
        <v>Dec</v>
      </c>
      <c r="I269" s="4" t="s">
        <v>1111</v>
      </c>
      <c r="J269" s="4" t="str">
        <f>MID(Table13[[#This Row],[Function Col]],5,2)</f>
        <v>25</v>
      </c>
      <c r="K269" s="4" t="s">
        <v>1123</v>
      </c>
      <c r="L269" s="4" t="str">
        <f>RIGHT(Table13[[#This Row],[Function Col]],4)</f>
        <v>2023</v>
      </c>
      <c r="M269" s="4" t="s">
        <v>1146</v>
      </c>
      <c r="N269" s="4" t="str">
        <f>IF(Table13[[#This Row],[Function Col5]]="","",_xlfn.CONCAT(Table13[[#This Row],[Day Col]],"/",Table13[[#This Row],[Month Col]],"/",Table13[[#This Row],[Year Col]]))</f>
        <v>25/Dec/2023</v>
      </c>
      <c r="O269" s="4" t="s">
        <v>1203</v>
      </c>
      <c r="P269" s="4" t="str">
        <f>IF(ISNUMBER(Table13[[#This Row],[Claim_Date2]]),Table13[[#This Row],[Claim_Date2]],Table13[[#This Row],[Function Col32]])</f>
        <v>25/Dec/2023</v>
      </c>
      <c r="Q269" s="4">
        <v>45285</v>
      </c>
      <c r="R269" s="1" t="s">
        <v>16</v>
      </c>
      <c r="S269" s="1" t="s">
        <v>93</v>
      </c>
      <c r="T269" s="1" t="s">
        <v>24</v>
      </c>
      <c r="U269" s="1"/>
      <c r="V269" s="1">
        <v>2015.38</v>
      </c>
      <c r="W269" s="1">
        <f>IF(Table1[[#This Row],[Claim_Amount]]&lt;0,0,Table1[[#This Row],[Claim_Amount]])</f>
        <v>2015.38</v>
      </c>
      <c r="X269" s="1">
        <f>IF(Table1[[#This Row],[Column1]]=0,"",Table1[[#This Row],[Column1]])</f>
        <v>2015.38</v>
      </c>
      <c r="Y269" s="1">
        <v>2015.38</v>
      </c>
      <c r="Z269" s="1">
        <v>2015.38</v>
      </c>
      <c r="AA269">
        <v>832</v>
      </c>
      <c r="AB269" s="1" t="s">
        <v>1091</v>
      </c>
      <c r="AC269" s="1" t="s">
        <v>26</v>
      </c>
      <c r="AD269">
        <v>9</v>
      </c>
      <c r="AE269" s="3" t="s">
        <v>1097</v>
      </c>
    </row>
    <row r="270" spans="1:31" ht="15.75" customHeight="1" x14ac:dyDescent="0.35">
      <c r="A270" s="1" t="s">
        <v>231</v>
      </c>
      <c r="B270" s="1" t="s">
        <v>495</v>
      </c>
      <c r="C270" s="1" t="s">
        <v>45</v>
      </c>
      <c r="D270" s="1" t="s">
        <v>184</v>
      </c>
      <c r="E270" s="5">
        <v>45262</v>
      </c>
      <c r="F270" s="4" t="str">
        <f>IF(ISNUMBER(Table13[[#This Row],[Claim_Date2]]),"",Table13[[#This Row],[Claim_Date2]])</f>
        <v/>
      </c>
      <c r="G270" s="4" t="s">
        <v>1098</v>
      </c>
      <c r="H270" s="4" t="str">
        <f>LEFT(Table13[[#This Row],[Values Col 1]],3)</f>
        <v/>
      </c>
      <c r="I270" s="4" t="s">
        <v>1098</v>
      </c>
      <c r="J270" s="4" t="str">
        <f>MID(Table13[[#This Row],[Function Col]],5,2)</f>
        <v/>
      </c>
      <c r="K270" s="4" t="s">
        <v>1098</v>
      </c>
      <c r="L270" s="4" t="str">
        <f>RIGHT(Table13[[#This Row],[Function Col]],4)</f>
        <v/>
      </c>
      <c r="M270" s="4" t="s">
        <v>1098</v>
      </c>
      <c r="N270" s="4" t="str">
        <f>IF(Table13[[#This Row],[Function Col5]]="","",_xlfn.CONCAT(Table13[[#This Row],[Day Col]],"/",Table13[[#This Row],[Month Col]],"/",Table13[[#This Row],[Year Col]]))</f>
        <v/>
      </c>
      <c r="O270" s="4" t="s">
        <v>1098</v>
      </c>
      <c r="P270" s="4">
        <f>IF(ISNUMBER(Table13[[#This Row],[Claim_Date2]]),Table13[[#This Row],[Claim_Date2]],Table13[[#This Row],[Function Col32]])</f>
        <v>45262</v>
      </c>
      <c r="Q270" s="4">
        <v>45262</v>
      </c>
      <c r="R270" s="1" t="s">
        <v>85</v>
      </c>
      <c r="S270" s="1" t="s">
        <v>93</v>
      </c>
      <c r="T270" t="s">
        <v>1086</v>
      </c>
      <c r="W270">
        <f>IF(Table1[[#This Row],[Claim_Amount]]&lt;0,0,Table1[[#This Row],[Claim_Amount]])</f>
        <v>0</v>
      </c>
      <c r="X270" t="str">
        <f>IF(Table1[[#This Row],[Column1]]=0,"",Table1[[#This Row],[Column1]])</f>
        <v/>
      </c>
      <c r="Y270" t="s">
        <v>1098</v>
      </c>
      <c r="Z270">
        <v>2481</v>
      </c>
      <c r="AA270" s="1">
        <v>699.82</v>
      </c>
      <c r="AB270" s="1" t="s">
        <v>25</v>
      </c>
      <c r="AC270" s="1" t="s">
        <v>26</v>
      </c>
      <c r="AD270">
        <v>9</v>
      </c>
      <c r="AE270" s="3" t="s">
        <v>27</v>
      </c>
    </row>
    <row r="271" spans="1:31" ht="15.75" customHeight="1" x14ac:dyDescent="0.35">
      <c r="A271" s="1" t="s">
        <v>285</v>
      </c>
      <c r="B271" t="s">
        <v>1083</v>
      </c>
      <c r="C271" t="s">
        <v>1084</v>
      </c>
      <c r="D271" s="1" t="s">
        <v>496</v>
      </c>
      <c r="E271" s="5">
        <v>44996</v>
      </c>
      <c r="F271" s="4" t="str">
        <f>IF(ISNUMBER(Table13[[#This Row],[Claim_Date2]]),"",Table13[[#This Row],[Claim_Date2]])</f>
        <v/>
      </c>
      <c r="G271" s="4" t="s">
        <v>1098</v>
      </c>
      <c r="H271" s="4" t="str">
        <f>LEFT(Table13[[#This Row],[Values Col 1]],3)</f>
        <v/>
      </c>
      <c r="I271" s="4" t="s">
        <v>1098</v>
      </c>
      <c r="J271" s="4" t="str">
        <f>MID(Table13[[#This Row],[Function Col]],5,2)</f>
        <v/>
      </c>
      <c r="K271" s="4" t="s">
        <v>1098</v>
      </c>
      <c r="L271" s="4" t="str">
        <f>RIGHT(Table13[[#This Row],[Function Col]],4)</f>
        <v/>
      </c>
      <c r="M271" s="4" t="s">
        <v>1098</v>
      </c>
      <c r="N271" s="4" t="str">
        <f>IF(Table13[[#This Row],[Function Col5]]="","",_xlfn.CONCAT(Table13[[#This Row],[Day Col]],"/",Table13[[#This Row],[Month Col]],"/",Table13[[#This Row],[Year Col]]))</f>
        <v/>
      </c>
      <c r="O271" s="4" t="s">
        <v>1098</v>
      </c>
      <c r="P271" s="4">
        <f>IF(ISNUMBER(Table13[[#This Row],[Claim_Date2]]),Table13[[#This Row],[Claim_Date2]],Table13[[#This Row],[Function Col32]])</f>
        <v>44996</v>
      </c>
      <c r="Q271" s="4">
        <v>44996</v>
      </c>
      <c r="R271" s="1" t="s">
        <v>30</v>
      </c>
      <c r="S271" s="1" t="s">
        <v>47</v>
      </c>
      <c r="T271" s="1" t="s">
        <v>48</v>
      </c>
      <c r="U271" s="1"/>
      <c r="V271" s="1">
        <v>-172</v>
      </c>
      <c r="W271" s="1">
        <f>IF(Table1[[#This Row],[Claim_Amount]]&lt;0,0,Table1[[#This Row],[Claim_Amount]])</f>
        <v>0</v>
      </c>
      <c r="X271" s="1" t="str">
        <f>IF(Table1[[#This Row],[Column1]]=0,"",Table1[[#This Row],[Column1]])</f>
        <v/>
      </c>
      <c r="Y271" s="1" t="s">
        <v>1098</v>
      </c>
      <c r="Z271" s="1">
        <v>2481</v>
      </c>
      <c r="AA271">
        <v>832</v>
      </c>
      <c r="AB271" s="1" t="s">
        <v>1091</v>
      </c>
      <c r="AC271" s="1" t="s">
        <v>32</v>
      </c>
      <c r="AD271">
        <v>9</v>
      </c>
      <c r="AE271" s="3" t="s">
        <v>37</v>
      </c>
    </row>
    <row r="272" spans="1:31" ht="15.75" customHeight="1" x14ac:dyDescent="0.35">
      <c r="A272" s="1" t="s">
        <v>73</v>
      </c>
      <c r="B272" s="1" t="s">
        <v>497</v>
      </c>
      <c r="C272" t="s">
        <v>1084</v>
      </c>
      <c r="D272" s="1" t="s">
        <v>498</v>
      </c>
      <c r="E272" s="5">
        <v>45114</v>
      </c>
      <c r="F272" s="4" t="str">
        <f>IF(ISNUMBER(Table13[[#This Row],[Claim_Date2]]),"",Table13[[#This Row],[Claim_Date2]])</f>
        <v/>
      </c>
      <c r="G272" s="4" t="s">
        <v>1098</v>
      </c>
      <c r="H272" s="4" t="str">
        <f>LEFT(Table13[[#This Row],[Values Col 1]],3)</f>
        <v/>
      </c>
      <c r="I272" s="4" t="s">
        <v>1098</v>
      </c>
      <c r="J272" s="4" t="str">
        <f>MID(Table13[[#This Row],[Function Col]],5,2)</f>
        <v/>
      </c>
      <c r="K272" s="4" t="s">
        <v>1098</v>
      </c>
      <c r="L272" s="4" t="str">
        <f>RIGHT(Table13[[#This Row],[Function Col]],4)</f>
        <v/>
      </c>
      <c r="M272" s="4" t="s">
        <v>1098</v>
      </c>
      <c r="N272" s="4" t="str">
        <f>IF(Table13[[#This Row],[Function Col5]]="","",_xlfn.CONCAT(Table13[[#This Row],[Day Col]],"/",Table13[[#This Row],[Month Col]],"/",Table13[[#This Row],[Year Col]]))</f>
        <v/>
      </c>
      <c r="O272" s="4" t="s">
        <v>1098</v>
      </c>
      <c r="P272" s="4">
        <f>IF(ISNUMBER(Table13[[#This Row],[Claim_Date2]]),Table13[[#This Row],[Claim_Date2]],Table13[[#This Row],[Function Col32]])</f>
        <v>45114</v>
      </c>
      <c r="Q272" s="4">
        <v>45114</v>
      </c>
      <c r="R272" s="1" t="s">
        <v>92</v>
      </c>
      <c r="S272" s="1" t="s">
        <v>23</v>
      </c>
      <c r="T272" s="1" t="s">
        <v>61</v>
      </c>
      <c r="U272" s="1"/>
      <c r="W272">
        <f>IF(Table1[[#This Row],[Claim_Amount]]&lt;0,0,Table1[[#This Row],[Claim_Amount]])</f>
        <v>0</v>
      </c>
      <c r="X272" t="str">
        <f>IF(Table1[[#This Row],[Column1]]=0,"",Table1[[#This Row],[Column1]])</f>
        <v/>
      </c>
      <c r="Y272" t="s">
        <v>1098</v>
      </c>
      <c r="Z272">
        <v>2481</v>
      </c>
      <c r="AA272">
        <v>832</v>
      </c>
      <c r="AB272" s="1" t="s">
        <v>25</v>
      </c>
      <c r="AC272" s="1" t="s">
        <v>1093</v>
      </c>
      <c r="AD272">
        <v>9</v>
      </c>
      <c r="AE272" s="3" t="s">
        <v>27</v>
      </c>
    </row>
    <row r="273" spans="1:31" ht="15.75" customHeight="1" x14ac:dyDescent="0.35">
      <c r="A273" s="1" t="s">
        <v>89</v>
      </c>
      <c r="B273" t="s">
        <v>1083</v>
      </c>
      <c r="C273" s="1" t="s">
        <v>499</v>
      </c>
      <c r="D273" s="1" t="s">
        <v>283</v>
      </c>
      <c r="E273" s="5">
        <v>44930</v>
      </c>
      <c r="F273" s="4" t="str">
        <f>IF(ISNUMBER(Table13[[#This Row],[Claim_Date2]]),"",Table13[[#This Row],[Claim_Date2]])</f>
        <v/>
      </c>
      <c r="G273" s="4" t="s">
        <v>1098</v>
      </c>
      <c r="H273" s="4" t="str">
        <f>LEFT(Table13[[#This Row],[Values Col 1]],3)</f>
        <v/>
      </c>
      <c r="I273" s="4" t="s">
        <v>1098</v>
      </c>
      <c r="J273" s="4" t="str">
        <f>MID(Table13[[#This Row],[Function Col]],5,2)</f>
        <v/>
      </c>
      <c r="K273" s="4" t="s">
        <v>1098</v>
      </c>
      <c r="L273" s="4" t="str">
        <f>RIGHT(Table13[[#This Row],[Function Col]],4)</f>
        <v/>
      </c>
      <c r="M273" s="4" t="s">
        <v>1098</v>
      </c>
      <c r="N273" s="4" t="str">
        <f>IF(Table13[[#This Row],[Function Col5]]="","",_xlfn.CONCAT(Table13[[#This Row],[Day Col]],"/",Table13[[#This Row],[Month Col]],"/",Table13[[#This Row],[Year Col]]))</f>
        <v/>
      </c>
      <c r="O273" s="4" t="s">
        <v>1098</v>
      </c>
      <c r="P273" s="4">
        <f>IF(ISNUMBER(Table13[[#This Row],[Claim_Date2]]),Table13[[#This Row],[Claim_Date2]],Table13[[#This Row],[Function Col32]])</f>
        <v>44930</v>
      </c>
      <c r="Q273" s="4">
        <v>44930</v>
      </c>
      <c r="R273" s="1" t="s">
        <v>77</v>
      </c>
      <c r="S273" s="1" t="s">
        <v>47</v>
      </c>
      <c r="T273" s="1" t="s">
        <v>48</v>
      </c>
      <c r="U273" s="1"/>
      <c r="V273" s="1">
        <v>-51</v>
      </c>
      <c r="W273" s="1">
        <f>IF(Table1[[#This Row],[Claim_Amount]]&lt;0,0,Table1[[#This Row],[Claim_Amount]])</f>
        <v>0</v>
      </c>
      <c r="X273" s="1" t="str">
        <f>IF(Table1[[#This Row],[Column1]]=0,"",Table1[[#This Row],[Column1]])</f>
        <v/>
      </c>
      <c r="Y273" s="1" t="s">
        <v>1098</v>
      </c>
      <c r="Z273" s="1">
        <v>2481</v>
      </c>
      <c r="AA273" s="1">
        <v>4150.71</v>
      </c>
      <c r="AB273" s="1" t="s">
        <v>42</v>
      </c>
      <c r="AC273" s="1" t="s">
        <v>26</v>
      </c>
      <c r="AD273">
        <v>9</v>
      </c>
      <c r="AE273" s="3" t="s">
        <v>65</v>
      </c>
    </row>
    <row r="274" spans="1:31" ht="15.75" customHeight="1" x14ac:dyDescent="0.35">
      <c r="A274" s="1" t="s">
        <v>302</v>
      </c>
      <c r="B274" t="s">
        <v>1083</v>
      </c>
      <c r="C274" t="s">
        <v>1084</v>
      </c>
      <c r="D274" s="1" t="s">
        <v>500</v>
      </c>
      <c r="E274" s="5">
        <v>45259</v>
      </c>
      <c r="F274" s="4" t="str">
        <f>IF(ISNUMBER(Table13[[#This Row],[Claim_Date2]]),"",Table13[[#This Row],[Claim_Date2]])</f>
        <v/>
      </c>
      <c r="G274" s="4" t="s">
        <v>1098</v>
      </c>
      <c r="H274" s="4" t="str">
        <f>LEFT(Table13[[#This Row],[Values Col 1]],3)</f>
        <v/>
      </c>
      <c r="I274" s="4" t="s">
        <v>1098</v>
      </c>
      <c r="J274" s="4" t="str">
        <f>MID(Table13[[#This Row],[Function Col]],5,2)</f>
        <v/>
      </c>
      <c r="K274" s="4" t="s">
        <v>1098</v>
      </c>
      <c r="L274" s="4" t="str">
        <f>RIGHT(Table13[[#This Row],[Function Col]],4)</f>
        <v/>
      </c>
      <c r="M274" s="4" t="s">
        <v>1098</v>
      </c>
      <c r="N274" s="4" t="str">
        <f>IF(Table13[[#This Row],[Function Col5]]="","",_xlfn.CONCAT(Table13[[#This Row],[Day Col]],"/",Table13[[#This Row],[Month Col]],"/",Table13[[#This Row],[Year Col]]))</f>
        <v/>
      </c>
      <c r="O274" s="4" t="s">
        <v>1098</v>
      </c>
      <c r="P274" s="4">
        <f>IF(ISNUMBER(Table13[[#This Row],[Claim_Date2]]),Table13[[#This Row],[Claim_Date2]],Table13[[#This Row],[Function Col32]])</f>
        <v>45259</v>
      </c>
      <c r="Q274" s="4">
        <v>45259</v>
      </c>
      <c r="R274" s="1" t="s">
        <v>77</v>
      </c>
      <c r="S274" s="1" t="s">
        <v>93</v>
      </c>
      <c r="T274" s="1" t="s">
        <v>61</v>
      </c>
      <c r="U274" s="1"/>
      <c r="V274" s="1">
        <v>952.92</v>
      </c>
      <c r="W274" s="1">
        <f>IF(Table1[[#This Row],[Claim_Amount]]&lt;0,0,Table1[[#This Row],[Claim_Amount]])</f>
        <v>952.92</v>
      </c>
      <c r="X274" s="1">
        <f>IF(Table1[[#This Row],[Column1]]=0,"",Table1[[#This Row],[Column1]])</f>
        <v>952.92</v>
      </c>
      <c r="Y274" s="1">
        <v>952.92</v>
      </c>
      <c r="Z274" s="1">
        <v>952.92</v>
      </c>
      <c r="AA274">
        <v>832</v>
      </c>
      <c r="AB274" s="1" t="s">
        <v>25</v>
      </c>
      <c r="AC274" s="1" t="s">
        <v>32</v>
      </c>
      <c r="AD274">
        <v>9</v>
      </c>
      <c r="AE274" s="3" t="s">
        <v>37</v>
      </c>
    </row>
    <row r="275" spans="1:31" ht="15.75" customHeight="1" x14ac:dyDescent="0.35">
      <c r="A275" s="1" t="s">
        <v>212</v>
      </c>
      <c r="B275" s="1" t="s">
        <v>501</v>
      </c>
      <c r="C275" s="1" t="s">
        <v>213</v>
      </c>
      <c r="D275" s="1" t="s">
        <v>502</v>
      </c>
      <c r="E275" s="5">
        <v>45200</v>
      </c>
      <c r="F275" s="4" t="str">
        <f>IF(ISNUMBER(Table13[[#This Row],[Claim_Date2]]),"",Table13[[#This Row],[Claim_Date2]])</f>
        <v/>
      </c>
      <c r="G275" s="4" t="s">
        <v>1098</v>
      </c>
      <c r="H275" s="4" t="str">
        <f>LEFT(Table13[[#This Row],[Values Col 1]],3)</f>
        <v/>
      </c>
      <c r="I275" s="4" t="s">
        <v>1098</v>
      </c>
      <c r="J275" s="4" t="str">
        <f>MID(Table13[[#This Row],[Function Col]],5,2)</f>
        <v/>
      </c>
      <c r="K275" s="4" t="s">
        <v>1098</v>
      </c>
      <c r="L275" s="4" t="str">
        <f>RIGHT(Table13[[#This Row],[Function Col]],4)</f>
        <v/>
      </c>
      <c r="M275" s="4" t="s">
        <v>1098</v>
      </c>
      <c r="N275" s="4" t="str">
        <f>IF(Table13[[#This Row],[Function Col5]]="","",_xlfn.CONCAT(Table13[[#This Row],[Day Col]],"/",Table13[[#This Row],[Month Col]],"/",Table13[[#This Row],[Year Col]]))</f>
        <v/>
      </c>
      <c r="O275" s="4" t="s">
        <v>1098</v>
      </c>
      <c r="P275" s="4">
        <f>IF(ISNUMBER(Table13[[#This Row],[Claim_Date2]]),Table13[[#This Row],[Claim_Date2]],Table13[[#This Row],[Function Col32]])</f>
        <v>45200</v>
      </c>
      <c r="Q275" s="4">
        <v>45200</v>
      </c>
      <c r="R275" s="1" t="s">
        <v>92</v>
      </c>
      <c r="S275" s="1" t="s">
        <v>31</v>
      </c>
      <c r="T275" s="1" t="s">
        <v>24</v>
      </c>
      <c r="U275" s="1"/>
      <c r="V275" s="1">
        <v>3590.22</v>
      </c>
      <c r="W275" s="1">
        <f>IF(Table1[[#This Row],[Claim_Amount]]&lt;0,0,Table1[[#This Row],[Claim_Amount]])</f>
        <v>3590.22</v>
      </c>
      <c r="X275" s="1">
        <f>IF(Table1[[#This Row],[Column1]]=0,"",Table1[[#This Row],[Column1]])</f>
        <v>3590.22</v>
      </c>
      <c r="Y275" s="1">
        <v>3590.22</v>
      </c>
      <c r="Z275" s="1">
        <v>3590.22</v>
      </c>
      <c r="AA275" s="1">
        <v>1202.4100000000001</v>
      </c>
      <c r="AB275" s="1" t="s">
        <v>25</v>
      </c>
      <c r="AC275" s="1" t="s">
        <v>1093</v>
      </c>
      <c r="AD275">
        <v>9</v>
      </c>
      <c r="AE275" s="3" t="s">
        <v>37</v>
      </c>
    </row>
    <row r="276" spans="1:31" ht="15.75" customHeight="1" x14ac:dyDescent="0.35">
      <c r="A276" s="1" t="s">
        <v>192</v>
      </c>
      <c r="B276" t="s">
        <v>1083</v>
      </c>
      <c r="C276" s="1" t="s">
        <v>503</v>
      </c>
      <c r="D276" s="1" t="s">
        <v>327</v>
      </c>
      <c r="E276" s="5">
        <v>45096</v>
      </c>
      <c r="F276" s="4" t="str">
        <f>IF(ISNUMBER(Table13[[#This Row],[Claim_Date2]]),"",Table13[[#This Row],[Claim_Date2]])</f>
        <v/>
      </c>
      <c r="G276" s="4" t="s">
        <v>1098</v>
      </c>
      <c r="H276" s="4" t="str">
        <f>LEFT(Table13[[#This Row],[Values Col 1]],3)</f>
        <v/>
      </c>
      <c r="I276" s="4" t="s">
        <v>1098</v>
      </c>
      <c r="J276" s="4" t="str">
        <f>MID(Table13[[#This Row],[Function Col]],5,2)</f>
        <v/>
      </c>
      <c r="K276" s="4" t="s">
        <v>1098</v>
      </c>
      <c r="L276" s="4" t="str">
        <f>RIGHT(Table13[[#This Row],[Function Col]],4)</f>
        <v/>
      </c>
      <c r="M276" s="4" t="s">
        <v>1098</v>
      </c>
      <c r="N276" s="4" t="str">
        <f>IF(Table13[[#This Row],[Function Col5]]="","",_xlfn.CONCAT(Table13[[#This Row],[Day Col]],"/",Table13[[#This Row],[Month Col]],"/",Table13[[#This Row],[Year Col]]))</f>
        <v/>
      </c>
      <c r="O276" s="4" t="s">
        <v>1098</v>
      </c>
      <c r="P276" s="4">
        <f>IF(ISNUMBER(Table13[[#This Row],[Claim_Date2]]),Table13[[#This Row],[Claim_Date2]],Table13[[#This Row],[Function Col32]])</f>
        <v>45096</v>
      </c>
      <c r="Q276" s="4">
        <v>45096</v>
      </c>
      <c r="R276" s="1" t="s">
        <v>92</v>
      </c>
      <c r="S276" s="1" t="s">
        <v>53</v>
      </c>
      <c r="T276" s="1" t="s">
        <v>61</v>
      </c>
      <c r="U276" s="1"/>
      <c r="W276">
        <f>IF(Table1[[#This Row],[Claim_Amount]]&lt;0,0,Table1[[#This Row],[Claim_Amount]])</f>
        <v>0</v>
      </c>
      <c r="X276" t="str">
        <f>IF(Table1[[#This Row],[Column1]]=0,"",Table1[[#This Row],[Column1]])</f>
        <v/>
      </c>
      <c r="Y276" t="s">
        <v>1098</v>
      </c>
      <c r="Z276">
        <v>2481</v>
      </c>
      <c r="AA276">
        <v>832</v>
      </c>
      <c r="AB276" s="1" t="s">
        <v>25</v>
      </c>
      <c r="AC276" s="1" t="s">
        <v>26</v>
      </c>
      <c r="AD276">
        <v>9</v>
      </c>
      <c r="AE276" s="3" t="s">
        <v>65</v>
      </c>
    </row>
    <row r="277" spans="1:31" ht="15.75" customHeight="1" x14ac:dyDescent="0.35">
      <c r="A277" s="1" t="s">
        <v>33</v>
      </c>
      <c r="B277" t="s">
        <v>1083</v>
      </c>
      <c r="C277" s="1" t="s">
        <v>455</v>
      </c>
      <c r="D277" s="1" t="s">
        <v>504</v>
      </c>
      <c r="E277" s="5" t="s">
        <v>504</v>
      </c>
      <c r="F277" s="4" t="str">
        <f>IF(ISNUMBER(Table13[[#This Row],[Claim_Date2]]),"",Table13[[#This Row],[Claim_Date2]])</f>
        <v>Feb 18 2023</v>
      </c>
      <c r="G277" s="4" t="s">
        <v>504</v>
      </c>
      <c r="H277" s="4" t="str">
        <f>LEFT(Table13[[#This Row],[Values Col 1]],3)</f>
        <v>Feb</v>
      </c>
      <c r="I277" s="4" t="s">
        <v>1109</v>
      </c>
      <c r="J277" s="4" t="str">
        <f>MID(Table13[[#This Row],[Function Col]],5,2)</f>
        <v>18</v>
      </c>
      <c r="K277" s="4" t="s">
        <v>1129</v>
      </c>
      <c r="L277" s="4" t="str">
        <f>RIGHT(Table13[[#This Row],[Function Col]],4)</f>
        <v>2023</v>
      </c>
      <c r="M277" s="4" t="s">
        <v>1146</v>
      </c>
      <c r="N277" s="4" t="str">
        <f>IF(Table13[[#This Row],[Function Col5]]="","",_xlfn.CONCAT(Table13[[#This Row],[Day Col]],"/",Table13[[#This Row],[Month Col]],"/",Table13[[#This Row],[Year Col]]))</f>
        <v>18/Feb/2023</v>
      </c>
      <c r="O277" s="4" t="s">
        <v>1233</v>
      </c>
      <c r="P277" s="4" t="str">
        <f>IF(ISNUMBER(Table13[[#This Row],[Claim_Date2]]),Table13[[#This Row],[Claim_Date2]],Table13[[#This Row],[Function Col32]])</f>
        <v>18/Feb/2023</v>
      </c>
      <c r="Q277" s="4">
        <v>44975</v>
      </c>
      <c r="R277" s="1" t="s">
        <v>16</v>
      </c>
      <c r="S277" s="1" t="s">
        <v>93</v>
      </c>
      <c r="T277" s="1" t="s">
        <v>48</v>
      </c>
      <c r="U277" s="1"/>
      <c r="W277">
        <f>IF(Table1[[#This Row],[Claim_Amount]]&lt;0,0,Table1[[#This Row],[Claim_Amount]])</f>
        <v>0</v>
      </c>
      <c r="X277" t="str">
        <f>IF(Table1[[#This Row],[Column1]]=0,"",Table1[[#This Row],[Column1]])</f>
        <v/>
      </c>
      <c r="Y277" t="s">
        <v>1098</v>
      </c>
      <c r="Z277">
        <v>2481</v>
      </c>
      <c r="AA277">
        <v>832</v>
      </c>
      <c r="AB277" s="1" t="s">
        <v>25</v>
      </c>
      <c r="AC277" s="1" t="s">
        <v>57</v>
      </c>
      <c r="AD277" s="1">
        <v>33</v>
      </c>
      <c r="AE277" s="3" t="s">
        <v>27</v>
      </c>
    </row>
    <row r="278" spans="1:31" ht="15.75" customHeight="1" x14ac:dyDescent="0.35">
      <c r="A278" s="1" t="s">
        <v>285</v>
      </c>
      <c r="B278" t="s">
        <v>1083</v>
      </c>
      <c r="C278" t="s">
        <v>1084</v>
      </c>
      <c r="D278" s="1" t="s">
        <v>505</v>
      </c>
      <c r="E278" s="5">
        <v>44953</v>
      </c>
      <c r="F278" s="4" t="str">
        <f>IF(ISNUMBER(Table13[[#This Row],[Claim_Date2]]),"",Table13[[#This Row],[Claim_Date2]])</f>
        <v/>
      </c>
      <c r="G278" s="4" t="s">
        <v>1098</v>
      </c>
      <c r="H278" s="4" t="str">
        <f>LEFT(Table13[[#This Row],[Values Col 1]],3)</f>
        <v/>
      </c>
      <c r="I278" s="4" t="s">
        <v>1098</v>
      </c>
      <c r="J278" s="4" t="str">
        <f>MID(Table13[[#This Row],[Function Col]],5,2)</f>
        <v/>
      </c>
      <c r="K278" s="4" t="s">
        <v>1098</v>
      </c>
      <c r="L278" s="4" t="str">
        <f>RIGHT(Table13[[#This Row],[Function Col]],4)</f>
        <v/>
      </c>
      <c r="M278" s="4" t="s">
        <v>1098</v>
      </c>
      <c r="N278" s="4" t="str">
        <f>IF(Table13[[#This Row],[Function Col5]]="","",_xlfn.CONCAT(Table13[[#This Row],[Day Col]],"/",Table13[[#This Row],[Month Col]],"/",Table13[[#This Row],[Year Col]]))</f>
        <v/>
      </c>
      <c r="O278" s="4" t="s">
        <v>1098</v>
      </c>
      <c r="P278" s="4">
        <f>IF(ISNUMBER(Table13[[#This Row],[Claim_Date2]]),Table13[[#This Row],[Claim_Date2]],Table13[[#This Row],[Function Col32]])</f>
        <v>44953</v>
      </c>
      <c r="Q278" s="4">
        <v>44953</v>
      </c>
      <c r="R278" s="1" t="s">
        <v>85</v>
      </c>
      <c r="S278" t="s">
        <v>1085</v>
      </c>
      <c r="T278" s="1" t="s">
        <v>48</v>
      </c>
      <c r="U278" s="1"/>
      <c r="W278">
        <f>IF(Table1[[#This Row],[Claim_Amount]]&lt;0,0,Table1[[#This Row],[Claim_Amount]])</f>
        <v>0</v>
      </c>
      <c r="X278" t="str">
        <f>IF(Table1[[#This Row],[Column1]]=0,"",Table1[[#This Row],[Column1]])</f>
        <v/>
      </c>
      <c r="Y278" t="s">
        <v>1098</v>
      </c>
      <c r="Z278">
        <v>2481</v>
      </c>
      <c r="AA278">
        <v>832</v>
      </c>
      <c r="AB278" s="1" t="s">
        <v>17</v>
      </c>
      <c r="AC278" s="1" t="s">
        <v>26</v>
      </c>
      <c r="AD278">
        <v>9</v>
      </c>
      <c r="AE278" s="3" t="s">
        <v>37</v>
      </c>
    </row>
    <row r="279" spans="1:31" ht="15.75" customHeight="1" x14ac:dyDescent="0.35">
      <c r="A279" s="1" t="s">
        <v>321</v>
      </c>
      <c r="B279" s="1" t="s">
        <v>506</v>
      </c>
      <c r="C279" s="1" t="s">
        <v>373</v>
      </c>
      <c r="D279" s="1" t="s">
        <v>507</v>
      </c>
      <c r="E279" s="5">
        <v>45054</v>
      </c>
      <c r="F279" s="4" t="str">
        <f>IF(ISNUMBER(Table13[[#This Row],[Claim_Date2]]),"",Table13[[#This Row],[Claim_Date2]])</f>
        <v/>
      </c>
      <c r="G279" s="4" t="s">
        <v>1098</v>
      </c>
      <c r="H279" s="4" t="str">
        <f>LEFT(Table13[[#This Row],[Values Col 1]],3)</f>
        <v/>
      </c>
      <c r="I279" s="4" t="s">
        <v>1098</v>
      </c>
      <c r="J279" s="4" t="str">
        <f>MID(Table13[[#This Row],[Function Col]],5,2)</f>
        <v/>
      </c>
      <c r="K279" s="4" t="s">
        <v>1098</v>
      </c>
      <c r="L279" s="4" t="str">
        <f>RIGHT(Table13[[#This Row],[Function Col]],4)</f>
        <v/>
      </c>
      <c r="M279" s="4" t="s">
        <v>1098</v>
      </c>
      <c r="N279" s="4" t="str">
        <f>IF(Table13[[#This Row],[Function Col5]]="","",_xlfn.CONCAT(Table13[[#This Row],[Day Col]],"/",Table13[[#This Row],[Month Col]],"/",Table13[[#This Row],[Year Col]]))</f>
        <v/>
      </c>
      <c r="O279" s="4" t="s">
        <v>1098</v>
      </c>
      <c r="P279" s="4">
        <f>IF(ISNUMBER(Table13[[#This Row],[Claim_Date2]]),Table13[[#This Row],[Claim_Date2]],Table13[[#This Row],[Function Col32]])</f>
        <v>45054</v>
      </c>
      <c r="Q279" s="4">
        <v>45054</v>
      </c>
      <c r="R279" s="1" t="s">
        <v>16</v>
      </c>
      <c r="S279" s="1" t="s">
        <v>47</v>
      </c>
      <c r="T279" s="1" t="s">
        <v>41</v>
      </c>
      <c r="U279" s="1"/>
      <c r="V279" s="1">
        <v>4657.7</v>
      </c>
      <c r="W279" s="1">
        <f>IF(Table1[[#This Row],[Claim_Amount]]&lt;0,0,Table1[[#This Row],[Claim_Amount]])</f>
        <v>4657.7</v>
      </c>
      <c r="X279" s="1">
        <f>IF(Table1[[#This Row],[Column1]]=0,"",Table1[[#This Row],[Column1]])</f>
        <v>4657.7</v>
      </c>
      <c r="Y279" s="1">
        <v>4657.7</v>
      </c>
      <c r="Z279" s="1">
        <v>4657.7</v>
      </c>
      <c r="AA279">
        <v>832</v>
      </c>
      <c r="AB279" s="1" t="s">
        <v>17</v>
      </c>
      <c r="AC279" s="1" t="s">
        <v>57</v>
      </c>
      <c r="AD279" s="1">
        <v>50</v>
      </c>
      <c r="AE279" s="3" t="s">
        <v>65</v>
      </c>
    </row>
    <row r="280" spans="1:31" ht="15.75" customHeight="1" x14ac:dyDescent="0.35">
      <c r="A280" s="1" t="s">
        <v>117</v>
      </c>
      <c r="B280" t="s">
        <v>1083</v>
      </c>
      <c r="C280" t="s">
        <v>1084</v>
      </c>
      <c r="D280" s="1" t="s">
        <v>126</v>
      </c>
      <c r="E280" s="5" t="s">
        <v>126</v>
      </c>
      <c r="F280" s="4" t="str">
        <f>IF(ISNUMBER(Table13[[#This Row],[Claim_Date2]]),"",Table13[[#This Row],[Claim_Date2]])</f>
        <v>Jan 11 2023</v>
      </c>
      <c r="G280" s="4" t="s">
        <v>126</v>
      </c>
      <c r="H280" s="4" t="str">
        <f>LEFT(Table13[[#This Row],[Values Col 1]],3)</f>
        <v>Jan</v>
      </c>
      <c r="I280" s="4" t="s">
        <v>1107</v>
      </c>
      <c r="J280" s="4" t="str">
        <f>MID(Table13[[#This Row],[Function Col]],5,2)</f>
        <v>11</v>
      </c>
      <c r="K280" s="4" t="s">
        <v>1121</v>
      </c>
      <c r="L280" s="4" t="str">
        <f>RIGHT(Table13[[#This Row],[Function Col]],4)</f>
        <v>2023</v>
      </c>
      <c r="M280" s="4" t="s">
        <v>1146</v>
      </c>
      <c r="N280" s="4" t="str">
        <f>IF(Table13[[#This Row],[Function Col5]]="","",_xlfn.CONCAT(Table13[[#This Row],[Day Col]],"/",Table13[[#This Row],[Month Col]],"/",Table13[[#This Row],[Year Col]]))</f>
        <v>11/Jan/2023</v>
      </c>
      <c r="O280" s="4" t="s">
        <v>1161</v>
      </c>
      <c r="P280" s="4" t="str">
        <f>IF(ISNUMBER(Table13[[#This Row],[Claim_Date2]]),Table13[[#This Row],[Claim_Date2]],Table13[[#This Row],[Function Col32]])</f>
        <v>11/Jan/2023</v>
      </c>
      <c r="Q280" s="4">
        <v>44937</v>
      </c>
      <c r="R280" s="1" t="s">
        <v>77</v>
      </c>
      <c r="S280" s="1" t="s">
        <v>31</v>
      </c>
      <c r="T280" t="s">
        <v>1086</v>
      </c>
      <c r="V280" s="1">
        <v>-20</v>
      </c>
      <c r="W280" s="1">
        <f>IF(Table1[[#This Row],[Claim_Amount]]&lt;0,0,Table1[[#This Row],[Claim_Amount]])</f>
        <v>0</v>
      </c>
      <c r="X280" s="1" t="str">
        <f>IF(Table1[[#This Row],[Column1]]=0,"",Table1[[#This Row],[Column1]])</f>
        <v/>
      </c>
      <c r="Y280" s="1" t="s">
        <v>1098</v>
      </c>
      <c r="Z280" s="1">
        <v>2481</v>
      </c>
      <c r="AA280">
        <v>832</v>
      </c>
      <c r="AB280" s="1" t="s">
        <v>42</v>
      </c>
      <c r="AC280" s="1" t="s">
        <v>57</v>
      </c>
      <c r="AD280">
        <v>9</v>
      </c>
      <c r="AE280" s="3" t="s">
        <v>65</v>
      </c>
    </row>
    <row r="281" spans="1:31" ht="15.75" customHeight="1" x14ac:dyDescent="0.35">
      <c r="A281" s="1" t="s">
        <v>209</v>
      </c>
      <c r="B281" t="s">
        <v>1083</v>
      </c>
      <c r="C281" t="s">
        <v>1084</v>
      </c>
      <c r="D281" s="1" t="s">
        <v>508</v>
      </c>
      <c r="E281" s="5" t="s">
        <v>508</v>
      </c>
      <c r="F281" s="4" t="str">
        <f>IF(ISNUMBER(Table13[[#This Row],[Claim_Date2]]),"",Table13[[#This Row],[Claim_Date2]])</f>
        <v>Nov 03 2023</v>
      </c>
      <c r="G281" s="4" t="s">
        <v>508</v>
      </c>
      <c r="H281" s="4" t="str">
        <f>LEFT(Table13[[#This Row],[Values Col 1]],3)</f>
        <v>Nov</v>
      </c>
      <c r="I281" s="4" t="s">
        <v>1105</v>
      </c>
      <c r="J281" s="4" t="str">
        <f>MID(Table13[[#This Row],[Function Col]],5,2)</f>
        <v>03</v>
      </c>
      <c r="K281" s="4" t="s">
        <v>1141</v>
      </c>
      <c r="L281" s="4" t="str">
        <f>RIGHT(Table13[[#This Row],[Function Col]],4)</f>
        <v>2023</v>
      </c>
      <c r="M281" s="4" t="s">
        <v>1146</v>
      </c>
      <c r="N281" s="4" t="str">
        <f>IF(Table13[[#This Row],[Function Col5]]="","",_xlfn.CONCAT(Table13[[#This Row],[Day Col]],"/",Table13[[#This Row],[Month Col]],"/",Table13[[#This Row],[Year Col]]))</f>
        <v>03/Nov/2023</v>
      </c>
      <c r="O281" s="4" t="s">
        <v>1234</v>
      </c>
      <c r="P281" s="4" t="str">
        <f>IF(ISNUMBER(Table13[[#This Row],[Claim_Date2]]),Table13[[#This Row],[Claim_Date2]],Table13[[#This Row],[Function Col32]])</f>
        <v>03/Nov/2023</v>
      </c>
      <c r="Q281" s="4">
        <v>45233</v>
      </c>
      <c r="R281" s="1" t="s">
        <v>85</v>
      </c>
      <c r="S281" s="1" t="s">
        <v>23</v>
      </c>
      <c r="T281" s="1" t="s">
        <v>54</v>
      </c>
      <c r="U281" s="1"/>
      <c r="W281">
        <f>IF(Table1[[#This Row],[Claim_Amount]]&lt;0,0,Table1[[#This Row],[Claim_Amount]])</f>
        <v>0</v>
      </c>
      <c r="X281" t="str">
        <f>IF(Table1[[#This Row],[Column1]]=0,"",Table1[[#This Row],[Column1]])</f>
        <v/>
      </c>
      <c r="Y281" t="s">
        <v>1098</v>
      </c>
      <c r="Z281">
        <v>2481</v>
      </c>
      <c r="AA281">
        <v>832</v>
      </c>
      <c r="AB281" s="1" t="s">
        <v>25</v>
      </c>
      <c r="AC281" s="1" t="s">
        <v>57</v>
      </c>
      <c r="AD281">
        <v>9</v>
      </c>
      <c r="AE281" s="3" t="s">
        <v>65</v>
      </c>
    </row>
    <row r="282" spans="1:31" ht="15.75" customHeight="1" x14ac:dyDescent="0.35">
      <c r="A282" s="1" t="s">
        <v>105</v>
      </c>
      <c r="B282" t="s">
        <v>1083</v>
      </c>
      <c r="C282" s="1" t="s">
        <v>509</v>
      </c>
      <c r="D282" s="1" t="s">
        <v>510</v>
      </c>
      <c r="E282" s="5" t="s">
        <v>510</v>
      </c>
      <c r="F282" s="4" t="str">
        <f>IF(ISNUMBER(Table13[[#This Row],[Claim_Date2]]),"",Table13[[#This Row],[Claim_Date2]])</f>
        <v>Dec 04 2023</v>
      </c>
      <c r="G282" s="4" t="s">
        <v>510</v>
      </c>
      <c r="H282" s="4" t="str">
        <f>LEFT(Table13[[#This Row],[Values Col 1]],3)</f>
        <v>Dec</v>
      </c>
      <c r="I282" s="4" t="s">
        <v>1111</v>
      </c>
      <c r="J282" s="4" t="str">
        <f>MID(Table13[[#This Row],[Function Col]],5,2)</f>
        <v>04</v>
      </c>
      <c r="K282" s="4" t="s">
        <v>1142</v>
      </c>
      <c r="L282" s="4" t="str">
        <f>RIGHT(Table13[[#This Row],[Function Col]],4)</f>
        <v>2023</v>
      </c>
      <c r="M282" s="4" t="s">
        <v>1146</v>
      </c>
      <c r="N282" s="4" t="str">
        <f>IF(Table13[[#This Row],[Function Col5]]="","",_xlfn.CONCAT(Table13[[#This Row],[Day Col]],"/",Table13[[#This Row],[Month Col]],"/",Table13[[#This Row],[Year Col]]))</f>
        <v>04/Dec/2023</v>
      </c>
      <c r="O282" s="4" t="s">
        <v>1235</v>
      </c>
      <c r="P282" s="4" t="str">
        <f>IF(ISNUMBER(Table13[[#This Row],[Claim_Date2]]),Table13[[#This Row],[Claim_Date2]],Table13[[#This Row],[Function Col32]])</f>
        <v>04/Dec/2023</v>
      </c>
      <c r="Q282" s="4">
        <v>45264</v>
      </c>
      <c r="R282" s="1" t="s">
        <v>85</v>
      </c>
      <c r="S282" s="1" t="s">
        <v>53</v>
      </c>
      <c r="T282" s="1" t="s">
        <v>24</v>
      </c>
      <c r="U282" s="1"/>
      <c r="W282">
        <f>IF(Table1[[#This Row],[Claim_Amount]]&lt;0,0,Table1[[#This Row],[Claim_Amount]])</f>
        <v>0</v>
      </c>
      <c r="X282" t="str">
        <f>IF(Table1[[#This Row],[Column1]]=0,"",Table1[[#This Row],[Column1]])</f>
        <v/>
      </c>
      <c r="Y282" t="s">
        <v>1098</v>
      </c>
      <c r="Z282">
        <v>2481</v>
      </c>
      <c r="AA282">
        <v>832</v>
      </c>
      <c r="AB282" s="1" t="s">
        <v>25</v>
      </c>
      <c r="AC282" s="1" t="s">
        <v>32</v>
      </c>
      <c r="AD282" s="1">
        <v>7</v>
      </c>
      <c r="AE282" s="3" t="s">
        <v>1097</v>
      </c>
    </row>
    <row r="283" spans="1:31" ht="15.75" customHeight="1" x14ac:dyDescent="0.35">
      <c r="A283" s="1" t="s">
        <v>249</v>
      </c>
      <c r="B283" s="1" t="s">
        <v>511</v>
      </c>
      <c r="C283" s="1" t="s">
        <v>494</v>
      </c>
      <c r="D283" s="1" t="s">
        <v>512</v>
      </c>
      <c r="E283" s="5">
        <v>45030</v>
      </c>
      <c r="F283" s="4" t="str">
        <f>IF(ISNUMBER(Table13[[#This Row],[Claim_Date2]]),"",Table13[[#This Row],[Claim_Date2]])</f>
        <v/>
      </c>
      <c r="G283" s="4" t="s">
        <v>1098</v>
      </c>
      <c r="H283" s="4" t="str">
        <f>LEFT(Table13[[#This Row],[Values Col 1]],3)</f>
        <v/>
      </c>
      <c r="I283" s="4" t="s">
        <v>1098</v>
      </c>
      <c r="J283" s="4" t="str">
        <f>MID(Table13[[#This Row],[Function Col]],5,2)</f>
        <v/>
      </c>
      <c r="K283" s="4" t="s">
        <v>1098</v>
      </c>
      <c r="L283" s="4" t="str">
        <f>RIGHT(Table13[[#This Row],[Function Col]],4)</f>
        <v/>
      </c>
      <c r="M283" s="4" t="s">
        <v>1098</v>
      </c>
      <c r="N283" s="4" t="str">
        <f>IF(Table13[[#This Row],[Function Col5]]="","",_xlfn.CONCAT(Table13[[#This Row],[Day Col]],"/",Table13[[#This Row],[Month Col]],"/",Table13[[#This Row],[Year Col]]))</f>
        <v/>
      </c>
      <c r="O283" s="4" t="s">
        <v>1098</v>
      </c>
      <c r="P283" s="4">
        <f>IF(ISNUMBER(Table13[[#This Row],[Claim_Date2]]),Table13[[#This Row],[Claim_Date2]],Table13[[#This Row],[Function Col32]])</f>
        <v>45030</v>
      </c>
      <c r="Q283" s="4">
        <v>45030</v>
      </c>
      <c r="R283" s="1" t="s">
        <v>85</v>
      </c>
      <c r="S283" s="1" t="s">
        <v>23</v>
      </c>
      <c r="T283" s="1" t="s">
        <v>61</v>
      </c>
      <c r="U283" s="1"/>
      <c r="V283" s="1">
        <v>-109</v>
      </c>
      <c r="W283" s="1">
        <f>IF(Table1[[#This Row],[Claim_Amount]]&lt;0,0,Table1[[#This Row],[Claim_Amount]])</f>
        <v>0</v>
      </c>
      <c r="X283" s="1" t="str">
        <f>IF(Table1[[#This Row],[Column1]]=0,"",Table1[[#This Row],[Column1]])</f>
        <v/>
      </c>
      <c r="Y283" s="1" t="s">
        <v>1098</v>
      </c>
      <c r="Z283" s="1">
        <v>2481</v>
      </c>
      <c r="AA283">
        <v>832</v>
      </c>
      <c r="AB283" s="1" t="s">
        <v>1091</v>
      </c>
      <c r="AC283" s="1" t="s">
        <v>32</v>
      </c>
      <c r="AD283">
        <v>9</v>
      </c>
      <c r="AE283" s="3" t="s">
        <v>65</v>
      </c>
    </row>
    <row r="284" spans="1:31" ht="15.75" customHeight="1" x14ac:dyDescent="0.35">
      <c r="A284" s="1" t="s">
        <v>154</v>
      </c>
      <c r="B284" s="1" t="s">
        <v>513</v>
      </c>
      <c r="C284" s="1" t="s">
        <v>514</v>
      </c>
      <c r="D284" s="1" t="s">
        <v>313</v>
      </c>
      <c r="E284" s="5">
        <v>45178</v>
      </c>
      <c r="F284" s="4" t="str">
        <f>IF(ISNUMBER(Table13[[#This Row],[Claim_Date2]]),"",Table13[[#This Row],[Claim_Date2]])</f>
        <v/>
      </c>
      <c r="G284" s="4" t="s">
        <v>1098</v>
      </c>
      <c r="H284" s="4" t="str">
        <f>LEFT(Table13[[#This Row],[Values Col 1]],3)</f>
        <v/>
      </c>
      <c r="I284" s="4" t="s">
        <v>1098</v>
      </c>
      <c r="J284" s="4" t="str">
        <f>MID(Table13[[#This Row],[Function Col]],5,2)</f>
        <v/>
      </c>
      <c r="K284" s="4" t="s">
        <v>1098</v>
      </c>
      <c r="L284" s="4" t="str">
        <f>RIGHT(Table13[[#This Row],[Function Col]],4)</f>
        <v/>
      </c>
      <c r="M284" s="4" t="s">
        <v>1098</v>
      </c>
      <c r="N284" s="4" t="str">
        <f>IF(Table13[[#This Row],[Function Col5]]="","",_xlfn.CONCAT(Table13[[#This Row],[Day Col]],"/",Table13[[#This Row],[Month Col]],"/",Table13[[#This Row],[Year Col]]))</f>
        <v/>
      </c>
      <c r="O284" s="4" t="s">
        <v>1098</v>
      </c>
      <c r="P284" s="4">
        <f>IF(ISNUMBER(Table13[[#This Row],[Claim_Date2]]),Table13[[#This Row],[Claim_Date2]],Table13[[#This Row],[Function Col32]])</f>
        <v>45178</v>
      </c>
      <c r="Q284" s="4">
        <v>45178</v>
      </c>
      <c r="R284" s="1" t="s">
        <v>85</v>
      </c>
      <c r="S284" t="s">
        <v>1085</v>
      </c>
      <c r="T284" s="1" t="s">
        <v>61</v>
      </c>
      <c r="U284" s="1"/>
      <c r="V284" s="1">
        <v>-200</v>
      </c>
      <c r="W284" s="1">
        <f>IF(Table1[[#This Row],[Claim_Amount]]&lt;0,0,Table1[[#This Row],[Claim_Amount]])</f>
        <v>0</v>
      </c>
      <c r="X284" s="1" t="str">
        <f>IF(Table1[[#This Row],[Column1]]=0,"",Table1[[#This Row],[Column1]])</f>
        <v/>
      </c>
      <c r="Y284" s="1" t="s">
        <v>1098</v>
      </c>
      <c r="Z284" s="1">
        <v>2481</v>
      </c>
      <c r="AA284">
        <v>832</v>
      </c>
      <c r="AB284" s="1" t="s">
        <v>25</v>
      </c>
      <c r="AC284" s="1" t="s">
        <v>57</v>
      </c>
      <c r="AD284">
        <v>9</v>
      </c>
      <c r="AE284" s="3" t="s">
        <v>19</v>
      </c>
    </row>
    <row r="285" spans="1:31" ht="15.75" customHeight="1" x14ac:dyDescent="0.35">
      <c r="A285" s="1" t="s">
        <v>168</v>
      </c>
      <c r="B285" t="s">
        <v>1083</v>
      </c>
      <c r="C285" s="1" t="s">
        <v>68</v>
      </c>
      <c r="D285" s="1" t="s">
        <v>515</v>
      </c>
      <c r="E285" s="5" t="s">
        <v>515</v>
      </c>
      <c r="F285" s="4" t="str">
        <f>IF(ISNUMBER(Table13[[#This Row],[Claim_Date2]]),"",Table13[[#This Row],[Claim_Date2]])</f>
        <v>Feb 21 2023</v>
      </c>
      <c r="G285" s="4" t="s">
        <v>515</v>
      </c>
      <c r="H285" s="4" t="str">
        <f>LEFT(Table13[[#This Row],[Values Col 1]],3)</f>
        <v>Feb</v>
      </c>
      <c r="I285" s="4" t="s">
        <v>1109</v>
      </c>
      <c r="J285" s="4" t="str">
        <f>MID(Table13[[#This Row],[Function Col]],5,2)</f>
        <v>21</v>
      </c>
      <c r="K285" s="4" t="s">
        <v>1136</v>
      </c>
      <c r="L285" s="4" t="str">
        <f>RIGHT(Table13[[#This Row],[Function Col]],4)</f>
        <v>2023</v>
      </c>
      <c r="M285" s="4" t="s">
        <v>1146</v>
      </c>
      <c r="N285" s="4" t="str">
        <f>IF(Table13[[#This Row],[Function Col5]]="","",_xlfn.CONCAT(Table13[[#This Row],[Day Col]],"/",Table13[[#This Row],[Month Col]],"/",Table13[[#This Row],[Year Col]]))</f>
        <v>21/Feb/2023</v>
      </c>
      <c r="O285" s="4" t="s">
        <v>1236</v>
      </c>
      <c r="P285" s="4" t="str">
        <f>IF(ISNUMBER(Table13[[#This Row],[Claim_Date2]]),Table13[[#This Row],[Claim_Date2]],Table13[[#This Row],[Function Col32]])</f>
        <v>21/Feb/2023</v>
      </c>
      <c r="Q285" s="4">
        <v>44978</v>
      </c>
      <c r="R285" s="1" t="s">
        <v>85</v>
      </c>
      <c r="S285" s="1" t="s">
        <v>47</v>
      </c>
      <c r="T285" s="1" t="s">
        <v>48</v>
      </c>
      <c r="U285" s="1"/>
      <c r="W285">
        <f>IF(Table1[[#This Row],[Claim_Amount]]&lt;0,0,Table1[[#This Row],[Claim_Amount]])</f>
        <v>0</v>
      </c>
      <c r="X285" t="str">
        <f>IF(Table1[[#This Row],[Column1]]=0,"",Table1[[#This Row],[Column1]])</f>
        <v/>
      </c>
      <c r="Y285" t="s">
        <v>1098</v>
      </c>
      <c r="Z285">
        <v>2481</v>
      </c>
      <c r="AA285" s="1">
        <v>2871.64</v>
      </c>
      <c r="AB285" s="1" t="s">
        <v>1091</v>
      </c>
      <c r="AC285" s="1" t="s">
        <v>57</v>
      </c>
      <c r="AD285">
        <v>9</v>
      </c>
      <c r="AE285" s="3" t="s">
        <v>19</v>
      </c>
    </row>
    <row r="286" spans="1:31" ht="15.75" customHeight="1" x14ac:dyDescent="0.35">
      <c r="A286" s="1" t="s">
        <v>202</v>
      </c>
      <c r="B286" t="s">
        <v>1083</v>
      </c>
      <c r="C286" t="s">
        <v>1084</v>
      </c>
      <c r="D286" s="1" t="s">
        <v>516</v>
      </c>
      <c r="E286" s="5">
        <v>45286</v>
      </c>
      <c r="F286" s="4" t="str">
        <f>IF(ISNUMBER(Table13[[#This Row],[Claim_Date2]]),"",Table13[[#This Row],[Claim_Date2]])</f>
        <v/>
      </c>
      <c r="G286" s="4" t="s">
        <v>1098</v>
      </c>
      <c r="H286" s="4" t="str">
        <f>LEFT(Table13[[#This Row],[Values Col 1]],3)</f>
        <v/>
      </c>
      <c r="I286" s="4" t="s">
        <v>1098</v>
      </c>
      <c r="J286" s="4" t="str">
        <f>MID(Table13[[#This Row],[Function Col]],5,2)</f>
        <v/>
      </c>
      <c r="K286" s="4" t="s">
        <v>1098</v>
      </c>
      <c r="L286" s="4" t="str">
        <f>RIGHT(Table13[[#This Row],[Function Col]],4)</f>
        <v/>
      </c>
      <c r="M286" s="4" t="s">
        <v>1098</v>
      </c>
      <c r="N286" s="4" t="str">
        <f>IF(Table13[[#This Row],[Function Col5]]="","",_xlfn.CONCAT(Table13[[#This Row],[Day Col]],"/",Table13[[#This Row],[Month Col]],"/",Table13[[#This Row],[Year Col]]))</f>
        <v/>
      </c>
      <c r="O286" s="4" t="s">
        <v>1098</v>
      </c>
      <c r="P286" s="4">
        <f>IF(ISNUMBER(Table13[[#This Row],[Claim_Date2]]),Table13[[#This Row],[Claim_Date2]],Table13[[#This Row],[Function Col32]])</f>
        <v>45286</v>
      </c>
      <c r="Q286" s="4">
        <v>45286</v>
      </c>
      <c r="R286" s="1" t="s">
        <v>85</v>
      </c>
      <c r="S286" s="1" t="s">
        <v>93</v>
      </c>
      <c r="T286" s="1" t="s">
        <v>54</v>
      </c>
      <c r="U286" s="1"/>
      <c r="W286">
        <f>IF(Table1[[#This Row],[Claim_Amount]]&lt;0,0,Table1[[#This Row],[Claim_Amount]])</f>
        <v>0</v>
      </c>
      <c r="X286" t="str">
        <f>IF(Table1[[#This Row],[Column1]]=0,"",Table1[[#This Row],[Column1]])</f>
        <v/>
      </c>
      <c r="Y286" t="s">
        <v>1098</v>
      </c>
      <c r="Z286">
        <v>2481</v>
      </c>
      <c r="AA286">
        <v>832</v>
      </c>
      <c r="AB286" s="1" t="s">
        <v>25</v>
      </c>
      <c r="AC286" s="1" t="s">
        <v>32</v>
      </c>
      <c r="AD286">
        <v>9</v>
      </c>
      <c r="AE286" s="3" t="s">
        <v>1097</v>
      </c>
    </row>
    <row r="287" spans="1:31" ht="15.75" customHeight="1" x14ac:dyDescent="0.35">
      <c r="A287" s="1" t="s">
        <v>58</v>
      </c>
      <c r="B287" t="s">
        <v>1083</v>
      </c>
      <c r="C287" t="s">
        <v>1084</v>
      </c>
      <c r="D287" s="1" t="s">
        <v>517</v>
      </c>
      <c r="E287" s="5" t="s">
        <v>517</v>
      </c>
      <c r="F287" s="4" t="str">
        <f>IF(ISNUMBER(Table13[[#This Row],[Claim_Date2]]),"",Table13[[#This Row],[Claim_Date2]])</f>
        <v>May 04 2023</v>
      </c>
      <c r="G287" s="4" t="s">
        <v>517</v>
      </c>
      <c r="H287" s="4" t="str">
        <f>LEFT(Table13[[#This Row],[Values Col 1]],3)</f>
        <v>May</v>
      </c>
      <c r="I287" s="4" t="s">
        <v>1110</v>
      </c>
      <c r="J287" s="4" t="str">
        <f>MID(Table13[[#This Row],[Function Col]],5,2)</f>
        <v>04</v>
      </c>
      <c r="K287" s="4" t="s">
        <v>1142</v>
      </c>
      <c r="L287" s="4" t="str">
        <f>RIGHT(Table13[[#This Row],[Function Col]],4)</f>
        <v>2023</v>
      </c>
      <c r="M287" s="4" t="s">
        <v>1146</v>
      </c>
      <c r="N287" s="4" t="str">
        <f>IF(Table13[[#This Row],[Function Col5]]="","",_xlfn.CONCAT(Table13[[#This Row],[Day Col]],"/",Table13[[#This Row],[Month Col]],"/",Table13[[#This Row],[Year Col]]))</f>
        <v>04/May/2023</v>
      </c>
      <c r="O287" s="4" t="s">
        <v>1237</v>
      </c>
      <c r="P287" s="4" t="str">
        <f>IF(ISNUMBER(Table13[[#This Row],[Claim_Date2]]),Table13[[#This Row],[Claim_Date2]],Table13[[#This Row],[Function Col32]])</f>
        <v>04/May/2023</v>
      </c>
      <c r="Q287" s="4">
        <v>45050</v>
      </c>
      <c r="R287" s="1" t="s">
        <v>30</v>
      </c>
      <c r="S287" s="1" t="s">
        <v>93</v>
      </c>
      <c r="T287" s="1" t="s">
        <v>48</v>
      </c>
      <c r="U287" s="1"/>
      <c r="W287">
        <f>IF(Table1[[#This Row],[Claim_Amount]]&lt;0,0,Table1[[#This Row],[Claim_Amount]])</f>
        <v>0</v>
      </c>
      <c r="X287" t="str">
        <f>IF(Table1[[#This Row],[Column1]]=0,"",Table1[[#This Row],[Column1]])</f>
        <v/>
      </c>
      <c r="Y287" t="s">
        <v>1098</v>
      </c>
      <c r="Z287">
        <v>2481</v>
      </c>
      <c r="AA287">
        <v>832</v>
      </c>
      <c r="AB287" s="1" t="s">
        <v>25</v>
      </c>
      <c r="AC287" s="1" t="s">
        <v>1093</v>
      </c>
      <c r="AD287">
        <v>9</v>
      </c>
      <c r="AE287" s="3" t="s">
        <v>19</v>
      </c>
    </row>
    <row r="288" spans="1:31" ht="15.75" customHeight="1" x14ac:dyDescent="0.35">
      <c r="A288" s="1" t="s">
        <v>261</v>
      </c>
      <c r="B288" s="1" t="s">
        <v>506</v>
      </c>
      <c r="C288" s="1" t="s">
        <v>354</v>
      </c>
      <c r="D288" s="1" t="s">
        <v>318</v>
      </c>
      <c r="E288" s="5">
        <v>45081</v>
      </c>
      <c r="F288" s="4" t="str">
        <f>IF(ISNUMBER(Table13[[#This Row],[Claim_Date2]]),"",Table13[[#This Row],[Claim_Date2]])</f>
        <v/>
      </c>
      <c r="G288" s="4" t="s">
        <v>1098</v>
      </c>
      <c r="H288" s="4" t="str">
        <f>LEFT(Table13[[#This Row],[Values Col 1]],3)</f>
        <v/>
      </c>
      <c r="I288" s="4" t="s">
        <v>1098</v>
      </c>
      <c r="J288" s="4" t="str">
        <f>MID(Table13[[#This Row],[Function Col]],5,2)</f>
        <v/>
      </c>
      <c r="K288" s="4" t="s">
        <v>1098</v>
      </c>
      <c r="L288" s="4" t="str">
        <f>RIGHT(Table13[[#This Row],[Function Col]],4)</f>
        <v/>
      </c>
      <c r="M288" s="4" t="s">
        <v>1098</v>
      </c>
      <c r="N288" s="4" t="str">
        <f>IF(Table13[[#This Row],[Function Col5]]="","",_xlfn.CONCAT(Table13[[#This Row],[Day Col]],"/",Table13[[#This Row],[Month Col]],"/",Table13[[#This Row],[Year Col]]))</f>
        <v/>
      </c>
      <c r="O288" s="4" t="s">
        <v>1098</v>
      </c>
      <c r="P288" s="4">
        <f>IF(ISNUMBER(Table13[[#This Row],[Claim_Date2]]),Table13[[#This Row],[Claim_Date2]],Table13[[#This Row],[Function Col32]])</f>
        <v>45081</v>
      </c>
      <c r="Q288" s="4">
        <v>45081</v>
      </c>
      <c r="R288" s="1" t="s">
        <v>85</v>
      </c>
      <c r="S288" s="1" t="s">
        <v>31</v>
      </c>
      <c r="T288" s="1" t="s">
        <v>61</v>
      </c>
      <c r="U288" s="1"/>
      <c r="W288">
        <f>IF(Table1[[#This Row],[Claim_Amount]]&lt;0,0,Table1[[#This Row],[Claim_Amount]])</f>
        <v>0</v>
      </c>
      <c r="X288" t="str">
        <f>IF(Table1[[#This Row],[Column1]]=0,"",Table1[[#This Row],[Column1]])</f>
        <v/>
      </c>
      <c r="Y288" t="s">
        <v>1098</v>
      </c>
      <c r="Z288">
        <v>2481</v>
      </c>
      <c r="AA288">
        <v>832</v>
      </c>
      <c r="AB288" s="1" t="s">
        <v>1091</v>
      </c>
      <c r="AC288" s="1" t="s">
        <v>57</v>
      </c>
      <c r="AD288">
        <v>9</v>
      </c>
      <c r="AE288" s="3" t="s">
        <v>65</v>
      </c>
    </row>
    <row r="289" spans="1:31" ht="15.75" customHeight="1" x14ac:dyDescent="0.35">
      <c r="A289" s="1" t="s">
        <v>108</v>
      </c>
      <c r="B289" t="s">
        <v>1083</v>
      </c>
      <c r="C289" s="1" t="s">
        <v>518</v>
      </c>
      <c r="D289" s="1" t="s">
        <v>519</v>
      </c>
      <c r="E289" s="5" t="s">
        <v>519</v>
      </c>
      <c r="F289" s="4" t="str">
        <f>IF(ISNUMBER(Table13[[#This Row],[Claim_Date2]]),"",Table13[[#This Row],[Claim_Date2]])</f>
        <v>Jul 07 2023</v>
      </c>
      <c r="G289" s="4" t="s">
        <v>519</v>
      </c>
      <c r="H289" s="4" t="str">
        <f>LEFT(Table13[[#This Row],[Values Col 1]],3)</f>
        <v>Jul</v>
      </c>
      <c r="I289" s="4" t="s">
        <v>1101</v>
      </c>
      <c r="J289" s="4" t="str">
        <f>MID(Table13[[#This Row],[Function Col]],5,2)</f>
        <v>07</v>
      </c>
      <c r="K289" s="4" t="s">
        <v>1120</v>
      </c>
      <c r="L289" s="4" t="str">
        <f>RIGHT(Table13[[#This Row],[Function Col]],4)</f>
        <v>2023</v>
      </c>
      <c r="M289" s="4" t="s">
        <v>1146</v>
      </c>
      <c r="N289" s="4" t="str">
        <f>IF(Table13[[#This Row],[Function Col5]]="","",_xlfn.CONCAT(Table13[[#This Row],[Day Col]],"/",Table13[[#This Row],[Month Col]],"/",Table13[[#This Row],[Year Col]]))</f>
        <v>07/Jul/2023</v>
      </c>
      <c r="O289" s="4" t="s">
        <v>1238</v>
      </c>
      <c r="P289" s="4" t="str">
        <f>IF(ISNUMBER(Table13[[#This Row],[Claim_Date2]]),Table13[[#This Row],[Claim_Date2]],Table13[[#This Row],[Function Col32]])</f>
        <v>07/Jul/2023</v>
      </c>
      <c r="Q289" s="4">
        <v>45114</v>
      </c>
      <c r="R289" s="1" t="s">
        <v>85</v>
      </c>
      <c r="S289" s="1" t="s">
        <v>93</v>
      </c>
      <c r="T289" s="1" t="s">
        <v>41</v>
      </c>
      <c r="U289" s="1"/>
      <c r="V289" s="1">
        <v>-33</v>
      </c>
      <c r="W289" s="1">
        <f>IF(Table1[[#This Row],[Claim_Amount]]&lt;0,0,Table1[[#This Row],[Claim_Amount]])</f>
        <v>0</v>
      </c>
      <c r="X289" s="1" t="str">
        <f>IF(Table1[[#This Row],[Column1]]=0,"",Table1[[#This Row],[Column1]])</f>
        <v/>
      </c>
      <c r="Y289" s="1" t="s">
        <v>1098</v>
      </c>
      <c r="Z289" s="1">
        <v>2481</v>
      </c>
      <c r="AA289" s="1">
        <v>2866.87</v>
      </c>
      <c r="AB289" s="1" t="s">
        <v>25</v>
      </c>
      <c r="AC289" s="1" t="s">
        <v>32</v>
      </c>
      <c r="AD289">
        <v>9</v>
      </c>
      <c r="AE289" s="3" t="s">
        <v>65</v>
      </c>
    </row>
    <row r="290" spans="1:31" ht="15.75" customHeight="1" x14ac:dyDescent="0.35">
      <c r="A290" s="1" t="s">
        <v>117</v>
      </c>
      <c r="B290" t="s">
        <v>1083</v>
      </c>
      <c r="C290" s="1" t="s">
        <v>156</v>
      </c>
      <c r="D290" s="1" t="s">
        <v>520</v>
      </c>
      <c r="E290" s="5">
        <v>45231</v>
      </c>
      <c r="F290" s="4" t="str">
        <f>IF(ISNUMBER(Table13[[#This Row],[Claim_Date2]]),"",Table13[[#This Row],[Claim_Date2]])</f>
        <v/>
      </c>
      <c r="G290" s="4" t="s">
        <v>1098</v>
      </c>
      <c r="H290" s="4" t="str">
        <f>LEFT(Table13[[#This Row],[Values Col 1]],3)</f>
        <v/>
      </c>
      <c r="I290" s="4" t="s">
        <v>1098</v>
      </c>
      <c r="J290" s="4" t="str">
        <f>MID(Table13[[#This Row],[Function Col]],5,2)</f>
        <v/>
      </c>
      <c r="K290" s="4" t="s">
        <v>1098</v>
      </c>
      <c r="L290" s="4" t="str">
        <f>RIGHT(Table13[[#This Row],[Function Col]],4)</f>
        <v/>
      </c>
      <c r="M290" s="4" t="s">
        <v>1098</v>
      </c>
      <c r="N290" s="4" t="str">
        <f>IF(Table13[[#This Row],[Function Col5]]="","",_xlfn.CONCAT(Table13[[#This Row],[Day Col]],"/",Table13[[#This Row],[Month Col]],"/",Table13[[#This Row],[Year Col]]))</f>
        <v/>
      </c>
      <c r="O290" s="4" t="s">
        <v>1098</v>
      </c>
      <c r="P290" s="4">
        <f>IF(ISNUMBER(Table13[[#This Row],[Claim_Date2]]),Table13[[#This Row],[Claim_Date2]],Table13[[#This Row],[Function Col32]])</f>
        <v>45231</v>
      </c>
      <c r="Q290" s="4">
        <v>45231</v>
      </c>
      <c r="R290" s="1" t="s">
        <v>16</v>
      </c>
      <c r="S290" s="1" t="s">
        <v>47</v>
      </c>
      <c r="T290" s="1" t="s">
        <v>48</v>
      </c>
      <c r="U290" s="1"/>
      <c r="W290">
        <f>IF(Table1[[#This Row],[Claim_Amount]]&lt;0,0,Table1[[#This Row],[Claim_Amount]])</f>
        <v>0</v>
      </c>
      <c r="X290" t="str">
        <f>IF(Table1[[#This Row],[Column1]]=0,"",Table1[[#This Row],[Column1]])</f>
        <v/>
      </c>
      <c r="Y290" t="s">
        <v>1098</v>
      </c>
      <c r="Z290">
        <v>2481</v>
      </c>
      <c r="AA290">
        <v>832</v>
      </c>
      <c r="AB290" s="1" t="s">
        <v>25</v>
      </c>
      <c r="AC290" s="1" t="s">
        <v>26</v>
      </c>
      <c r="AD290" s="1">
        <v>55</v>
      </c>
      <c r="AE290" s="3" t="s">
        <v>1097</v>
      </c>
    </row>
    <row r="291" spans="1:31" ht="15.75" customHeight="1" x14ac:dyDescent="0.35">
      <c r="A291" s="1" t="s">
        <v>89</v>
      </c>
      <c r="B291" t="s">
        <v>1083</v>
      </c>
      <c r="C291" s="1" t="s">
        <v>80</v>
      </c>
      <c r="D291" s="1" t="s">
        <v>521</v>
      </c>
      <c r="E291" s="5">
        <v>45195</v>
      </c>
      <c r="F291" s="4" t="str">
        <f>IF(ISNUMBER(Table13[[#This Row],[Claim_Date2]]),"",Table13[[#This Row],[Claim_Date2]])</f>
        <v/>
      </c>
      <c r="G291" s="4" t="s">
        <v>1098</v>
      </c>
      <c r="H291" s="4" t="str">
        <f>LEFT(Table13[[#This Row],[Values Col 1]],3)</f>
        <v/>
      </c>
      <c r="I291" s="4" t="s">
        <v>1098</v>
      </c>
      <c r="J291" s="4" t="str">
        <f>MID(Table13[[#This Row],[Function Col]],5,2)</f>
        <v/>
      </c>
      <c r="K291" s="4" t="s">
        <v>1098</v>
      </c>
      <c r="L291" s="4" t="str">
        <f>RIGHT(Table13[[#This Row],[Function Col]],4)</f>
        <v/>
      </c>
      <c r="M291" s="4" t="s">
        <v>1098</v>
      </c>
      <c r="N291" s="4" t="str">
        <f>IF(Table13[[#This Row],[Function Col5]]="","",_xlfn.CONCAT(Table13[[#This Row],[Day Col]],"/",Table13[[#This Row],[Month Col]],"/",Table13[[#This Row],[Year Col]]))</f>
        <v/>
      </c>
      <c r="O291" s="4" t="s">
        <v>1098</v>
      </c>
      <c r="P291" s="4">
        <f>IF(ISNUMBER(Table13[[#This Row],[Claim_Date2]]),Table13[[#This Row],[Claim_Date2]],Table13[[#This Row],[Function Col32]])</f>
        <v>45195</v>
      </c>
      <c r="Q291" s="4">
        <v>45195</v>
      </c>
      <c r="R291" s="1" t="s">
        <v>30</v>
      </c>
      <c r="S291" s="1" t="s">
        <v>47</v>
      </c>
      <c r="T291" s="1" t="s">
        <v>24</v>
      </c>
      <c r="U291" s="1"/>
      <c r="W291">
        <f>IF(Table1[[#This Row],[Claim_Amount]]&lt;0,0,Table1[[#This Row],[Claim_Amount]])</f>
        <v>0</v>
      </c>
      <c r="X291" t="str">
        <f>IF(Table1[[#This Row],[Column1]]=0,"",Table1[[#This Row],[Column1]])</f>
        <v/>
      </c>
      <c r="Y291" t="s">
        <v>1098</v>
      </c>
      <c r="Z291">
        <v>2481</v>
      </c>
      <c r="AA291">
        <v>832</v>
      </c>
      <c r="AB291" s="1" t="s">
        <v>25</v>
      </c>
      <c r="AC291" s="1" t="s">
        <v>1093</v>
      </c>
      <c r="AD291">
        <v>9</v>
      </c>
      <c r="AE291" s="3" t="s">
        <v>1097</v>
      </c>
    </row>
    <row r="292" spans="1:31" ht="15.75" customHeight="1" x14ac:dyDescent="0.35">
      <c r="A292" s="1" t="s">
        <v>163</v>
      </c>
      <c r="B292" s="1" t="s">
        <v>522</v>
      </c>
      <c r="C292" t="s">
        <v>1084</v>
      </c>
      <c r="D292" s="1" t="s">
        <v>523</v>
      </c>
      <c r="E292" s="5">
        <v>45002</v>
      </c>
      <c r="F292" s="4" t="str">
        <f>IF(ISNUMBER(Table13[[#This Row],[Claim_Date2]]),"",Table13[[#This Row],[Claim_Date2]])</f>
        <v/>
      </c>
      <c r="G292" s="4" t="s">
        <v>1098</v>
      </c>
      <c r="H292" s="4" t="str">
        <f>LEFT(Table13[[#This Row],[Values Col 1]],3)</f>
        <v/>
      </c>
      <c r="I292" s="4" t="s">
        <v>1098</v>
      </c>
      <c r="J292" s="4" t="str">
        <f>MID(Table13[[#This Row],[Function Col]],5,2)</f>
        <v/>
      </c>
      <c r="K292" s="4" t="s">
        <v>1098</v>
      </c>
      <c r="L292" s="4" t="str">
        <f>RIGHT(Table13[[#This Row],[Function Col]],4)</f>
        <v/>
      </c>
      <c r="M292" s="4" t="s">
        <v>1098</v>
      </c>
      <c r="N292" s="4" t="str">
        <f>IF(Table13[[#This Row],[Function Col5]]="","",_xlfn.CONCAT(Table13[[#This Row],[Day Col]],"/",Table13[[#This Row],[Month Col]],"/",Table13[[#This Row],[Year Col]]))</f>
        <v/>
      </c>
      <c r="O292" s="4" t="s">
        <v>1098</v>
      </c>
      <c r="P292" s="4">
        <f>IF(ISNUMBER(Table13[[#This Row],[Claim_Date2]]),Table13[[#This Row],[Claim_Date2]],Table13[[#This Row],[Function Col32]])</f>
        <v>45002</v>
      </c>
      <c r="Q292" s="4">
        <v>45002</v>
      </c>
      <c r="R292" s="1" t="s">
        <v>16</v>
      </c>
      <c r="S292" s="1" t="s">
        <v>53</v>
      </c>
      <c r="T292" s="1" t="s">
        <v>54</v>
      </c>
      <c r="U292" s="1"/>
      <c r="V292" s="1">
        <v>-150</v>
      </c>
      <c r="W292" s="1">
        <f>IF(Table1[[#This Row],[Claim_Amount]]&lt;0,0,Table1[[#This Row],[Claim_Amount]])</f>
        <v>0</v>
      </c>
      <c r="X292" s="1" t="str">
        <f>IF(Table1[[#This Row],[Column1]]=0,"",Table1[[#This Row],[Column1]])</f>
        <v/>
      </c>
      <c r="Y292" s="1" t="s">
        <v>1098</v>
      </c>
      <c r="Z292" s="1">
        <v>2481</v>
      </c>
      <c r="AA292">
        <v>832</v>
      </c>
      <c r="AB292" s="1" t="s">
        <v>1091</v>
      </c>
      <c r="AC292" s="1" t="s">
        <v>1093</v>
      </c>
      <c r="AD292">
        <v>9</v>
      </c>
      <c r="AE292" s="3" t="s">
        <v>65</v>
      </c>
    </row>
    <row r="293" spans="1:31" ht="15.75" customHeight="1" x14ac:dyDescent="0.35">
      <c r="A293" s="1" t="s">
        <v>231</v>
      </c>
      <c r="B293" t="s">
        <v>1083</v>
      </c>
      <c r="C293" s="1" t="s">
        <v>39</v>
      </c>
      <c r="D293" s="1" t="s">
        <v>385</v>
      </c>
      <c r="E293" s="5" t="s">
        <v>385</v>
      </c>
      <c r="F293" s="4" t="str">
        <f>IF(ISNUMBER(Table13[[#This Row],[Claim_Date2]]),"",Table13[[#This Row],[Claim_Date2]])</f>
        <v>Nov 30 2023</v>
      </c>
      <c r="G293" s="4" t="s">
        <v>385</v>
      </c>
      <c r="H293" s="4" t="str">
        <f>LEFT(Table13[[#This Row],[Values Col 1]],3)</f>
        <v>Nov</v>
      </c>
      <c r="I293" s="4" t="s">
        <v>1105</v>
      </c>
      <c r="J293" s="4" t="str">
        <f>MID(Table13[[#This Row],[Function Col]],5,2)</f>
        <v>30</v>
      </c>
      <c r="K293" s="4" t="s">
        <v>1126</v>
      </c>
      <c r="L293" s="4" t="str">
        <f>RIGHT(Table13[[#This Row],[Function Col]],4)</f>
        <v>2023</v>
      </c>
      <c r="M293" s="4" t="s">
        <v>1146</v>
      </c>
      <c r="N293" s="4" t="str">
        <f>IF(Table13[[#This Row],[Function Col5]]="","",_xlfn.CONCAT(Table13[[#This Row],[Day Col]],"/",Table13[[#This Row],[Month Col]],"/",Table13[[#This Row],[Year Col]]))</f>
        <v>30/Nov/2023</v>
      </c>
      <c r="O293" s="4" t="s">
        <v>1207</v>
      </c>
      <c r="P293" s="4" t="str">
        <f>IF(ISNUMBER(Table13[[#This Row],[Claim_Date2]]),Table13[[#This Row],[Claim_Date2]],Table13[[#This Row],[Function Col32]])</f>
        <v>30/Nov/2023</v>
      </c>
      <c r="Q293" s="4">
        <v>45260</v>
      </c>
      <c r="R293" s="1" t="s">
        <v>85</v>
      </c>
      <c r="S293" s="1" t="s">
        <v>47</v>
      </c>
      <c r="T293" s="1" t="s">
        <v>54</v>
      </c>
      <c r="U293" s="1"/>
      <c r="W293">
        <f>IF(Table1[[#This Row],[Claim_Amount]]&lt;0,0,Table1[[#This Row],[Claim_Amount]])</f>
        <v>0</v>
      </c>
      <c r="X293" t="str">
        <f>IF(Table1[[#This Row],[Column1]]=0,"",Table1[[#This Row],[Column1]])</f>
        <v/>
      </c>
      <c r="Y293" t="s">
        <v>1098</v>
      </c>
      <c r="Z293">
        <v>2481</v>
      </c>
      <c r="AA293">
        <v>832</v>
      </c>
      <c r="AB293" s="1" t="s">
        <v>25</v>
      </c>
      <c r="AC293" s="1" t="s">
        <v>32</v>
      </c>
      <c r="AD293">
        <v>9</v>
      </c>
      <c r="AE293" s="3" t="s">
        <v>19</v>
      </c>
    </row>
    <row r="294" spans="1:31" ht="15.75" customHeight="1" x14ac:dyDescent="0.35">
      <c r="A294" s="1" t="s">
        <v>55</v>
      </c>
      <c r="B294" t="s">
        <v>1083</v>
      </c>
      <c r="C294" t="s">
        <v>1084</v>
      </c>
      <c r="D294" s="1" t="s">
        <v>524</v>
      </c>
      <c r="E294" s="5">
        <v>45024</v>
      </c>
      <c r="F294" s="4" t="str">
        <f>IF(ISNUMBER(Table13[[#This Row],[Claim_Date2]]),"",Table13[[#This Row],[Claim_Date2]])</f>
        <v/>
      </c>
      <c r="G294" s="4" t="s">
        <v>1098</v>
      </c>
      <c r="H294" s="4" t="str">
        <f>LEFT(Table13[[#This Row],[Values Col 1]],3)</f>
        <v/>
      </c>
      <c r="I294" s="4" t="s">
        <v>1098</v>
      </c>
      <c r="J294" s="4" t="str">
        <f>MID(Table13[[#This Row],[Function Col]],5,2)</f>
        <v/>
      </c>
      <c r="K294" s="4" t="s">
        <v>1098</v>
      </c>
      <c r="L294" s="4" t="str">
        <f>RIGHT(Table13[[#This Row],[Function Col]],4)</f>
        <v/>
      </c>
      <c r="M294" s="4" t="s">
        <v>1098</v>
      </c>
      <c r="N294" s="4" t="str">
        <f>IF(Table13[[#This Row],[Function Col5]]="","",_xlfn.CONCAT(Table13[[#This Row],[Day Col]],"/",Table13[[#This Row],[Month Col]],"/",Table13[[#This Row],[Year Col]]))</f>
        <v/>
      </c>
      <c r="O294" s="4" t="s">
        <v>1098</v>
      </c>
      <c r="P294" s="4">
        <f>IF(ISNUMBER(Table13[[#This Row],[Claim_Date2]]),Table13[[#This Row],[Claim_Date2]],Table13[[#This Row],[Function Col32]])</f>
        <v>45024</v>
      </c>
      <c r="Q294" s="4">
        <v>45024</v>
      </c>
      <c r="R294" s="1" t="s">
        <v>30</v>
      </c>
      <c r="S294" t="s">
        <v>1085</v>
      </c>
      <c r="T294" s="1" t="s">
        <v>61</v>
      </c>
      <c r="U294" s="1"/>
      <c r="W294">
        <f>IF(Table1[[#This Row],[Claim_Amount]]&lt;0,0,Table1[[#This Row],[Claim_Amount]])</f>
        <v>0</v>
      </c>
      <c r="X294" t="str">
        <f>IF(Table1[[#This Row],[Column1]]=0,"",Table1[[#This Row],[Column1]])</f>
        <v/>
      </c>
      <c r="Y294" t="s">
        <v>1098</v>
      </c>
      <c r="Z294">
        <v>2481</v>
      </c>
      <c r="AA294">
        <v>832</v>
      </c>
      <c r="AB294" s="1" t="s">
        <v>1091</v>
      </c>
      <c r="AC294" s="1" t="s">
        <v>18</v>
      </c>
      <c r="AD294" s="1">
        <v>28</v>
      </c>
      <c r="AE294" s="3" t="s">
        <v>65</v>
      </c>
    </row>
    <row r="295" spans="1:31" ht="15.75" customHeight="1" x14ac:dyDescent="0.35">
      <c r="A295" s="1" t="s">
        <v>212</v>
      </c>
      <c r="B295" t="s">
        <v>1083</v>
      </c>
      <c r="C295" s="1" t="s">
        <v>213</v>
      </c>
      <c r="D295" s="1" t="s">
        <v>525</v>
      </c>
      <c r="E295" s="5" t="s">
        <v>525</v>
      </c>
      <c r="F295" s="4" t="str">
        <f>IF(ISNUMBER(Table13[[#This Row],[Claim_Date2]]),"",Table13[[#This Row],[Claim_Date2]])</f>
        <v>May 05 2023</v>
      </c>
      <c r="G295" s="4" t="s">
        <v>525</v>
      </c>
      <c r="H295" s="4" t="str">
        <f>LEFT(Table13[[#This Row],[Values Col 1]],3)</f>
        <v>May</v>
      </c>
      <c r="I295" s="4" t="s">
        <v>1110</v>
      </c>
      <c r="J295" s="4" t="str">
        <f>MID(Table13[[#This Row],[Function Col]],5,2)</f>
        <v>05</v>
      </c>
      <c r="K295" s="4" t="s">
        <v>1144</v>
      </c>
      <c r="L295" s="4" t="str">
        <f>RIGHT(Table13[[#This Row],[Function Col]],4)</f>
        <v>2023</v>
      </c>
      <c r="M295" s="4" t="s">
        <v>1146</v>
      </c>
      <c r="N295" s="4" t="str">
        <f>IF(Table13[[#This Row],[Function Col5]]="","",_xlfn.CONCAT(Table13[[#This Row],[Day Col]],"/",Table13[[#This Row],[Month Col]],"/",Table13[[#This Row],[Year Col]]))</f>
        <v>05/May/2023</v>
      </c>
      <c r="O295" s="4" t="s">
        <v>1239</v>
      </c>
      <c r="P295" s="4" t="str">
        <f>IF(ISNUMBER(Table13[[#This Row],[Claim_Date2]]),Table13[[#This Row],[Claim_Date2]],Table13[[#This Row],[Function Col32]])</f>
        <v>05/May/2023</v>
      </c>
      <c r="Q295" s="4">
        <v>45051</v>
      </c>
      <c r="R295" s="1" t="s">
        <v>85</v>
      </c>
      <c r="S295" s="1" t="s">
        <v>31</v>
      </c>
      <c r="T295" s="1" t="s">
        <v>61</v>
      </c>
      <c r="U295" s="1"/>
      <c r="W295">
        <f>IF(Table1[[#This Row],[Claim_Amount]]&lt;0,0,Table1[[#This Row],[Claim_Amount]])</f>
        <v>0</v>
      </c>
      <c r="X295" t="str">
        <f>IF(Table1[[#This Row],[Column1]]=0,"",Table1[[#This Row],[Column1]])</f>
        <v/>
      </c>
      <c r="Y295" t="s">
        <v>1098</v>
      </c>
      <c r="Z295">
        <v>2481</v>
      </c>
      <c r="AA295" s="1">
        <v>2277.8000000000002</v>
      </c>
      <c r="AB295" s="1" t="s">
        <v>42</v>
      </c>
      <c r="AC295" s="1" t="s">
        <v>18</v>
      </c>
      <c r="AD295">
        <v>9</v>
      </c>
      <c r="AE295" s="3" t="s">
        <v>65</v>
      </c>
    </row>
    <row r="296" spans="1:31" ht="15.75" customHeight="1" x14ac:dyDescent="0.35">
      <c r="A296" s="1" t="s">
        <v>187</v>
      </c>
      <c r="B296" t="s">
        <v>1083</v>
      </c>
      <c r="C296" t="s">
        <v>1084</v>
      </c>
      <c r="D296" s="1" t="s">
        <v>526</v>
      </c>
      <c r="E296" s="5" t="s">
        <v>526</v>
      </c>
      <c r="F296" s="4" t="str">
        <f>IF(ISNUMBER(Table13[[#This Row],[Claim_Date2]]),"",Table13[[#This Row],[Claim_Date2]])</f>
        <v>Nov 15 2023</v>
      </c>
      <c r="G296" s="4" t="s">
        <v>526</v>
      </c>
      <c r="H296" s="4" t="str">
        <f>LEFT(Table13[[#This Row],[Values Col 1]],3)</f>
        <v>Nov</v>
      </c>
      <c r="I296" s="4" t="s">
        <v>1105</v>
      </c>
      <c r="J296" s="4" t="str">
        <f>MID(Table13[[#This Row],[Function Col]],5,2)</f>
        <v>15</v>
      </c>
      <c r="K296" s="4" t="s">
        <v>1116</v>
      </c>
      <c r="L296" s="4" t="str">
        <f>RIGHT(Table13[[#This Row],[Function Col]],4)</f>
        <v>2023</v>
      </c>
      <c r="M296" s="4" t="s">
        <v>1146</v>
      </c>
      <c r="N296" s="4" t="str">
        <f>IF(Table13[[#This Row],[Function Col5]]="","",_xlfn.CONCAT(Table13[[#This Row],[Day Col]],"/",Table13[[#This Row],[Month Col]],"/",Table13[[#This Row],[Year Col]]))</f>
        <v>15/Nov/2023</v>
      </c>
      <c r="O296" s="4" t="s">
        <v>1240</v>
      </c>
      <c r="P296" s="4" t="str">
        <f>IF(ISNUMBER(Table13[[#This Row],[Claim_Date2]]),Table13[[#This Row],[Claim_Date2]],Table13[[#This Row],[Function Col32]])</f>
        <v>15/Nov/2023</v>
      </c>
      <c r="Q296" s="4">
        <v>45245</v>
      </c>
      <c r="R296" s="1" t="s">
        <v>85</v>
      </c>
      <c r="S296" t="s">
        <v>1085</v>
      </c>
      <c r="T296" t="s">
        <v>1086</v>
      </c>
      <c r="V296" s="1">
        <v>3357.89</v>
      </c>
      <c r="W296" s="1">
        <f>IF(Table1[[#This Row],[Claim_Amount]]&lt;0,0,Table1[[#This Row],[Claim_Amount]])</f>
        <v>3357.89</v>
      </c>
      <c r="X296" s="1">
        <f>IF(Table1[[#This Row],[Column1]]=0,"",Table1[[#This Row],[Column1]])</f>
        <v>3357.89</v>
      </c>
      <c r="Y296" s="1">
        <v>3357.89</v>
      </c>
      <c r="Z296" s="1">
        <v>3357.89</v>
      </c>
      <c r="AA296" s="1">
        <v>1314.51</v>
      </c>
      <c r="AB296" s="1" t="s">
        <v>42</v>
      </c>
      <c r="AC296" s="1" t="s">
        <v>18</v>
      </c>
      <c r="AD296">
        <v>9</v>
      </c>
      <c r="AE296" s="3" t="s">
        <v>1097</v>
      </c>
    </row>
    <row r="297" spans="1:31" ht="15.75" customHeight="1" x14ac:dyDescent="0.35">
      <c r="A297" s="1" t="s">
        <v>38</v>
      </c>
      <c r="B297" t="s">
        <v>1083</v>
      </c>
      <c r="C297" s="1" t="s">
        <v>130</v>
      </c>
      <c r="D297" s="1" t="s">
        <v>527</v>
      </c>
      <c r="E297" s="5">
        <v>45125</v>
      </c>
      <c r="F297" s="4" t="str">
        <f>IF(ISNUMBER(Table13[[#This Row],[Claim_Date2]]),"",Table13[[#This Row],[Claim_Date2]])</f>
        <v/>
      </c>
      <c r="G297" s="4" t="s">
        <v>1098</v>
      </c>
      <c r="H297" s="4" t="str">
        <f>LEFT(Table13[[#This Row],[Values Col 1]],3)</f>
        <v/>
      </c>
      <c r="I297" s="4" t="s">
        <v>1098</v>
      </c>
      <c r="J297" s="4" t="str">
        <f>MID(Table13[[#This Row],[Function Col]],5,2)</f>
        <v/>
      </c>
      <c r="K297" s="4" t="s">
        <v>1098</v>
      </c>
      <c r="L297" s="4" t="str">
        <f>RIGHT(Table13[[#This Row],[Function Col]],4)</f>
        <v/>
      </c>
      <c r="M297" s="4" t="s">
        <v>1098</v>
      </c>
      <c r="N297" s="4" t="str">
        <f>IF(Table13[[#This Row],[Function Col5]]="","",_xlfn.CONCAT(Table13[[#This Row],[Day Col]],"/",Table13[[#This Row],[Month Col]],"/",Table13[[#This Row],[Year Col]]))</f>
        <v/>
      </c>
      <c r="O297" s="4" t="s">
        <v>1098</v>
      </c>
      <c r="P297" s="4">
        <f>IF(ISNUMBER(Table13[[#This Row],[Claim_Date2]]),Table13[[#This Row],[Claim_Date2]],Table13[[#This Row],[Function Col32]])</f>
        <v>45125</v>
      </c>
      <c r="Q297" s="4">
        <v>45125</v>
      </c>
      <c r="R297" s="1" t="s">
        <v>16</v>
      </c>
      <c r="S297" t="s">
        <v>1085</v>
      </c>
      <c r="T297" s="1" t="s">
        <v>41</v>
      </c>
      <c r="U297" s="1"/>
      <c r="W297">
        <f>IF(Table1[[#This Row],[Claim_Amount]]&lt;0,0,Table1[[#This Row],[Claim_Amount]])</f>
        <v>0</v>
      </c>
      <c r="X297" t="str">
        <f>IF(Table1[[#This Row],[Column1]]=0,"",Table1[[#This Row],[Column1]])</f>
        <v/>
      </c>
      <c r="Y297" t="s">
        <v>1098</v>
      </c>
      <c r="Z297">
        <v>2481</v>
      </c>
      <c r="AA297">
        <v>832</v>
      </c>
      <c r="AB297" s="1" t="s">
        <v>25</v>
      </c>
      <c r="AC297" s="1" t="s">
        <v>18</v>
      </c>
      <c r="AD297">
        <v>9</v>
      </c>
      <c r="AE297" s="3" t="s">
        <v>19</v>
      </c>
    </row>
    <row r="298" spans="1:31" ht="15.75" customHeight="1" x14ac:dyDescent="0.35">
      <c r="A298" s="1" t="s">
        <v>58</v>
      </c>
      <c r="B298" t="s">
        <v>1083</v>
      </c>
      <c r="C298" s="1" t="s">
        <v>358</v>
      </c>
      <c r="D298" s="1" t="s">
        <v>528</v>
      </c>
      <c r="E298" s="5">
        <v>45028</v>
      </c>
      <c r="F298" s="4" t="str">
        <f>IF(ISNUMBER(Table13[[#This Row],[Claim_Date2]]),"",Table13[[#This Row],[Claim_Date2]])</f>
        <v/>
      </c>
      <c r="G298" s="4" t="s">
        <v>1098</v>
      </c>
      <c r="H298" s="4" t="str">
        <f>LEFT(Table13[[#This Row],[Values Col 1]],3)</f>
        <v/>
      </c>
      <c r="I298" s="4" t="s">
        <v>1098</v>
      </c>
      <c r="J298" s="4" t="str">
        <f>MID(Table13[[#This Row],[Function Col]],5,2)</f>
        <v/>
      </c>
      <c r="K298" s="4" t="s">
        <v>1098</v>
      </c>
      <c r="L298" s="4" t="str">
        <f>RIGHT(Table13[[#This Row],[Function Col]],4)</f>
        <v/>
      </c>
      <c r="M298" s="4" t="s">
        <v>1098</v>
      </c>
      <c r="N298" s="4" t="str">
        <f>IF(Table13[[#This Row],[Function Col5]]="","",_xlfn.CONCAT(Table13[[#This Row],[Day Col]],"/",Table13[[#This Row],[Month Col]],"/",Table13[[#This Row],[Year Col]]))</f>
        <v/>
      </c>
      <c r="O298" s="4" t="s">
        <v>1098</v>
      </c>
      <c r="P298" s="4">
        <f>IF(ISNUMBER(Table13[[#This Row],[Claim_Date2]]),Table13[[#This Row],[Claim_Date2]],Table13[[#This Row],[Function Col32]])</f>
        <v>45028</v>
      </c>
      <c r="Q298" s="4">
        <v>45028</v>
      </c>
      <c r="R298" s="1" t="s">
        <v>30</v>
      </c>
      <c r="S298" t="s">
        <v>1085</v>
      </c>
      <c r="T298" s="1" t="s">
        <v>61</v>
      </c>
      <c r="U298" s="1"/>
      <c r="W298">
        <f>IF(Table1[[#This Row],[Claim_Amount]]&lt;0,0,Table1[[#This Row],[Claim_Amount]])</f>
        <v>0</v>
      </c>
      <c r="X298" t="str">
        <f>IF(Table1[[#This Row],[Column1]]=0,"",Table1[[#This Row],[Column1]])</f>
        <v/>
      </c>
      <c r="Y298" t="s">
        <v>1098</v>
      </c>
      <c r="Z298">
        <v>2481</v>
      </c>
      <c r="AA298">
        <v>832</v>
      </c>
      <c r="AB298" s="1" t="s">
        <v>17</v>
      </c>
      <c r="AC298" s="1" t="s">
        <v>26</v>
      </c>
      <c r="AD298">
        <v>9</v>
      </c>
      <c r="AE298" s="3" t="s">
        <v>27</v>
      </c>
    </row>
    <row r="299" spans="1:31" ht="15.75" customHeight="1" x14ac:dyDescent="0.35">
      <c r="A299" s="1" t="s">
        <v>28</v>
      </c>
      <c r="B299" t="s">
        <v>1083</v>
      </c>
      <c r="C299" t="s">
        <v>1084</v>
      </c>
      <c r="D299" s="1" t="s">
        <v>529</v>
      </c>
      <c r="E299" s="5">
        <v>45247</v>
      </c>
      <c r="F299" s="4" t="str">
        <f>IF(ISNUMBER(Table13[[#This Row],[Claim_Date2]]),"",Table13[[#This Row],[Claim_Date2]])</f>
        <v/>
      </c>
      <c r="G299" s="4" t="s">
        <v>1098</v>
      </c>
      <c r="H299" s="4" t="str">
        <f>LEFT(Table13[[#This Row],[Values Col 1]],3)</f>
        <v/>
      </c>
      <c r="I299" s="4" t="s">
        <v>1098</v>
      </c>
      <c r="J299" s="4" t="str">
        <f>MID(Table13[[#This Row],[Function Col]],5,2)</f>
        <v/>
      </c>
      <c r="K299" s="4" t="s">
        <v>1098</v>
      </c>
      <c r="L299" s="4" t="str">
        <f>RIGHT(Table13[[#This Row],[Function Col]],4)</f>
        <v/>
      </c>
      <c r="M299" s="4" t="s">
        <v>1098</v>
      </c>
      <c r="N299" s="4" t="str">
        <f>IF(Table13[[#This Row],[Function Col5]]="","",_xlfn.CONCAT(Table13[[#This Row],[Day Col]],"/",Table13[[#This Row],[Month Col]],"/",Table13[[#This Row],[Year Col]]))</f>
        <v/>
      </c>
      <c r="O299" s="4" t="s">
        <v>1098</v>
      </c>
      <c r="P299" s="4">
        <f>IF(ISNUMBER(Table13[[#This Row],[Claim_Date2]]),Table13[[#This Row],[Claim_Date2]],Table13[[#This Row],[Function Col32]])</f>
        <v>45247</v>
      </c>
      <c r="Q299" s="4">
        <v>45247</v>
      </c>
      <c r="R299" s="1" t="s">
        <v>85</v>
      </c>
      <c r="S299" s="1" t="s">
        <v>23</v>
      </c>
      <c r="T299" s="1" t="s">
        <v>54</v>
      </c>
      <c r="U299" s="1"/>
      <c r="W299">
        <f>IF(Table1[[#This Row],[Claim_Amount]]&lt;0,0,Table1[[#This Row],[Claim_Amount]])</f>
        <v>0</v>
      </c>
      <c r="X299" t="str">
        <f>IF(Table1[[#This Row],[Column1]]=0,"",Table1[[#This Row],[Column1]])</f>
        <v/>
      </c>
      <c r="Y299" t="s">
        <v>1098</v>
      </c>
      <c r="Z299">
        <v>2481</v>
      </c>
      <c r="AA299">
        <v>832</v>
      </c>
      <c r="AB299" s="1" t="s">
        <v>17</v>
      </c>
      <c r="AC299" s="1" t="s">
        <v>26</v>
      </c>
      <c r="AD299">
        <v>9</v>
      </c>
      <c r="AE299" s="3" t="s">
        <v>1097</v>
      </c>
    </row>
    <row r="300" spans="1:31" ht="15.75" customHeight="1" x14ac:dyDescent="0.35">
      <c r="A300" s="1" t="s">
        <v>275</v>
      </c>
      <c r="B300" t="s">
        <v>1083</v>
      </c>
      <c r="C300" s="1" t="s">
        <v>135</v>
      </c>
      <c r="D300" s="1" t="s">
        <v>296</v>
      </c>
      <c r="E300" s="5">
        <v>45140</v>
      </c>
      <c r="F300" s="4" t="str">
        <f>IF(ISNUMBER(Table13[[#This Row],[Claim_Date2]]),"",Table13[[#This Row],[Claim_Date2]])</f>
        <v/>
      </c>
      <c r="G300" s="4" t="s">
        <v>1098</v>
      </c>
      <c r="H300" s="4" t="str">
        <f>LEFT(Table13[[#This Row],[Values Col 1]],3)</f>
        <v/>
      </c>
      <c r="I300" s="4" t="s">
        <v>1098</v>
      </c>
      <c r="J300" s="4" t="str">
        <f>MID(Table13[[#This Row],[Function Col]],5,2)</f>
        <v/>
      </c>
      <c r="K300" s="4" t="s">
        <v>1098</v>
      </c>
      <c r="L300" s="4" t="str">
        <f>RIGHT(Table13[[#This Row],[Function Col]],4)</f>
        <v/>
      </c>
      <c r="M300" s="4" t="s">
        <v>1098</v>
      </c>
      <c r="N300" s="4" t="str">
        <f>IF(Table13[[#This Row],[Function Col5]]="","",_xlfn.CONCAT(Table13[[#This Row],[Day Col]],"/",Table13[[#This Row],[Month Col]],"/",Table13[[#This Row],[Year Col]]))</f>
        <v/>
      </c>
      <c r="O300" s="4" t="s">
        <v>1098</v>
      </c>
      <c r="P300" s="4">
        <f>IF(ISNUMBER(Table13[[#This Row],[Claim_Date2]]),Table13[[#This Row],[Claim_Date2]],Table13[[#This Row],[Function Col32]])</f>
        <v>45140</v>
      </c>
      <c r="Q300" s="4">
        <v>45140</v>
      </c>
      <c r="R300" s="1" t="s">
        <v>77</v>
      </c>
      <c r="S300" s="1" t="s">
        <v>31</v>
      </c>
      <c r="T300" s="1" t="s">
        <v>54</v>
      </c>
      <c r="U300" s="1"/>
      <c r="W300">
        <f>IF(Table1[[#This Row],[Claim_Amount]]&lt;0,0,Table1[[#This Row],[Claim_Amount]])</f>
        <v>0</v>
      </c>
      <c r="X300" t="str">
        <f>IF(Table1[[#This Row],[Column1]]=0,"",Table1[[#This Row],[Column1]])</f>
        <v/>
      </c>
      <c r="Y300" t="s">
        <v>1098</v>
      </c>
      <c r="Z300">
        <v>2481</v>
      </c>
      <c r="AA300" s="1">
        <v>1073.45</v>
      </c>
      <c r="AB300" s="1" t="s">
        <v>1091</v>
      </c>
      <c r="AC300" s="1" t="s">
        <v>57</v>
      </c>
      <c r="AD300" s="1">
        <v>43</v>
      </c>
      <c r="AE300" s="3" t="s">
        <v>65</v>
      </c>
    </row>
    <row r="301" spans="1:31" ht="15.75" customHeight="1" x14ac:dyDescent="0.35">
      <c r="A301" s="1" t="s">
        <v>192</v>
      </c>
      <c r="B301" t="s">
        <v>1083</v>
      </c>
      <c r="C301" s="1" t="s">
        <v>530</v>
      </c>
      <c r="D301" s="1" t="s">
        <v>222</v>
      </c>
      <c r="E301" s="5" t="s">
        <v>222</v>
      </c>
      <c r="F301" s="4" t="str">
        <f>IF(ISNUMBER(Table13[[#This Row],[Claim_Date2]]),"",Table13[[#This Row],[Claim_Date2]])</f>
        <v>Dec 02 2023</v>
      </c>
      <c r="G301" s="4" t="s">
        <v>222</v>
      </c>
      <c r="H301" s="4" t="str">
        <f>LEFT(Table13[[#This Row],[Values Col 1]],3)</f>
        <v>Dec</v>
      </c>
      <c r="I301" s="4" t="s">
        <v>1111</v>
      </c>
      <c r="J301" s="4" t="str">
        <f>MID(Table13[[#This Row],[Function Col]],5,2)</f>
        <v>02</v>
      </c>
      <c r="K301" s="4" t="s">
        <v>1130</v>
      </c>
      <c r="L301" s="4" t="str">
        <f>RIGHT(Table13[[#This Row],[Function Col]],4)</f>
        <v>2023</v>
      </c>
      <c r="M301" s="4" t="s">
        <v>1146</v>
      </c>
      <c r="N301" s="4" t="str">
        <f>IF(Table13[[#This Row],[Function Col5]]="","",_xlfn.CONCAT(Table13[[#This Row],[Day Col]],"/",Table13[[#This Row],[Month Col]],"/",Table13[[#This Row],[Year Col]]))</f>
        <v>02/Dec/2023</v>
      </c>
      <c r="O301" s="4" t="s">
        <v>1173</v>
      </c>
      <c r="P301" s="4" t="str">
        <f>IF(ISNUMBER(Table13[[#This Row],[Claim_Date2]]),Table13[[#This Row],[Claim_Date2]],Table13[[#This Row],[Function Col32]])</f>
        <v>02/Dec/2023</v>
      </c>
      <c r="Q301" s="4">
        <v>45262</v>
      </c>
      <c r="R301" s="1" t="s">
        <v>85</v>
      </c>
      <c r="S301" s="1" t="s">
        <v>31</v>
      </c>
      <c r="T301" s="1" t="s">
        <v>61</v>
      </c>
      <c r="U301" s="1"/>
      <c r="V301" s="1">
        <v>2808.83</v>
      </c>
      <c r="W301" s="1">
        <f>IF(Table1[[#This Row],[Claim_Amount]]&lt;0,0,Table1[[#This Row],[Claim_Amount]])</f>
        <v>2808.83</v>
      </c>
      <c r="X301" s="1">
        <f>IF(Table1[[#This Row],[Column1]]=0,"",Table1[[#This Row],[Column1]])</f>
        <v>2808.83</v>
      </c>
      <c r="Y301" s="1">
        <v>2808.83</v>
      </c>
      <c r="Z301" s="1">
        <v>2808.83</v>
      </c>
      <c r="AA301" s="1">
        <v>961.47</v>
      </c>
      <c r="AB301" s="1" t="s">
        <v>25</v>
      </c>
      <c r="AC301" s="1" t="s">
        <v>32</v>
      </c>
      <c r="AD301">
        <v>9</v>
      </c>
      <c r="AE301" s="3" t="s">
        <v>37</v>
      </c>
    </row>
    <row r="302" spans="1:31" ht="15.75" customHeight="1" x14ac:dyDescent="0.35">
      <c r="A302" s="1" t="s">
        <v>192</v>
      </c>
      <c r="B302" t="s">
        <v>1083</v>
      </c>
      <c r="C302" t="s">
        <v>1084</v>
      </c>
      <c r="D302" s="1" t="s">
        <v>531</v>
      </c>
      <c r="E302" s="5">
        <v>45004</v>
      </c>
      <c r="F302" s="4" t="str">
        <f>IF(ISNUMBER(Table13[[#This Row],[Claim_Date2]]),"",Table13[[#This Row],[Claim_Date2]])</f>
        <v/>
      </c>
      <c r="G302" s="4" t="s">
        <v>1098</v>
      </c>
      <c r="H302" s="4" t="str">
        <f>LEFT(Table13[[#This Row],[Values Col 1]],3)</f>
        <v/>
      </c>
      <c r="I302" s="4" t="s">
        <v>1098</v>
      </c>
      <c r="J302" s="4" t="str">
        <f>MID(Table13[[#This Row],[Function Col]],5,2)</f>
        <v/>
      </c>
      <c r="K302" s="4" t="s">
        <v>1098</v>
      </c>
      <c r="L302" s="4" t="str">
        <f>RIGHT(Table13[[#This Row],[Function Col]],4)</f>
        <v/>
      </c>
      <c r="M302" s="4" t="s">
        <v>1098</v>
      </c>
      <c r="N302" s="4" t="str">
        <f>IF(Table13[[#This Row],[Function Col5]]="","",_xlfn.CONCAT(Table13[[#This Row],[Day Col]],"/",Table13[[#This Row],[Month Col]],"/",Table13[[#This Row],[Year Col]]))</f>
        <v/>
      </c>
      <c r="O302" s="4" t="s">
        <v>1098</v>
      </c>
      <c r="P302" s="4">
        <f>IF(ISNUMBER(Table13[[#This Row],[Claim_Date2]]),Table13[[#This Row],[Claim_Date2]],Table13[[#This Row],[Function Col32]])</f>
        <v>45004</v>
      </c>
      <c r="Q302" s="4">
        <v>45004</v>
      </c>
      <c r="R302" s="1" t="s">
        <v>85</v>
      </c>
      <c r="S302" s="1" t="s">
        <v>23</v>
      </c>
      <c r="T302" s="1" t="s">
        <v>54</v>
      </c>
      <c r="U302" s="1"/>
      <c r="W302">
        <f>IF(Table1[[#This Row],[Claim_Amount]]&lt;0,0,Table1[[#This Row],[Claim_Amount]])</f>
        <v>0</v>
      </c>
      <c r="X302" t="str">
        <f>IF(Table1[[#This Row],[Column1]]=0,"",Table1[[#This Row],[Column1]])</f>
        <v/>
      </c>
      <c r="Y302" t="s">
        <v>1098</v>
      </c>
      <c r="Z302">
        <v>2481</v>
      </c>
      <c r="AA302" s="1">
        <v>3001.99</v>
      </c>
      <c r="AB302" s="1" t="s">
        <v>25</v>
      </c>
      <c r="AC302" s="1" t="s">
        <v>32</v>
      </c>
      <c r="AD302">
        <v>9</v>
      </c>
      <c r="AE302" s="3" t="s">
        <v>37</v>
      </c>
    </row>
    <row r="303" spans="1:31" ht="15.75" customHeight="1" x14ac:dyDescent="0.35">
      <c r="A303" s="1" t="s">
        <v>277</v>
      </c>
      <c r="B303" t="s">
        <v>1083</v>
      </c>
      <c r="C303" t="s">
        <v>1084</v>
      </c>
      <c r="D303" s="1" t="s">
        <v>527</v>
      </c>
      <c r="E303" s="5">
        <v>45125</v>
      </c>
      <c r="F303" s="4" t="str">
        <f>IF(ISNUMBER(Table13[[#This Row],[Claim_Date2]]),"",Table13[[#This Row],[Claim_Date2]])</f>
        <v/>
      </c>
      <c r="G303" s="4" t="s">
        <v>1098</v>
      </c>
      <c r="H303" s="4" t="str">
        <f>LEFT(Table13[[#This Row],[Values Col 1]],3)</f>
        <v/>
      </c>
      <c r="I303" s="4" t="s">
        <v>1098</v>
      </c>
      <c r="J303" s="4" t="str">
        <f>MID(Table13[[#This Row],[Function Col]],5,2)</f>
        <v/>
      </c>
      <c r="K303" s="4" t="s">
        <v>1098</v>
      </c>
      <c r="L303" s="4" t="str">
        <f>RIGHT(Table13[[#This Row],[Function Col]],4)</f>
        <v/>
      </c>
      <c r="M303" s="4" t="s">
        <v>1098</v>
      </c>
      <c r="N303" s="4" t="str">
        <f>IF(Table13[[#This Row],[Function Col5]]="","",_xlfn.CONCAT(Table13[[#This Row],[Day Col]],"/",Table13[[#This Row],[Month Col]],"/",Table13[[#This Row],[Year Col]]))</f>
        <v/>
      </c>
      <c r="O303" s="4" t="s">
        <v>1098</v>
      </c>
      <c r="P303" s="4">
        <f>IF(ISNUMBER(Table13[[#This Row],[Claim_Date2]]),Table13[[#This Row],[Claim_Date2]],Table13[[#This Row],[Function Col32]])</f>
        <v>45125</v>
      </c>
      <c r="Q303" s="4">
        <v>45125</v>
      </c>
      <c r="R303" s="1" t="s">
        <v>85</v>
      </c>
      <c r="S303" s="1" t="s">
        <v>93</v>
      </c>
      <c r="T303" s="1" t="s">
        <v>24</v>
      </c>
      <c r="U303" s="1"/>
      <c r="V303" s="1">
        <v>1170.05</v>
      </c>
      <c r="W303" s="1">
        <f>IF(Table1[[#This Row],[Claim_Amount]]&lt;0,0,Table1[[#This Row],[Claim_Amount]])</f>
        <v>1170.05</v>
      </c>
      <c r="X303" s="1">
        <f>IF(Table1[[#This Row],[Column1]]=0,"",Table1[[#This Row],[Column1]])</f>
        <v>1170.05</v>
      </c>
      <c r="Y303" s="1">
        <v>1170.05</v>
      </c>
      <c r="Z303" s="1">
        <v>1170.05</v>
      </c>
      <c r="AA303">
        <v>832</v>
      </c>
      <c r="AB303" s="1" t="s">
        <v>17</v>
      </c>
      <c r="AC303" s="1" t="s">
        <v>18</v>
      </c>
      <c r="AD303" s="1">
        <v>48</v>
      </c>
      <c r="AE303" s="3" t="s">
        <v>19</v>
      </c>
    </row>
    <row r="304" spans="1:31" ht="15.75" customHeight="1" x14ac:dyDescent="0.35">
      <c r="A304" s="1" t="s">
        <v>102</v>
      </c>
      <c r="B304" t="s">
        <v>1083</v>
      </c>
      <c r="C304" t="s">
        <v>1084</v>
      </c>
      <c r="D304" s="1" t="s">
        <v>532</v>
      </c>
      <c r="E304" s="5">
        <v>45053</v>
      </c>
      <c r="F304" s="4" t="str">
        <f>IF(ISNUMBER(Table13[[#This Row],[Claim_Date2]]),"",Table13[[#This Row],[Claim_Date2]])</f>
        <v/>
      </c>
      <c r="G304" s="4" t="s">
        <v>1098</v>
      </c>
      <c r="H304" s="4" t="str">
        <f>LEFT(Table13[[#This Row],[Values Col 1]],3)</f>
        <v/>
      </c>
      <c r="I304" s="4" t="s">
        <v>1098</v>
      </c>
      <c r="J304" s="4" t="str">
        <f>MID(Table13[[#This Row],[Function Col]],5,2)</f>
        <v/>
      </c>
      <c r="K304" s="4" t="s">
        <v>1098</v>
      </c>
      <c r="L304" s="4" t="str">
        <f>RIGHT(Table13[[#This Row],[Function Col]],4)</f>
        <v/>
      </c>
      <c r="M304" s="4" t="s">
        <v>1098</v>
      </c>
      <c r="N304" s="4" t="str">
        <f>IF(Table13[[#This Row],[Function Col5]]="","",_xlfn.CONCAT(Table13[[#This Row],[Day Col]],"/",Table13[[#This Row],[Month Col]],"/",Table13[[#This Row],[Year Col]]))</f>
        <v/>
      </c>
      <c r="O304" s="4" t="s">
        <v>1098</v>
      </c>
      <c r="P304" s="4">
        <f>IF(ISNUMBER(Table13[[#This Row],[Claim_Date2]]),Table13[[#This Row],[Claim_Date2]],Table13[[#This Row],[Function Col32]])</f>
        <v>45053</v>
      </c>
      <c r="Q304" s="4">
        <v>45053</v>
      </c>
      <c r="R304" s="1" t="s">
        <v>85</v>
      </c>
      <c r="S304" s="1" t="s">
        <v>23</v>
      </c>
      <c r="T304" s="1" t="s">
        <v>54</v>
      </c>
      <c r="U304" s="1"/>
      <c r="W304">
        <f>IF(Table1[[#This Row],[Claim_Amount]]&lt;0,0,Table1[[#This Row],[Claim_Amount]])</f>
        <v>0</v>
      </c>
      <c r="X304" t="str">
        <f>IF(Table1[[#This Row],[Column1]]=0,"",Table1[[#This Row],[Column1]])</f>
        <v/>
      </c>
      <c r="Y304" t="s">
        <v>1098</v>
      </c>
      <c r="Z304">
        <v>2481</v>
      </c>
      <c r="AA304">
        <v>832</v>
      </c>
      <c r="AB304" s="1" t="s">
        <v>1091</v>
      </c>
      <c r="AC304" s="1" t="s">
        <v>57</v>
      </c>
      <c r="AD304">
        <v>9</v>
      </c>
      <c r="AE304" s="3" t="s">
        <v>19</v>
      </c>
    </row>
    <row r="305" spans="1:31" ht="15.75" customHeight="1" x14ac:dyDescent="0.35">
      <c r="A305" s="1" t="s">
        <v>302</v>
      </c>
      <c r="B305" t="s">
        <v>1083</v>
      </c>
      <c r="C305" s="1" t="s">
        <v>152</v>
      </c>
      <c r="D305" s="1" t="s">
        <v>533</v>
      </c>
      <c r="E305" s="5">
        <v>45192</v>
      </c>
      <c r="F305" s="4" t="str">
        <f>IF(ISNUMBER(Table13[[#This Row],[Claim_Date2]]),"",Table13[[#This Row],[Claim_Date2]])</f>
        <v/>
      </c>
      <c r="G305" s="4" t="s">
        <v>1098</v>
      </c>
      <c r="H305" s="4" t="str">
        <f>LEFT(Table13[[#This Row],[Values Col 1]],3)</f>
        <v/>
      </c>
      <c r="I305" s="4" t="s">
        <v>1098</v>
      </c>
      <c r="J305" s="4" t="str">
        <f>MID(Table13[[#This Row],[Function Col]],5,2)</f>
        <v/>
      </c>
      <c r="K305" s="4" t="s">
        <v>1098</v>
      </c>
      <c r="L305" s="4" t="str">
        <f>RIGHT(Table13[[#This Row],[Function Col]],4)</f>
        <v/>
      </c>
      <c r="M305" s="4" t="s">
        <v>1098</v>
      </c>
      <c r="N305" s="4" t="str">
        <f>IF(Table13[[#This Row],[Function Col5]]="","",_xlfn.CONCAT(Table13[[#This Row],[Day Col]],"/",Table13[[#This Row],[Month Col]],"/",Table13[[#This Row],[Year Col]]))</f>
        <v/>
      </c>
      <c r="O305" s="4" t="s">
        <v>1098</v>
      </c>
      <c r="P305" s="4">
        <f>IF(ISNUMBER(Table13[[#This Row],[Claim_Date2]]),Table13[[#This Row],[Claim_Date2]],Table13[[#This Row],[Function Col32]])</f>
        <v>45192</v>
      </c>
      <c r="Q305" s="4">
        <v>45192</v>
      </c>
      <c r="R305" s="1" t="s">
        <v>16</v>
      </c>
      <c r="S305" s="1" t="s">
        <v>23</v>
      </c>
      <c r="T305" s="1" t="s">
        <v>54</v>
      </c>
      <c r="U305" s="1"/>
      <c r="V305" s="1">
        <v>1967.62</v>
      </c>
      <c r="W305" s="1">
        <f>IF(Table1[[#This Row],[Claim_Amount]]&lt;0,0,Table1[[#This Row],[Claim_Amount]])</f>
        <v>1967.62</v>
      </c>
      <c r="X305" s="1">
        <f>IF(Table1[[#This Row],[Column1]]=0,"",Table1[[#This Row],[Column1]])</f>
        <v>1967.62</v>
      </c>
      <c r="Y305" s="1">
        <v>1967.62</v>
      </c>
      <c r="Z305" s="1">
        <v>1967.62</v>
      </c>
      <c r="AA305">
        <v>832</v>
      </c>
      <c r="AB305" s="1" t="s">
        <v>25</v>
      </c>
      <c r="AC305" s="1" t="s">
        <v>32</v>
      </c>
      <c r="AD305">
        <v>9</v>
      </c>
      <c r="AE305" s="3" t="s">
        <v>37</v>
      </c>
    </row>
    <row r="306" spans="1:31" ht="15.75" customHeight="1" x14ac:dyDescent="0.35">
      <c r="A306" s="1" t="s">
        <v>132</v>
      </c>
      <c r="B306" t="s">
        <v>1083</v>
      </c>
      <c r="C306" s="1" t="s">
        <v>263</v>
      </c>
      <c r="D306" s="1" t="s">
        <v>229</v>
      </c>
      <c r="E306" s="5">
        <v>45191</v>
      </c>
      <c r="F306" s="4" t="str">
        <f>IF(ISNUMBER(Table13[[#This Row],[Claim_Date2]]),"",Table13[[#This Row],[Claim_Date2]])</f>
        <v/>
      </c>
      <c r="G306" s="4" t="s">
        <v>1098</v>
      </c>
      <c r="H306" s="4" t="str">
        <f>LEFT(Table13[[#This Row],[Values Col 1]],3)</f>
        <v/>
      </c>
      <c r="I306" s="4" t="s">
        <v>1098</v>
      </c>
      <c r="J306" s="4" t="str">
        <f>MID(Table13[[#This Row],[Function Col]],5,2)</f>
        <v/>
      </c>
      <c r="K306" s="4" t="s">
        <v>1098</v>
      </c>
      <c r="L306" s="4" t="str">
        <f>RIGHT(Table13[[#This Row],[Function Col]],4)</f>
        <v/>
      </c>
      <c r="M306" s="4" t="s">
        <v>1098</v>
      </c>
      <c r="N306" s="4" t="str">
        <f>IF(Table13[[#This Row],[Function Col5]]="","",_xlfn.CONCAT(Table13[[#This Row],[Day Col]],"/",Table13[[#This Row],[Month Col]],"/",Table13[[#This Row],[Year Col]]))</f>
        <v/>
      </c>
      <c r="O306" s="4" t="s">
        <v>1098</v>
      </c>
      <c r="P306" s="4">
        <f>IF(ISNUMBER(Table13[[#This Row],[Claim_Date2]]),Table13[[#This Row],[Claim_Date2]],Table13[[#This Row],[Function Col32]])</f>
        <v>45191</v>
      </c>
      <c r="Q306" s="4">
        <v>45191</v>
      </c>
      <c r="R306" s="1" t="s">
        <v>85</v>
      </c>
      <c r="S306" t="s">
        <v>1085</v>
      </c>
      <c r="T306" s="1" t="s">
        <v>48</v>
      </c>
      <c r="U306" s="1"/>
      <c r="V306" s="1">
        <v>497.68</v>
      </c>
      <c r="W306" s="1">
        <f>IF(Table1[[#This Row],[Claim_Amount]]&lt;0,0,Table1[[#This Row],[Claim_Amount]])</f>
        <v>497.68</v>
      </c>
      <c r="X306" s="1">
        <f>IF(Table1[[#This Row],[Column1]]=0,"",Table1[[#This Row],[Column1]])</f>
        <v>497.68</v>
      </c>
      <c r="Y306" s="1">
        <v>497.68</v>
      </c>
      <c r="Z306" s="1">
        <v>497.68</v>
      </c>
      <c r="AA306">
        <v>832</v>
      </c>
      <c r="AB306" s="1" t="s">
        <v>1091</v>
      </c>
      <c r="AC306" s="1" t="s">
        <v>18</v>
      </c>
      <c r="AD306">
        <v>9</v>
      </c>
      <c r="AE306" s="3" t="s">
        <v>27</v>
      </c>
    </row>
    <row r="307" spans="1:31" ht="15.75" customHeight="1" x14ac:dyDescent="0.35">
      <c r="A307" s="1" t="s">
        <v>215</v>
      </c>
      <c r="B307" s="1" t="s">
        <v>534</v>
      </c>
      <c r="C307" s="1" t="s">
        <v>152</v>
      </c>
      <c r="D307" s="1" t="s">
        <v>535</v>
      </c>
      <c r="E307" s="5">
        <v>44973</v>
      </c>
      <c r="F307" s="4" t="str">
        <f>IF(ISNUMBER(Table13[[#This Row],[Claim_Date2]]),"",Table13[[#This Row],[Claim_Date2]])</f>
        <v/>
      </c>
      <c r="G307" s="4" t="s">
        <v>1098</v>
      </c>
      <c r="H307" s="4" t="str">
        <f>LEFT(Table13[[#This Row],[Values Col 1]],3)</f>
        <v/>
      </c>
      <c r="I307" s="4" t="s">
        <v>1098</v>
      </c>
      <c r="J307" s="4" t="str">
        <f>MID(Table13[[#This Row],[Function Col]],5,2)</f>
        <v/>
      </c>
      <c r="K307" s="4" t="s">
        <v>1098</v>
      </c>
      <c r="L307" s="4" t="str">
        <f>RIGHT(Table13[[#This Row],[Function Col]],4)</f>
        <v/>
      </c>
      <c r="M307" s="4" t="s">
        <v>1098</v>
      </c>
      <c r="N307" s="4" t="str">
        <f>IF(Table13[[#This Row],[Function Col5]]="","",_xlfn.CONCAT(Table13[[#This Row],[Day Col]],"/",Table13[[#This Row],[Month Col]],"/",Table13[[#This Row],[Year Col]]))</f>
        <v/>
      </c>
      <c r="O307" s="4" t="s">
        <v>1098</v>
      </c>
      <c r="P307" s="4">
        <f>IF(ISNUMBER(Table13[[#This Row],[Claim_Date2]]),Table13[[#This Row],[Claim_Date2]],Table13[[#This Row],[Function Col32]])</f>
        <v>44973</v>
      </c>
      <c r="Q307" s="4">
        <v>44973</v>
      </c>
      <c r="R307" s="1" t="s">
        <v>16</v>
      </c>
      <c r="S307" t="s">
        <v>1085</v>
      </c>
      <c r="T307" t="s">
        <v>1086</v>
      </c>
      <c r="V307" s="1">
        <v>3992.61</v>
      </c>
      <c r="W307" s="1">
        <f>IF(Table1[[#This Row],[Claim_Amount]]&lt;0,0,Table1[[#This Row],[Claim_Amount]])</f>
        <v>3992.61</v>
      </c>
      <c r="X307" s="1">
        <f>IF(Table1[[#This Row],[Column1]]=0,"",Table1[[#This Row],[Column1]])</f>
        <v>3992.61</v>
      </c>
      <c r="Y307" s="1">
        <v>3992.61</v>
      </c>
      <c r="Z307" s="1">
        <v>3992.61</v>
      </c>
      <c r="AA307">
        <v>832</v>
      </c>
      <c r="AB307" s="1" t="s">
        <v>25</v>
      </c>
      <c r="AC307" s="1" t="s">
        <v>32</v>
      </c>
      <c r="AD307">
        <v>9</v>
      </c>
      <c r="AE307" s="3" t="s">
        <v>37</v>
      </c>
    </row>
    <row r="308" spans="1:31" ht="15.75" customHeight="1" x14ac:dyDescent="0.35">
      <c r="A308" s="1" t="s">
        <v>168</v>
      </c>
      <c r="B308" t="s">
        <v>1083</v>
      </c>
      <c r="C308" t="s">
        <v>1084</v>
      </c>
      <c r="D308" s="1" t="s">
        <v>536</v>
      </c>
      <c r="E308" s="5">
        <v>45208</v>
      </c>
      <c r="F308" s="4" t="str">
        <f>IF(ISNUMBER(Table13[[#This Row],[Claim_Date2]]),"",Table13[[#This Row],[Claim_Date2]])</f>
        <v/>
      </c>
      <c r="G308" s="4" t="s">
        <v>1098</v>
      </c>
      <c r="H308" s="4" t="str">
        <f>LEFT(Table13[[#This Row],[Values Col 1]],3)</f>
        <v/>
      </c>
      <c r="I308" s="4" t="s">
        <v>1098</v>
      </c>
      <c r="J308" s="4" t="str">
        <f>MID(Table13[[#This Row],[Function Col]],5,2)</f>
        <v/>
      </c>
      <c r="K308" s="4" t="s">
        <v>1098</v>
      </c>
      <c r="L308" s="4" t="str">
        <f>RIGHT(Table13[[#This Row],[Function Col]],4)</f>
        <v/>
      </c>
      <c r="M308" s="4" t="s">
        <v>1098</v>
      </c>
      <c r="N308" s="4" t="str">
        <f>IF(Table13[[#This Row],[Function Col5]]="","",_xlfn.CONCAT(Table13[[#This Row],[Day Col]],"/",Table13[[#This Row],[Month Col]],"/",Table13[[#This Row],[Year Col]]))</f>
        <v/>
      </c>
      <c r="O308" s="4" t="s">
        <v>1098</v>
      </c>
      <c r="P308" s="4">
        <f>IF(ISNUMBER(Table13[[#This Row],[Claim_Date2]]),Table13[[#This Row],[Claim_Date2]],Table13[[#This Row],[Function Col32]])</f>
        <v>45208</v>
      </c>
      <c r="Q308" s="4">
        <v>45208</v>
      </c>
      <c r="R308" s="1" t="s">
        <v>92</v>
      </c>
      <c r="S308" s="1" t="s">
        <v>47</v>
      </c>
      <c r="T308" t="s">
        <v>1086</v>
      </c>
      <c r="W308">
        <f>IF(Table1[[#This Row],[Claim_Amount]]&lt;0,0,Table1[[#This Row],[Claim_Amount]])</f>
        <v>0</v>
      </c>
      <c r="X308" t="str">
        <f>IF(Table1[[#This Row],[Column1]]=0,"",Table1[[#This Row],[Column1]])</f>
        <v/>
      </c>
      <c r="Y308" t="s">
        <v>1098</v>
      </c>
      <c r="Z308">
        <v>2481</v>
      </c>
      <c r="AA308">
        <v>832</v>
      </c>
      <c r="AB308" s="1" t="s">
        <v>25</v>
      </c>
      <c r="AC308" s="1" t="s">
        <v>1093</v>
      </c>
      <c r="AD308">
        <v>9</v>
      </c>
      <c r="AE308" s="3" t="s">
        <v>37</v>
      </c>
    </row>
    <row r="309" spans="1:31" ht="15.75" customHeight="1" x14ac:dyDescent="0.35">
      <c r="A309" s="1" t="s">
        <v>261</v>
      </c>
      <c r="B309" s="1" t="s">
        <v>537</v>
      </c>
      <c r="C309" s="1" t="s">
        <v>538</v>
      </c>
      <c r="D309" s="1" t="s">
        <v>539</v>
      </c>
      <c r="E309" s="5">
        <v>44928</v>
      </c>
      <c r="F309" s="4" t="str">
        <f>IF(ISNUMBER(Table13[[#This Row],[Claim_Date2]]),"",Table13[[#This Row],[Claim_Date2]])</f>
        <v/>
      </c>
      <c r="G309" s="4" t="s">
        <v>1098</v>
      </c>
      <c r="H309" s="4" t="str">
        <f>LEFT(Table13[[#This Row],[Values Col 1]],3)</f>
        <v/>
      </c>
      <c r="I309" s="4" t="s">
        <v>1098</v>
      </c>
      <c r="J309" s="4" t="str">
        <f>MID(Table13[[#This Row],[Function Col]],5,2)</f>
        <v/>
      </c>
      <c r="K309" s="4" t="s">
        <v>1098</v>
      </c>
      <c r="L309" s="4" t="str">
        <f>RIGHT(Table13[[#This Row],[Function Col]],4)</f>
        <v/>
      </c>
      <c r="M309" s="4" t="s">
        <v>1098</v>
      </c>
      <c r="N309" s="4" t="str">
        <f>IF(Table13[[#This Row],[Function Col5]]="","",_xlfn.CONCAT(Table13[[#This Row],[Day Col]],"/",Table13[[#This Row],[Month Col]],"/",Table13[[#This Row],[Year Col]]))</f>
        <v/>
      </c>
      <c r="O309" s="4" t="s">
        <v>1098</v>
      </c>
      <c r="P309" s="4">
        <f>IF(ISNUMBER(Table13[[#This Row],[Claim_Date2]]),Table13[[#This Row],[Claim_Date2]],Table13[[#This Row],[Function Col32]])</f>
        <v>44928</v>
      </c>
      <c r="Q309" s="4">
        <v>44928</v>
      </c>
      <c r="R309" s="1" t="s">
        <v>16</v>
      </c>
      <c r="S309" s="1" t="s">
        <v>53</v>
      </c>
      <c r="T309" s="1" t="s">
        <v>48</v>
      </c>
      <c r="U309" s="1"/>
      <c r="V309" s="1">
        <v>4284.28</v>
      </c>
      <c r="W309" s="1">
        <f>IF(Table1[[#This Row],[Claim_Amount]]&lt;0,0,Table1[[#This Row],[Claim_Amount]])</f>
        <v>4284.28</v>
      </c>
      <c r="X309" s="1">
        <f>IF(Table1[[#This Row],[Column1]]=0,"",Table1[[#This Row],[Column1]])</f>
        <v>4284.28</v>
      </c>
      <c r="Y309" s="1">
        <v>4284.28</v>
      </c>
      <c r="Z309" s="1">
        <v>4284.28</v>
      </c>
      <c r="AA309">
        <v>832</v>
      </c>
      <c r="AB309" s="1" t="s">
        <v>17</v>
      </c>
      <c r="AC309" s="1" t="s">
        <v>18</v>
      </c>
      <c r="AD309">
        <v>9</v>
      </c>
      <c r="AE309" s="3" t="s">
        <v>37</v>
      </c>
    </row>
    <row r="310" spans="1:31" ht="15.75" customHeight="1" x14ac:dyDescent="0.35">
      <c r="A310" s="1" t="s">
        <v>173</v>
      </c>
      <c r="B310" t="s">
        <v>1083</v>
      </c>
      <c r="C310" s="1" t="s">
        <v>203</v>
      </c>
      <c r="D310" s="1" t="s">
        <v>540</v>
      </c>
      <c r="E310" s="5" t="s">
        <v>540</v>
      </c>
      <c r="F310" s="4" t="str">
        <f>IF(ISNUMBER(Table13[[#This Row],[Claim_Date2]]),"",Table13[[#This Row],[Claim_Date2]])</f>
        <v>May 23 2023</v>
      </c>
      <c r="G310" s="4" t="s">
        <v>540</v>
      </c>
      <c r="H310" s="4" t="str">
        <f>LEFT(Table13[[#This Row],[Values Col 1]],3)</f>
        <v>May</v>
      </c>
      <c r="I310" s="4" t="s">
        <v>1110</v>
      </c>
      <c r="J310" s="4" t="str">
        <f>MID(Table13[[#This Row],[Function Col]],5,2)</f>
        <v>23</v>
      </c>
      <c r="K310" s="4" t="s">
        <v>1143</v>
      </c>
      <c r="L310" s="4" t="str">
        <f>RIGHT(Table13[[#This Row],[Function Col]],4)</f>
        <v>2023</v>
      </c>
      <c r="M310" s="4" t="s">
        <v>1146</v>
      </c>
      <c r="N310" s="4" t="str">
        <f>IF(Table13[[#This Row],[Function Col5]]="","",_xlfn.CONCAT(Table13[[#This Row],[Day Col]],"/",Table13[[#This Row],[Month Col]],"/",Table13[[#This Row],[Year Col]]))</f>
        <v>23/May/2023</v>
      </c>
      <c r="O310" s="4" t="s">
        <v>1241</v>
      </c>
      <c r="P310" s="4" t="str">
        <f>IF(ISNUMBER(Table13[[#This Row],[Claim_Date2]]),Table13[[#This Row],[Claim_Date2]],Table13[[#This Row],[Function Col32]])</f>
        <v>23/May/2023</v>
      </c>
      <c r="Q310" s="4">
        <v>45069</v>
      </c>
      <c r="R310" s="1" t="s">
        <v>16</v>
      </c>
      <c r="S310" s="1" t="s">
        <v>47</v>
      </c>
      <c r="T310" s="1" t="s">
        <v>24</v>
      </c>
      <c r="U310" s="1"/>
      <c r="V310" s="1">
        <v>292.14999999999998</v>
      </c>
      <c r="W310" s="1">
        <f>IF(Table1[[#This Row],[Claim_Amount]]&lt;0,0,Table1[[#This Row],[Claim_Amount]])</f>
        <v>292.14999999999998</v>
      </c>
      <c r="X310" s="1">
        <f>IF(Table1[[#This Row],[Column1]]=0,"",Table1[[#This Row],[Column1]])</f>
        <v>292.14999999999998</v>
      </c>
      <c r="Y310" s="1">
        <v>292.14999999999998</v>
      </c>
      <c r="Z310" s="1">
        <v>292.14999999999998</v>
      </c>
      <c r="AA310" s="1">
        <v>3283.72</v>
      </c>
      <c r="AB310" s="1" t="s">
        <v>17</v>
      </c>
      <c r="AC310" s="1" t="s">
        <v>26</v>
      </c>
      <c r="AD310">
        <v>9</v>
      </c>
      <c r="AE310" s="3" t="s">
        <v>1097</v>
      </c>
    </row>
    <row r="311" spans="1:31" ht="15.75" customHeight="1" x14ac:dyDescent="0.35">
      <c r="A311" s="1" t="s">
        <v>192</v>
      </c>
      <c r="B311" s="1" t="s">
        <v>541</v>
      </c>
      <c r="C311" s="1" t="s">
        <v>416</v>
      </c>
      <c r="D311" s="1" t="s">
        <v>542</v>
      </c>
      <c r="E311" s="5" t="s">
        <v>542</v>
      </c>
      <c r="F311" s="4" t="str">
        <f>IF(ISNUMBER(Table13[[#This Row],[Claim_Date2]]),"",Table13[[#This Row],[Claim_Date2]])</f>
        <v>Mar 24 2023</v>
      </c>
      <c r="G311" s="4" t="s">
        <v>542</v>
      </c>
      <c r="H311" s="4" t="str">
        <f>LEFT(Table13[[#This Row],[Values Col 1]],3)</f>
        <v>Mar</v>
      </c>
      <c r="I311" s="4" t="s">
        <v>1100</v>
      </c>
      <c r="J311" s="4" t="str">
        <f>MID(Table13[[#This Row],[Function Col]],5,2)</f>
        <v>24</v>
      </c>
      <c r="K311" s="4" t="s">
        <v>1115</v>
      </c>
      <c r="L311" s="4" t="str">
        <f>RIGHT(Table13[[#This Row],[Function Col]],4)</f>
        <v>2023</v>
      </c>
      <c r="M311" s="4" t="s">
        <v>1146</v>
      </c>
      <c r="N311" s="4" t="str">
        <f>IF(Table13[[#This Row],[Function Col5]]="","",_xlfn.CONCAT(Table13[[#This Row],[Day Col]],"/",Table13[[#This Row],[Month Col]],"/",Table13[[#This Row],[Year Col]]))</f>
        <v>24/Mar/2023</v>
      </c>
      <c r="O311" s="4" t="s">
        <v>1242</v>
      </c>
      <c r="P311" s="4" t="str">
        <f>IF(ISNUMBER(Table13[[#This Row],[Claim_Date2]]),Table13[[#This Row],[Claim_Date2]],Table13[[#This Row],[Function Col32]])</f>
        <v>24/Mar/2023</v>
      </c>
      <c r="Q311" s="4">
        <v>45009</v>
      </c>
      <c r="R311" s="1" t="s">
        <v>92</v>
      </c>
      <c r="S311" s="1" t="s">
        <v>47</v>
      </c>
      <c r="T311" t="s">
        <v>1086</v>
      </c>
      <c r="W311">
        <f>IF(Table1[[#This Row],[Claim_Amount]]&lt;0,0,Table1[[#This Row],[Claim_Amount]])</f>
        <v>0</v>
      </c>
      <c r="X311" t="str">
        <f>IF(Table1[[#This Row],[Column1]]=0,"",Table1[[#This Row],[Column1]])</f>
        <v/>
      </c>
      <c r="Y311" t="s">
        <v>1098</v>
      </c>
      <c r="Z311">
        <v>2481</v>
      </c>
      <c r="AA311">
        <v>832</v>
      </c>
      <c r="AB311" s="1" t="s">
        <v>1091</v>
      </c>
      <c r="AC311" s="1" t="s">
        <v>32</v>
      </c>
      <c r="AD311" s="1">
        <v>59</v>
      </c>
      <c r="AE311" s="3" t="s">
        <v>19</v>
      </c>
    </row>
    <row r="312" spans="1:31" ht="15.75" customHeight="1" x14ac:dyDescent="0.35">
      <c r="A312" s="1" t="s">
        <v>202</v>
      </c>
      <c r="B312" t="s">
        <v>1083</v>
      </c>
      <c r="C312" t="s">
        <v>1084</v>
      </c>
      <c r="D312" s="1" t="s">
        <v>543</v>
      </c>
      <c r="E312" s="5">
        <v>44961</v>
      </c>
      <c r="F312" s="4" t="str">
        <f>IF(ISNUMBER(Table13[[#This Row],[Claim_Date2]]),"",Table13[[#This Row],[Claim_Date2]])</f>
        <v/>
      </c>
      <c r="G312" s="4" t="s">
        <v>1098</v>
      </c>
      <c r="H312" s="4" t="str">
        <f>LEFT(Table13[[#This Row],[Values Col 1]],3)</f>
        <v/>
      </c>
      <c r="I312" s="4" t="s">
        <v>1098</v>
      </c>
      <c r="J312" s="4" t="str">
        <f>MID(Table13[[#This Row],[Function Col]],5,2)</f>
        <v/>
      </c>
      <c r="K312" s="4" t="s">
        <v>1098</v>
      </c>
      <c r="L312" s="4" t="str">
        <f>RIGHT(Table13[[#This Row],[Function Col]],4)</f>
        <v/>
      </c>
      <c r="M312" s="4" t="s">
        <v>1098</v>
      </c>
      <c r="N312" s="4" t="str">
        <f>IF(Table13[[#This Row],[Function Col5]]="","",_xlfn.CONCAT(Table13[[#This Row],[Day Col]],"/",Table13[[#This Row],[Month Col]],"/",Table13[[#This Row],[Year Col]]))</f>
        <v/>
      </c>
      <c r="O312" s="4" t="s">
        <v>1098</v>
      </c>
      <c r="P312" s="4">
        <f>IF(ISNUMBER(Table13[[#This Row],[Claim_Date2]]),Table13[[#This Row],[Claim_Date2]],Table13[[#This Row],[Function Col32]])</f>
        <v>44961</v>
      </c>
      <c r="Q312" s="4">
        <v>44961</v>
      </c>
      <c r="R312" s="1" t="s">
        <v>92</v>
      </c>
      <c r="S312" s="1" t="s">
        <v>53</v>
      </c>
      <c r="T312" s="1" t="s">
        <v>24</v>
      </c>
      <c r="U312" s="1"/>
      <c r="W312">
        <f>IF(Table1[[#This Row],[Claim_Amount]]&lt;0,0,Table1[[#This Row],[Claim_Amount]])</f>
        <v>0</v>
      </c>
      <c r="X312" t="str">
        <f>IF(Table1[[#This Row],[Column1]]=0,"",Table1[[#This Row],[Column1]])</f>
        <v/>
      </c>
      <c r="Y312" t="s">
        <v>1098</v>
      </c>
      <c r="Z312">
        <v>2481</v>
      </c>
      <c r="AA312">
        <v>832</v>
      </c>
      <c r="AB312" s="1" t="s">
        <v>17</v>
      </c>
      <c r="AC312" s="1" t="s">
        <v>18</v>
      </c>
      <c r="AD312" s="1">
        <v>39</v>
      </c>
      <c r="AE312" s="3" t="s">
        <v>19</v>
      </c>
    </row>
    <row r="313" spans="1:31" ht="15.75" customHeight="1" x14ac:dyDescent="0.35">
      <c r="A313" s="1" t="s">
        <v>209</v>
      </c>
      <c r="B313" t="s">
        <v>1083</v>
      </c>
      <c r="C313" s="1" t="s">
        <v>530</v>
      </c>
      <c r="D313" s="1" t="s">
        <v>544</v>
      </c>
      <c r="E313" s="5" t="s">
        <v>544</v>
      </c>
      <c r="F313" s="4" t="str">
        <f>IF(ISNUMBER(Table13[[#This Row],[Claim_Date2]]),"",Table13[[#This Row],[Claim_Date2]])</f>
        <v>Nov 06 2023</v>
      </c>
      <c r="G313" s="4" t="s">
        <v>544</v>
      </c>
      <c r="H313" s="4" t="str">
        <f>LEFT(Table13[[#This Row],[Values Col 1]],3)</f>
        <v>Nov</v>
      </c>
      <c r="I313" s="4" t="s">
        <v>1105</v>
      </c>
      <c r="J313" s="4" t="str">
        <f>MID(Table13[[#This Row],[Function Col]],5,2)</f>
        <v>06</v>
      </c>
      <c r="K313" s="4" t="s">
        <v>1132</v>
      </c>
      <c r="L313" s="4" t="str">
        <f>RIGHT(Table13[[#This Row],[Function Col]],4)</f>
        <v>2023</v>
      </c>
      <c r="M313" s="4" t="s">
        <v>1146</v>
      </c>
      <c r="N313" s="4" t="str">
        <f>IF(Table13[[#This Row],[Function Col5]]="","",_xlfn.CONCAT(Table13[[#This Row],[Day Col]],"/",Table13[[#This Row],[Month Col]],"/",Table13[[#This Row],[Year Col]]))</f>
        <v>06/Nov/2023</v>
      </c>
      <c r="O313" s="4" t="s">
        <v>1243</v>
      </c>
      <c r="P313" s="4" t="str">
        <f>IF(ISNUMBER(Table13[[#This Row],[Claim_Date2]]),Table13[[#This Row],[Claim_Date2]],Table13[[#This Row],[Function Col32]])</f>
        <v>06/Nov/2023</v>
      </c>
      <c r="Q313" s="4">
        <v>45236</v>
      </c>
      <c r="R313" s="1" t="s">
        <v>92</v>
      </c>
      <c r="S313" s="1" t="s">
        <v>53</v>
      </c>
      <c r="T313" s="1" t="s">
        <v>54</v>
      </c>
      <c r="U313" s="1"/>
      <c r="W313">
        <f>IF(Table1[[#This Row],[Claim_Amount]]&lt;0,0,Table1[[#This Row],[Claim_Amount]])</f>
        <v>0</v>
      </c>
      <c r="X313" t="str">
        <f>IF(Table1[[#This Row],[Column1]]=0,"",Table1[[#This Row],[Column1]])</f>
        <v/>
      </c>
      <c r="Y313" t="s">
        <v>1098</v>
      </c>
      <c r="Z313">
        <v>2481</v>
      </c>
      <c r="AA313">
        <v>832</v>
      </c>
      <c r="AB313" s="1" t="s">
        <v>1091</v>
      </c>
      <c r="AC313" s="1" t="s">
        <v>1093</v>
      </c>
      <c r="AD313">
        <v>9</v>
      </c>
      <c r="AE313" s="3" t="s">
        <v>37</v>
      </c>
    </row>
    <row r="314" spans="1:31" ht="15.75" customHeight="1" x14ac:dyDescent="0.35">
      <c r="A314" s="1" t="s">
        <v>117</v>
      </c>
      <c r="B314" t="s">
        <v>1083</v>
      </c>
      <c r="C314" t="s">
        <v>1084</v>
      </c>
      <c r="D314" s="1" t="s">
        <v>545</v>
      </c>
      <c r="E314" s="5">
        <v>45026</v>
      </c>
      <c r="F314" s="4" t="str">
        <f>IF(ISNUMBER(Table13[[#This Row],[Claim_Date2]]),"",Table13[[#This Row],[Claim_Date2]])</f>
        <v/>
      </c>
      <c r="G314" s="4" t="s">
        <v>1098</v>
      </c>
      <c r="H314" s="4" t="str">
        <f>LEFT(Table13[[#This Row],[Values Col 1]],3)</f>
        <v/>
      </c>
      <c r="I314" s="4" t="s">
        <v>1098</v>
      </c>
      <c r="J314" s="4" t="str">
        <f>MID(Table13[[#This Row],[Function Col]],5,2)</f>
        <v/>
      </c>
      <c r="K314" s="4" t="s">
        <v>1098</v>
      </c>
      <c r="L314" s="4" t="str">
        <f>RIGHT(Table13[[#This Row],[Function Col]],4)</f>
        <v/>
      </c>
      <c r="M314" s="4" t="s">
        <v>1098</v>
      </c>
      <c r="N314" s="4" t="str">
        <f>IF(Table13[[#This Row],[Function Col5]]="","",_xlfn.CONCAT(Table13[[#This Row],[Day Col]],"/",Table13[[#This Row],[Month Col]],"/",Table13[[#This Row],[Year Col]]))</f>
        <v/>
      </c>
      <c r="O314" s="4" t="s">
        <v>1098</v>
      </c>
      <c r="P314" s="4">
        <f>IF(ISNUMBER(Table13[[#This Row],[Claim_Date2]]),Table13[[#This Row],[Claim_Date2]],Table13[[#This Row],[Function Col32]])</f>
        <v>45026</v>
      </c>
      <c r="Q314" s="4">
        <v>45026</v>
      </c>
      <c r="R314" s="1" t="s">
        <v>77</v>
      </c>
      <c r="S314" t="s">
        <v>1085</v>
      </c>
      <c r="T314" s="1" t="s">
        <v>61</v>
      </c>
      <c r="U314" s="1"/>
      <c r="V314" s="1">
        <v>-63</v>
      </c>
      <c r="W314" s="1">
        <f>IF(Table1[[#This Row],[Claim_Amount]]&lt;0,0,Table1[[#This Row],[Claim_Amount]])</f>
        <v>0</v>
      </c>
      <c r="X314" s="1" t="str">
        <f>IF(Table1[[#This Row],[Column1]]=0,"",Table1[[#This Row],[Column1]])</f>
        <v/>
      </c>
      <c r="Y314" s="1" t="s">
        <v>1098</v>
      </c>
      <c r="Z314" s="1">
        <v>2481</v>
      </c>
      <c r="AA314">
        <v>832</v>
      </c>
      <c r="AB314" s="1" t="s">
        <v>42</v>
      </c>
      <c r="AC314" s="1" t="s">
        <v>57</v>
      </c>
      <c r="AD314">
        <v>9</v>
      </c>
      <c r="AE314" s="3" t="s">
        <v>65</v>
      </c>
    </row>
    <row r="315" spans="1:31" ht="15.75" customHeight="1" x14ac:dyDescent="0.35">
      <c r="A315" s="1" t="s">
        <v>89</v>
      </c>
      <c r="B315" s="1" t="s">
        <v>546</v>
      </c>
      <c r="C315" t="s">
        <v>1084</v>
      </c>
      <c r="D315" s="1" t="s">
        <v>69</v>
      </c>
      <c r="E315" s="5">
        <v>44961</v>
      </c>
      <c r="F315" s="4" t="str">
        <f>IF(ISNUMBER(Table13[[#This Row],[Claim_Date2]]),"",Table13[[#This Row],[Claim_Date2]])</f>
        <v/>
      </c>
      <c r="G315" s="4" t="s">
        <v>1098</v>
      </c>
      <c r="H315" s="4" t="str">
        <f>LEFT(Table13[[#This Row],[Values Col 1]],3)</f>
        <v/>
      </c>
      <c r="I315" s="4" t="s">
        <v>1098</v>
      </c>
      <c r="J315" s="4" t="str">
        <f>MID(Table13[[#This Row],[Function Col]],5,2)</f>
        <v/>
      </c>
      <c r="K315" s="4" t="s">
        <v>1098</v>
      </c>
      <c r="L315" s="4" t="str">
        <f>RIGHT(Table13[[#This Row],[Function Col]],4)</f>
        <v/>
      </c>
      <c r="M315" s="4" t="s">
        <v>1098</v>
      </c>
      <c r="N315" s="4" t="str">
        <f>IF(Table13[[#This Row],[Function Col5]]="","",_xlfn.CONCAT(Table13[[#This Row],[Day Col]],"/",Table13[[#This Row],[Month Col]],"/",Table13[[#This Row],[Year Col]]))</f>
        <v/>
      </c>
      <c r="O315" s="4" t="s">
        <v>1098</v>
      </c>
      <c r="P315" s="4">
        <f>IF(ISNUMBER(Table13[[#This Row],[Claim_Date2]]),Table13[[#This Row],[Claim_Date2]],Table13[[#This Row],[Function Col32]])</f>
        <v>44961</v>
      </c>
      <c r="Q315" s="4">
        <v>44961</v>
      </c>
      <c r="R315" s="1" t="s">
        <v>30</v>
      </c>
      <c r="S315" s="1" t="s">
        <v>47</v>
      </c>
      <c r="T315" s="1" t="s">
        <v>41</v>
      </c>
      <c r="U315" s="1"/>
      <c r="W315">
        <f>IF(Table1[[#This Row],[Claim_Amount]]&lt;0,0,Table1[[#This Row],[Claim_Amount]])</f>
        <v>0</v>
      </c>
      <c r="X315" t="str">
        <f>IF(Table1[[#This Row],[Column1]]=0,"",Table1[[#This Row],[Column1]])</f>
        <v/>
      </c>
      <c r="Y315" t="s">
        <v>1098</v>
      </c>
      <c r="Z315">
        <v>2481</v>
      </c>
      <c r="AA315">
        <v>832</v>
      </c>
      <c r="AB315" s="1" t="s">
        <v>1091</v>
      </c>
      <c r="AC315" s="1" t="s">
        <v>57</v>
      </c>
      <c r="AD315" s="1">
        <v>1</v>
      </c>
      <c r="AE315" s="3" t="s">
        <v>65</v>
      </c>
    </row>
    <row r="316" spans="1:31" ht="15.75" customHeight="1" x14ac:dyDescent="0.35">
      <c r="A316" s="1" t="s">
        <v>114</v>
      </c>
      <c r="B316" t="s">
        <v>1083</v>
      </c>
      <c r="C316" t="s">
        <v>1084</v>
      </c>
      <c r="D316" s="1" t="s">
        <v>547</v>
      </c>
      <c r="E316" s="5">
        <v>45257</v>
      </c>
      <c r="F316" s="4" t="str">
        <f>IF(ISNUMBER(Table13[[#This Row],[Claim_Date2]]),"",Table13[[#This Row],[Claim_Date2]])</f>
        <v/>
      </c>
      <c r="G316" s="4" t="s">
        <v>1098</v>
      </c>
      <c r="H316" s="4" t="str">
        <f>LEFT(Table13[[#This Row],[Values Col 1]],3)</f>
        <v/>
      </c>
      <c r="I316" s="4" t="s">
        <v>1098</v>
      </c>
      <c r="J316" s="4" t="str">
        <f>MID(Table13[[#This Row],[Function Col]],5,2)</f>
        <v/>
      </c>
      <c r="K316" s="4" t="s">
        <v>1098</v>
      </c>
      <c r="L316" s="4" t="str">
        <f>RIGHT(Table13[[#This Row],[Function Col]],4)</f>
        <v/>
      </c>
      <c r="M316" s="4" t="s">
        <v>1098</v>
      </c>
      <c r="N316" s="4" t="str">
        <f>IF(Table13[[#This Row],[Function Col5]]="","",_xlfn.CONCAT(Table13[[#This Row],[Day Col]],"/",Table13[[#This Row],[Month Col]],"/",Table13[[#This Row],[Year Col]]))</f>
        <v/>
      </c>
      <c r="O316" s="4" t="s">
        <v>1098</v>
      </c>
      <c r="P316" s="4">
        <f>IF(ISNUMBER(Table13[[#This Row],[Claim_Date2]]),Table13[[#This Row],[Claim_Date2]],Table13[[#This Row],[Function Col32]])</f>
        <v>45257</v>
      </c>
      <c r="Q316" s="4">
        <v>45257</v>
      </c>
      <c r="R316" s="1" t="s">
        <v>85</v>
      </c>
      <c r="S316" t="s">
        <v>1085</v>
      </c>
      <c r="T316" s="1" t="s">
        <v>48</v>
      </c>
      <c r="U316" s="1"/>
      <c r="W316">
        <f>IF(Table1[[#This Row],[Claim_Amount]]&lt;0,0,Table1[[#This Row],[Claim_Amount]])</f>
        <v>0</v>
      </c>
      <c r="X316" t="str">
        <f>IF(Table1[[#This Row],[Column1]]=0,"",Table1[[#This Row],[Column1]])</f>
        <v/>
      </c>
      <c r="Y316" t="s">
        <v>1098</v>
      </c>
      <c r="Z316">
        <v>2481</v>
      </c>
      <c r="AA316">
        <v>832</v>
      </c>
      <c r="AB316" s="1" t="s">
        <v>25</v>
      </c>
      <c r="AC316" s="1" t="s">
        <v>57</v>
      </c>
      <c r="AD316">
        <v>9</v>
      </c>
      <c r="AE316" s="3" t="s">
        <v>27</v>
      </c>
    </row>
    <row r="317" spans="1:31" ht="15.75" customHeight="1" x14ac:dyDescent="0.35">
      <c r="A317" s="1" t="s">
        <v>20</v>
      </c>
      <c r="B317" s="1" t="s">
        <v>262</v>
      </c>
      <c r="C317" t="s">
        <v>1084</v>
      </c>
      <c r="D317" s="1" t="s">
        <v>548</v>
      </c>
      <c r="E317" s="5">
        <v>44960</v>
      </c>
      <c r="F317" s="4" t="str">
        <f>IF(ISNUMBER(Table13[[#This Row],[Claim_Date2]]),"",Table13[[#This Row],[Claim_Date2]])</f>
        <v/>
      </c>
      <c r="G317" s="4" t="s">
        <v>1098</v>
      </c>
      <c r="H317" s="4" t="str">
        <f>LEFT(Table13[[#This Row],[Values Col 1]],3)</f>
        <v/>
      </c>
      <c r="I317" s="4" t="s">
        <v>1098</v>
      </c>
      <c r="J317" s="4" t="str">
        <f>MID(Table13[[#This Row],[Function Col]],5,2)</f>
        <v/>
      </c>
      <c r="K317" s="4" t="s">
        <v>1098</v>
      </c>
      <c r="L317" s="4" t="str">
        <f>RIGHT(Table13[[#This Row],[Function Col]],4)</f>
        <v/>
      </c>
      <c r="M317" s="4" t="s">
        <v>1098</v>
      </c>
      <c r="N317" s="4" t="str">
        <f>IF(Table13[[#This Row],[Function Col5]]="","",_xlfn.CONCAT(Table13[[#This Row],[Day Col]],"/",Table13[[#This Row],[Month Col]],"/",Table13[[#This Row],[Year Col]]))</f>
        <v/>
      </c>
      <c r="O317" s="4" t="s">
        <v>1098</v>
      </c>
      <c r="P317" s="4">
        <f>IF(ISNUMBER(Table13[[#This Row],[Claim_Date2]]),Table13[[#This Row],[Claim_Date2]],Table13[[#This Row],[Function Col32]])</f>
        <v>44960</v>
      </c>
      <c r="Q317" s="4">
        <v>44960</v>
      </c>
      <c r="R317" s="1" t="s">
        <v>85</v>
      </c>
      <c r="S317" s="1" t="s">
        <v>23</v>
      </c>
      <c r="T317" s="1" t="s">
        <v>41</v>
      </c>
      <c r="U317" s="1"/>
      <c r="W317">
        <f>IF(Table1[[#This Row],[Claim_Amount]]&lt;0,0,Table1[[#This Row],[Claim_Amount]])</f>
        <v>0</v>
      </c>
      <c r="X317" t="str">
        <f>IF(Table1[[#This Row],[Column1]]=0,"",Table1[[#This Row],[Column1]])</f>
        <v/>
      </c>
      <c r="Y317" t="s">
        <v>1098</v>
      </c>
      <c r="Z317">
        <v>2481</v>
      </c>
      <c r="AA317">
        <v>832</v>
      </c>
      <c r="AB317" s="1" t="s">
        <v>17</v>
      </c>
      <c r="AC317" s="1" t="s">
        <v>57</v>
      </c>
      <c r="AD317">
        <v>9</v>
      </c>
      <c r="AE317" s="3" t="s">
        <v>27</v>
      </c>
    </row>
    <row r="318" spans="1:31" ht="15.75" customHeight="1" x14ac:dyDescent="0.35">
      <c r="A318" s="1" t="s">
        <v>137</v>
      </c>
      <c r="B318" t="s">
        <v>1083</v>
      </c>
      <c r="C318" s="1" t="s">
        <v>305</v>
      </c>
      <c r="D318" s="1" t="s">
        <v>549</v>
      </c>
      <c r="E318" s="5">
        <v>45048</v>
      </c>
      <c r="F318" s="4" t="str">
        <f>IF(ISNUMBER(Table13[[#This Row],[Claim_Date2]]),"",Table13[[#This Row],[Claim_Date2]])</f>
        <v/>
      </c>
      <c r="G318" s="4" t="s">
        <v>1098</v>
      </c>
      <c r="H318" s="4" t="str">
        <f>LEFT(Table13[[#This Row],[Values Col 1]],3)</f>
        <v/>
      </c>
      <c r="I318" s="4" t="s">
        <v>1098</v>
      </c>
      <c r="J318" s="4" t="str">
        <f>MID(Table13[[#This Row],[Function Col]],5,2)</f>
        <v/>
      </c>
      <c r="K318" s="4" t="s">
        <v>1098</v>
      </c>
      <c r="L318" s="4" t="str">
        <f>RIGHT(Table13[[#This Row],[Function Col]],4)</f>
        <v/>
      </c>
      <c r="M318" s="4" t="s">
        <v>1098</v>
      </c>
      <c r="N318" s="4" t="str">
        <f>IF(Table13[[#This Row],[Function Col5]]="","",_xlfn.CONCAT(Table13[[#This Row],[Day Col]],"/",Table13[[#This Row],[Month Col]],"/",Table13[[#This Row],[Year Col]]))</f>
        <v/>
      </c>
      <c r="O318" s="4" t="s">
        <v>1098</v>
      </c>
      <c r="P318" s="4">
        <f>IF(ISNUMBER(Table13[[#This Row],[Claim_Date2]]),Table13[[#This Row],[Claim_Date2]],Table13[[#This Row],[Function Col32]])</f>
        <v>45048</v>
      </c>
      <c r="Q318" s="4">
        <v>45048</v>
      </c>
      <c r="R318" s="1" t="s">
        <v>85</v>
      </c>
      <c r="S318" s="1" t="s">
        <v>31</v>
      </c>
      <c r="T318" s="1" t="s">
        <v>24</v>
      </c>
      <c r="U318" s="1"/>
      <c r="V318" s="1">
        <v>2649.25</v>
      </c>
      <c r="W318" s="1">
        <f>IF(Table1[[#This Row],[Claim_Amount]]&lt;0,0,Table1[[#This Row],[Claim_Amount]])</f>
        <v>2649.25</v>
      </c>
      <c r="X318" s="1">
        <f>IF(Table1[[#This Row],[Column1]]=0,"",Table1[[#This Row],[Column1]])</f>
        <v>2649.25</v>
      </c>
      <c r="Y318" s="1">
        <v>2649.25</v>
      </c>
      <c r="Z318" s="1">
        <v>2649.25</v>
      </c>
      <c r="AA318" s="1">
        <v>1902.37</v>
      </c>
      <c r="AB318" s="1" t="s">
        <v>17</v>
      </c>
      <c r="AC318" s="1" t="s">
        <v>26</v>
      </c>
      <c r="AD318">
        <v>9</v>
      </c>
      <c r="AE318" s="3" t="s">
        <v>19</v>
      </c>
    </row>
    <row r="319" spans="1:31" ht="15.75" customHeight="1" x14ac:dyDescent="0.35">
      <c r="A319" s="1" t="s">
        <v>285</v>
      </c>
      <c r="B319" s="1" t="s">
        <v>550</v>
      </c>
      <c r="C319" t="s">
        <v>1084</v>
      </c>
      <c r="D319" s="1" t="s">
        <v>521</v>
      </c>
      <c r="E319" s="5">
        <v>45195</v>
      </c>
      <c r="F319" s="4" t="str">
        <f>IF(ISNUMBER(Table13[[#This Row],[Claim_Date2]]),"",Table13[[#This Row],[Claim_Date2]])</f>
        <v/>
      </c>
      <c r="G319" s="4" t="s">
        <v>1098</v>
      </c>
      <c r="H319" s="4" t="str">
        <f>LEFT(Table13[[#This Row],[Values Col 1]],3)</f>
        <v/>
      </c>
      <c r="I319" s="4" t="s">
        <v>1098</v>
      </c>
      <c r="J319" s="4" t="str">
        <f>MID(Table13[[#This Row],[Function Col]],5,2)</f>
        <v/>
      </c>
      <c r="K319" s="4" t="s">
        <v>1098</v>
      </c>
      <c r="L319" s="4" t="str">
        <f>RIGHT(Table13[[#This Row],[Function Col]],4)</f>
        <v/>
      </c>
      <c r="M319" s="4" t="s">
        <v>1098</v>
      </c>
      <c r="N319" s="4" t="str">
        <f>IF(Table13[[#This Row],[Function Col5]]="","",_xlfn.CONCAT(Table13[[#This Row],[Day Col]],"/",Table13[[#This Row],[Month Col]],"/",Table13[[#This Row],[Year Col]]))</f>
        <v/>
      </c>
      <c r="O319" s="4" t="s">
        <v>1098</v>
      </c>
      <c r="P319" s="4">
        <f>IF(ISNUMBER(Table13[[#This Row],[Claim_Date2]]),Table13[[#This Row],[Claim_Date2]],Table13[[#This Row],[Function Col32]])</f>
        <v>45195</v>
      </c>
      <c r="Q319" s="4">
        <v>45195</v>
      </c>
      <c r="R319" s="1" t="s">
        <v>85</v>
      </c>
      <c r="S319" s="1" t="s">
        <v>23</v>
      </c>
      <c r="T319" s="1" t="s">
        <v>54</v>
      </c>
      <c r="U319" s="1"/>
      <c r="W319">
        <f>IF(Table1[[#This Row],[Claim_Amount]]&lt;0,0,Table1[[#This Row],[Claim_Amount]])</f>
        <v>0</v>
      </c>
      <c r="X319" t="str">
        <f>IF(Table1[[#This Row],[Column1]]=0,"",Table1[[#This Row],[Column1]])</f>
        <v/>
      </c>
      <c r="Y319" t="s">
        <v>1098</v>
      </c>
      <c r="Z319">
        <v>2481</v>
      </c>
      <c r="AA319">
        <v>832</v>
      </c>
      <c r="AB319" s="1" t="s">
        <v>25</v>
      </c>
      <c r="AC319" s="1" t="s">
        <v>57</v>
      </c>
      <c r="AD319" s="1">
        <v>7</v>
      </c>
      <c r="AE319" s="3" t="s">
        <v>27</v>
      </c>
    </row>
    <row r="320" spans="1:31" ht="15.75" customHeight="1" x14ac:dyDescent="0.35">
      <c r="A320" s="1" t="s">
        <v>166</v>
      </c>
      <c r="B320" t="s">
        <v>1083</v>
      </c>
      <c r="C320" t="s">
        <v>1084</v>
      </c>
      <c r="D320" s="1" t="s">
        <v>551</v>
      </c>
      <c r="E320" s="5" t="s">
        <v>551</v>
      </c>
      <c r="F320" s="4" t="str">
        <f>IF(ISNUMBER(Table13[[#This Row],[Claim_Date2]]),"",Table13[[#This Row],[Claim_Date2]])</f>
        <v>Feb 22 2023</v>
      </c>
      <c r="G320" s="4" t="s">
        <v>551</v>
      </c>
      <c r="H320" s="4" t="str">
        <f>LEFT(Table13[[#This Row],[Values Col 1]],3)</f>
        <v>Feb</v>
      </c>
      <c r="I320" s="4" t="s">
        <v>1109</v>
      </c>
      <c r="J320" s="4" t="str">
        <f>MID(Table13[[#This Row],[Function Col]],5,2)</f>
        <v>22</v>
      </c>
      <c r="K320" s="4" t="s">
        <v>1122</v>
      </c>
      <c r="L320" s="4" t="str">
        <f>RIGHT(Table13[[#This Row],[Function Col]],4)</f>
        <v>2023</v>
      </c>
      <c r="M320" s="4" t="s">
        <v>1146</v>
      </c>
      <c r="N320" s="4" t="str">
        <f>IF(Table13[[#This Row],[Function Col5]]="","",_xlfn.CONCAT(Table13[[#This Row],[Day Col]],"/",Table13[[#This Row],[Month Col]],"/",Table13[[#This Row],[Year Col]]))</f>
        <v>22/Feb/2023</v>
      </c>
      <c r="O320" s="4" t="s">
        <v>1244</v>
      </c>
      <c r="P320" s="4" t="str">
        <f>IF(ISNUMBER(Table13[[#This Row],[Claim_Date2]]),Table13[[#This Row],[Claim_Date2]],Table13[[#This Row],[Function Col32]])</f>
        <v>22/Feb/2023</v>
      </c>
      <c r="Q320" s="4">
        <v>44979</v>
      </c>
      <c r="R320" s="1" t="s">
        <v>85</v>
      </c>
      <c r="S320" t="s">
        <v>1085</v>
      </c>
      <c r="T320" t="s">
        <v>1086</v>
      </c>
      <c r="W320">
        <f>IF(Table1[[#This Row],[Claim_Amount]]&lt;0,0,Table1[[#This Row],[Claim_Amount]])</f>
        <v>0</v>
      </c>
      <c r="X320" t="str">
        <f>IF(Table1[[#This Row],[Column1]]=0,"",Table1[[#This Row],[Column1]])</f>
        <v/>
      </c>
      <c r="Y320" t="s">
        <v>1098</v>
      </c>
      <c r="Z320">
        <v>2481</v>
      </c>
      <c r="AA320" s="1">
        <v>3212.31</v>
      </c>
      <c r="AB320" s="1" t="s">
        <v>42</v>
      </c>
      <c r="AC320" s="1" t="s">
        <v>18</v>
      </c>
      <c r="AD320">
        <v>9</v>
      </c>
      <c r="AE320" s="3" t="s">
        <v>27</v>
      </c>
    </row>
    <row r="321" spans="1:31" ht="15.75" customHeight="1" x14ac:dyDescent="0.35">
      <c r="A321" s="1" t="s">
        <v>73</v>
      </c>
      <c r="B321" t="s">
        <v>1083</v>
      </c>
      <c r="C321" s="1" t="s">
        <v>158</v>
      </c>
      <c r="D321" s="1" t="s">
        <v>552</v>
      </c>
      <c r="E321" s="5">
        <v>45003</v>
      </c>
      <c r="F321" s="4" t="str">
        <f>IF(ISNUMBER(Table13[[#This Row],[Claim_Date2]]),"",Table13[[#This Row],[Claim_Date2]])</f>
        <v/>
      </c>
      <c r="G321" s="4" t="s">
        <v>1098</v>
      </c>
      <c r="H321" s="4" t="str">
        <f>LEFT(Table13[[#This Row],[Values Col 1]],3)</f>
        <v/>
      </c>
      <c r="I321" s="4" t="s">
        <v>1098</v>
      </c>
      <c r="J321" s="4" t="str">
        <f>MID(Table13[[#This Row],[Function Col]],5,2)</f>
        <v/>
      </c>
      <c r="K321" s="4" t="s">
        <v>1098</v>
      </c>
      <c r="L321" s="4" t="str">
        <f>RIGHT(Table13[[#This Row],[Function Col]],4)</f>
        <v/>
      </c>
      <c r="M321" s="4" t="s">
        <v>1098</v>
      </c>
      <c r="N321" s="4" t="str">
        <f>IF(Table13[[#This Row],[Function Col5]]="","",_xlfn.CONCAT(Table13[[#This Row],[Day Col]],"/",Table13[[#This Row],[Month Col]],"/",Table13[[#This Row],[Year Col]]))</f>
        <v/>
      </c>
      <c r="O321" s="4" t="s">
        <v>1098</v>
      </c>
      <c r="P321" s="4">
        <f>IF(ISNUMBER(Table13[[#This Row],[Claim_Date2]]),Table13[[#This Row],[Claim_Date2]],Table13[[#This Row],[Function Col32]])</f>
        <v>45003</v>
      </c>
      <c r="Q321" s="4">
        <v>45003</v>
      </c>
      <c r="R321" s="1" t="s">
        <v>16</v>
      </c>
      <c r="S321" s="1" t="s">
        <v>23</v>
      </c>
      <c r="T321" s="1" t="s">
        <v>54</v>
      </c>
      <c r="U321" s="1"/>
      <c r="W321">
        <f>IF(Table1[[#This Row],[Claim_Amount]]&lt;0,0,Table1[[#This Row],[Claim_Amount]])</f>
        <v>0</v>
      </c>
      <c r="X321" t="str">
        <f>IF(Table1[[#This Row],[Column1]]=0,"",Table1[[#This Row],[Column1]])</f>
        <v/>
      </c>
      <c r="Y321" t="s">
        <v>1098</v>
      </c>
      <c r="Z321">
        <v>2481</v>
      </c>
      <c r="AA321">
        <v>832</v>
      </c>
      <c r="AB321" s="1" t="s">
        <v>42</v>
      </c>
      <c r="AC321" s="1" t="s">
        <v>32</v>
      </c>
      <c r="AD321">
        <v>9</v>
      </c>
      <c r="AE321" s="3" t="s">
        <v>27</v>
      </c>
    </row>
    <row r="322" spans="1:31" ht="15.75" customHeight="1" x14ac:dyDescent="0.35">
      <c r="A322" s="1" t="s">
        <v>209</v>
      </c>
      <c r="B322" s="1" t="s">
        <v>553</v>
      </c>
      <c r="C322" t="s">
        <v>1084</v>
      </c>
      <c r="D322" s="1" t="s">
        <v>554</v>
      </c>
      <c r="E322" s="5">
        <v>45100</v>
      </c>
      <c r="F322" s="4" t="str">
        <f>IF(ISNUMBER(Table13[[#This Row],[Claim_Date2]]),"",Table13[[#This Row],[Claim_Date2]])</f>
        <v/>
      </c>
      <c r="G322" s="4" t="s">
        <v>1098</v>
      </c>
      <c r="H322" s="4" t="str">
        <f>LEFT(Table13[[#This Row],[Values Col 1]],3)</f>
        <v/>
      </c>
      <c r="I322" s="4" t="s">
        <v>1098</v>
      </c>
      <c r="J322" s="4" t="str">
        <f>MID(Table13[[#This Row],[Function Col]],5,2)</f>
        <v/>
      </c>
      <c r="K322" s="4" t="s">
        <v>1098</v>
      </c>
      <c r="L322" s="4" t="str">
        <f>RIGHT(Table13[[#This Row],[Function Col]],4)</f>
        <v/>
      </c>
      <c r="M322" s="4" t="s">
        <v>1098</v>
      </c>
      <c r="N322" s="4" t="str">
        <f>IF(Table13[[#This Row],[Function Col5]]="","",_xlfn.CONCAT(Table13[[#This Row],[Day Col]],"/",Table13[[#This Row],[Month Col]],"/",Table13[[#This Row],[Year Col]]))</f>
        <v/>
      </c>
      <c r="O322" s="4" t="s">
        <v>1098</v>
      </c>
      <c r="P322" s="4">
        <f>IF(ISNUMBER(Table13[[#This Row],[Claim_Date2]]),Table13[[#This Row],[Claim_Date2]],Table13[[#This Row],[Function Col32]])</f>
        <v>45100</v>
      </c>
      <c r="Q322" s="4">
        <v>45100</v>
      </c>
      <c r="R322" s="1" t="s">
        <v>16</v>
      </c>
      <c r="S322" s="1" t="s">
        <v>93</v>
      </c>
      <c r="T322" s="1" t="s">
        <v>61</v>
      </c>
      <c r="U322" s="1"/>
      <c r="V322" s="1">
        <v>2380.14</v>
      </c>
      <c r="W322" s="1">
        <f>IF(Table1[[#This Row],[Claim_Amount]]&lt;0,0,Table1[[#This Row],[Claim_Amount]])</f>
        <v>2380.14</v>
      </c>
      <c r="X322" s="1">
        <f>IF(Table1[[#This Row],[Column1]]=0,"",Table1[[#This Row],[Column1]])</f>
        <v>2380.14</v>
      </c>
      <c r="Y322" s="1">
        <v>2380.14</v>
      </c>
      <c r="Z322" s="1">
        <v>2380.14</v>
      </c>
      <c r="AA322" s="1">
        <v>574.34</v>
      </c>
      <c r="AB322" s="1" t="s">
        <v>25</v>
      </c>
      <c r="AC322" s="1" t="s">
        <v>1093</v>
      </c>
      <c r="AD322" s="1">
        <v>25</v>
      </c>
      <c r="AE322" s="3" t="s">
        <v>1097</v>
      </c>
    </row>
    <row r="323" spans="1:31" ht="15.75" customHeight="1" x14ac:dyDescent="0.35">
      <c r="A323" s="1" t="s">
        <v>66</v>
      </c>
      <c r="B323" t="s">
        <v>1083</v>
      </c>
      <c r="C323" t="s">
        <v>1084</v>
      </c>
      <c r="D323" s="1" t="s">
        <v>555</v>
      </c>
      <c r="E323" s="5">
        <v>45109</v>
      </c>
      <c r="F323" s="4" t="str">
        <f>IF(ISNUMBER(Table13[[#This Row],[Claim_Date2]]),"",Table13[[#This Row],[Claim_Date2]])</f>
        <v/>
      </c>
      <c r="G323" s="4" t="s">
        <v>1098</v>
      </c>
      <c r="H323" s="4" t="str">
        <f>LEFT(Table13[[#This Row],[Values Col 1]],3)</f>
        <v/>
      </c>
      <c r="I323" s="4" t="s">
        <v>1098</v>
      </c>
      <c r="J323" s="4" t="str">
        <f>MID(Table13[[#This Row],[Function Col]],5,2)</f>
        <v/>
      </c>
      <c r="K323" s="4" t="s">
        <v>1098</v>
      </c>
      <c r="L323" s="4" t="str">
        <f>RIGHT(Table13[[#This Row],[Function Col]],4)</f>
        <v/>
      </c>
      <c r="M323" s="4" t="s">
        <v>1098</v>
      </c>
      <c r="N323" s="4" t="str">
        <f>IF(Table13[[#This Row],[Function Col5]]="","",_xlfn.CONCAT(Table13[[#This Row],[Day Col]],"/",Table13[[#This Row],[Month Col]],"/",Table13[[#This Row],[Year Col]]))</f>
        <v/>
      </c>
      <c r="O323" s="4" t="s">
        <v>1098</v>
      </c>
      <c r="P323" s="4">
        <f>IF(ISNUMBER(Table13[[#This Row],[Claim_Date2]]),Table13[[#This Row],[Claim_Date2]],Table13[[#This Row],[Function Col32]])</f>
        <v>45109</v>
      </c>
      <c r="Q323" s="4">
        <v>45109</v>
      </c>
      <c r="R323" s="1" t="s">
        <v>85</v>
      </c>
      <c r="S323" s="1" t="s">
        <v>93</v>
      </c>
      <c r="T323" t="s">
        <v>1086</v>
      </c>
      <c r="V323" s="1">
        <v>3804.09</v>
      </c>
      <c r="W323" s="1">
        <f>IF(Table1[[#This Row],[Claim_Amount]]&lt;0,0,Table1[[#This Row],[Claim_Amount]])</f>
        <v>3804.09</v>
      </c>
      <c r="X323" s="1">
        <f>IF(Table1[[#This Row],[Column1]]=0,"",Table1[[#This Row],[Column1]])</f>
        <v>3804.09</v>
      </c>
      <c r="Y323" s="1">
        <v>3804.09</v>
      </c>
      <c r="Z323" s="1">
        <v>3804.09</v>
      </c>
      <c r="AA323">
        <v>832</v>
      </c>
      <c r="AB323" s="1" t="s">
        <v>1091</v>
      </c>
      <c r="AC323" s="1" t="s">
        <v>18</v>
      </c>
      <c r="AD323">
        <v>9</v>
      </c>
      <c r="AE323" s="3" t="s">
        <v>37</v>
      </c>
    </row>
    <row r="324" spans="1:31" ht="15.75" customHeight="1" x14ac:dyDescent="0.35">
      <c r="A324" s="1" t="s">
        <v>108</v>
      </c>
      <c r="B324" t="s">
        <v>1083</v>
      </c>
      <c r="C324" t="s">
        <v>1084</v>
      </c>
      <c r="D324" s="1" t="s">
        <v>556</v>
      </c>
      <c r="E324" s="5">
        <v>45167</v>
      </c>
      <c r="F324" s="4" t="str">
        <f>IF(ISNUMBER(Table13[[#This Row],[Claim_Date2]]),"",Table13[[#This Row],[Claim_Date2]])</f>
        <v/>
      </c>
      <c r="G324" s="4" t="s">
        <v>1098</v>
      </c>
      <c r="H324" s="4" t="str">
        <f>LEFT(Table13[[#This Row],[Values Col 1]],3)</f>
        <v/>
      </c>
      <c r="I324" s="4" t="s">
        <v>1098</v>
      </c>
      <c r="J324" s="4" t="str">
        <f>MID(Table13[[#This Row],[Function Col]],5,2)</f>
        <v/>
      </c>
      <c r="K324" s="4" t="s">
        <v>1098</v>
      </c>
      <c r="L324" s="4" t="str">
        <f>RIGHT(Table13[[#This Row],[Function Col]],4)</f>
        <v/>
      </c>
      <c r="M324" s="4" t="s">
        <v>1098</v>
      </c>
      <c r="N324" s="4" t="str">
        <f>IF(Table13[[#This Row],[Function Col5]]="","",_xlfn.CONCAT(Table13[[#This Row],[Day Col]],"/",Table13[[#This Row],[Month Col]],"/",Table13[[#This Row],[Year Col]]))</f>
        <v/>
      </c>
      <c r="O324" s="4" t="s">
        <v>1098</v>
      </c>
      <c r="P324" s="4">
        <f>IF(ISNUMBER(Table13[[#This Row],[Claim_Date2]]),Table13[[#This Row],[Claim_Date2]],Table13[[#This Row],[Function Col32]])</f>
        <v>45167</v>
      </c>
      <c r="Q324" s="4">
        <v>45167</v>
      </c>
      <c r="R324" s="1" t="s">
        <v>85</v>
      </c>
      <c r="S324" s="1" t="s">
        <v>47</v>
      </c>
      <c r="T324" s="1" t="s">
        <v>41</v>
      </c>
      <c r="U324" s="1"/>
      <c r="W324">
        <f>IF(Table1[[#This Row],[Claim_Amount]]&lt;0,0,Table1[[#This Row],[Claim_Amount]])</f>
        <v>0</v>
      </c>
      <c r="X324" t="str">
        <f>IF(Table1[[#This Row],[Column1]]=0,"",Table1[[#This Row],[Column1]])</f>
        <v/>
      </c>
      <c r="Y324" t="s">
        <v>1098</v>
      </c>
      <c r="Z324">
        <v>2481</v>
      </c>
      <c r="AA324">
        <v>832</v>
      </c>
      <c r="AB324" s="1" t="s">
        <v>42</v>
      </c>
      <c r="AC324" s="1" t="s">
        <v>32</v>
      </c>
      <c r="AD324">
        <v>9</v>
      </c>
      <c r="AE324" s="3" t="s">
        <v>19</v>
      </c>
    </row>
    <row r="325" spans="1:31" ht="15.75" customHeight="1" x14ac:dyDescent="0.35">
      <c r="A325" s="1" t="s">
        <v>430</v>
      </c>
      <c r="B325" s="1" t="s">
        <v>266</v>
      </c>
      <c r="C325" t="s">
        <v>1084</v>
      </c>
      <c r="D325" s="1" t="s">
        <v>309</v>
      </c>
      <c r="E325" s="5">
        <v>45014</v>
      </c>
      <c r="F325" s="4" t="str">
        <f>IF(ISNUMBER(Table13[[#This Row],[Claim_Date2]]),"",Table13[[#This Row],[Claim_Date2]])</f>
        <v/>
      </c>
      <c r="G325" s="4" t="s">
        <v>1098</v>
      </c>
      <c r="H325" s="4" t="str">
        <f>LEFT(Table13[[#This Row],[Values Col 1]],3)</f>
        <v/>
      </c>
      <c r="I325" s="4" t="s">
        <v>1098</v>
      </c>
      <c r="J325" s="4" t="str">
        <f>MID(Table13[[#This Row],[Function Col]],5,2)</f>
        <v/>
      </c>
      <c r="K325" s="4" t="s">
        <v>1098</v>
      </c>
      <c r="L325" s="4" t="str">
        <f>RIGHT(Table13[[#This Row],[Function Col]],4)</f>
        <v/>
      </c>
      <c r="M325" s="4" t="s">
        <v>1098</v>
      </c>
      <c r="N325" s="4" t="str">
        <f>IF(Table13[[#This Row],[Function Col5]]="","",_xlfn.CONCAT(Table13[[#This Row],[Day Col]],"/",Table13[[#This Row],[Month Col]],"/",Table13[[#This Row],[Year Col]]))</f>
        <v/>
      </c>
      <c r="O325" s="4" t="s">
        <v>1098</v>
      </c>
      <c r="P325" s="4">
        <f>IF(ISNUMBER(Table13[[#This Row],[Claim_Date2]]),Table13[[#This Row],[Claim_Date2]],Table13[[#This Row],[Function Col32]])</f>
        <v>45014</v>
      </c>
      <c r="Q325" s="4">
        <v>45014</v>
      </c>
      <c r="R325" s="1" t="s">
        <v>30</v>
      </c>
      <c r="S325" s="1" t="s">
        <v>47</v>
      </c>
      <c r="T325" s="1" t="s">
        <v>24</v>
      </c>
      <c r="U325" s="1"/>
      <c r="V325" s="1">
        <v>2564.35</v>
      </c>
      <c r="W325" s="1">
        <f>IF(Table1[[#This Row],[Claim_Amount]]&lt;0,0,Table1[[#This Row],[Claim_Amount]])</f>
        <v>2564.35</v>
      </c>
      <c r="X325" s="1">
        <f>IF(Table1[[#This Row],[Column1]]=0,"",Table1[[#This Row],[Column1]])</f>
        <v>2564.35</v>
      </c>
      <c r="Y325" s="1">
        <v>2564.35</v>
      </c>
      <c r="Z325" s="1">
        <v>2564.35</v>
      </c>
      <c r="AA325">
        <v>832</v>
      </c>
      <c r="AB325" s="1" t="s">
        <v>25</v>
      </c>
      <c r="AC325" s="1" t="s">
        <v>32</v>
      </c>
      <c r="AD325">
        <v>9</v>
      </c>
      <c r="AE325" s="3" t="s">
        <v>37</v>
      </c>
    </row>
    <row r="326" spans="1:31" ht="15.75" customHeight="1" x14ac:dyDescent="0.35">
      <c r="A326" s="1" t="s">
        <v>66</v>
      </c>
      <c r="B326" s="1" t="s">
        <v>103</v>
      </c>
      <c r="C326" s="1" t="s">
        <v>87</v>
      </c>
      <c r="D326" s="1" t="s">
        <v>557</v>
      </c>
      <c r="E326" s="5">
        <v>45008</v>
      </c>
      <c r="F326" s="4" t="str">
        <f>IF(ISNUMBER(Table13[[#This Row],[Claim_Date2]]),"",Table13[[#This Row],[Claim_Date2]])</f>
        <v/>
      </c>
      <c r="G326" s="4" t="s">
        <v>1098</v>
      </c>
      <c r="H326" s="4" t="str">
        <f>LEFT(Table13[[#This Row],[Values Col 1]],3)</f>
        <v/>
      </c>
      <c r="I326" s="4" t="s">
        <v>1098</v>
      </c>
      <c r="J326" s="4" t="str">
        <f>MID(Table13[[#This Row],[Function Col]],5,2)</f>
        <v/>
      </c>
      <c r="K326" s="4" t="s">
        <v>1098</v>
      </c>
      <c r="L326" s="4" t="str">
        <f>RIGHT(Table13[[#This Row],[Function Col]],4)</f>
        <v/>
      </c>
      <c r="M326" s="4" t="s">
        <v>1098</v>
      </c>
      <c r="N326" s="4" t="str">
        <f>IF(Table13[[#This Row],[Function Col5]]="","",_xlfn.CONCAT(Table13[[#This Row],[Day Col]],"/",Table13[[#This Row],[Month Col]],"/",Table13[[#This Row],[Year Col]]))</f>
        <v/>
      </c>
      <c r="O326" s="4" t="s">
        <v>1098</v>
      </c>
      <c r="P326" s="4">
        <f>IF(ISNUMBER(Table13[[#This Row],[Claim_Date2]]),Table13[[#This Row],[Claim_Date2]],Table13[[#This Row],[Function Col32]])</f>
        <v>45008</v>
      </c>
      <c r="Q326" s="4">
        <v>45008</v>
      </c>
      <c r="R326" s="1" t="s">
        <v>16</v>
      </c>
      <c r="S326" s="1" t="s">
        <v>31</v>
      </c>
      <c r="T326" s="1" t="s">
        <v>24</v>
      </c>
      <c r="U326" s="1"/>
      <c r="V326" s="1">
        <v>-161</v>
      </c>
      <c r="W326" s="1">
        <f>IF(Table1[[#This Row],[Claim_Amount]]&lt;0,0,Table1[[#This Row],[Claim_Amount]])</f>
        <v>0</v>
      </c>
      <c r="X326" s="1" t="str">
        <f>IF(Table1[[#This Row],[Column1]]=0,"",Table1[[#This Row],[Column1]])</f>
        <v/>
      </c>
      <c r="Y326" s="1" t="s">
        <v>1098</v>
      </c>
      <c r="Z326" s="1">
        <v>2481</v>
      </c>
      <c r="AA326">
        <v>832</v>
      </c>
      <c r="AB326" s="1" t="s">
        <v>1091</v>
      </c>
      <c r="AC326" s="1" t="s">
        <v>32</v>
      </c>
      <c r="AD326">
        <v>9</v>
      </c>
      <c r="AE326" s="3" t="s">
        <v>65</v>
      </c>
    </row>
    <row r="327" spans="1:31" ht="15.75" customHeight="1" x14ac:dyDescent="0.35">
      <c r="A327" s="1" t="s">
        <v>102</v>
      </c>
      <c r="B327" t="s">
        <v>1083</v>
      </c>
      <c r="C327" t="s">
        <v>1084</v>
      </c>
      <c r="D327" s="1" t="s">
        <v>558</v>
      </c>
      <c r="E327" s="5">
        <v>45230</v>
      </c>
      <c r="F327" s="4" t="str">
        <f>IF(ISNUMBER(Table13[[#This Row],[Claim_Date2]]),"",Table13[[#This Row],[Claim_Date2]])</f>
        <v/>
      </c>
      <c r="G327" s="4" t="s">
        <v>1098</v>
      </c>
      <c r="H327" s="4" t="str">
        <f>LEFT(Table13[[#This Row],[Values Col 1]],3)</f>
        <v/>
      </c>
      <c r="I327" s="4" t="s">
        <v>1098</v>
      </c>
      <c r="J327" s="4" t="str">
        <f>MID(Table13[[#This Row],[Function Col]],5,2)</f>
        <v/>
      </c>
      <c r="K327" s="4" t="s">
        <v>1098</v>
      </c>
      <c r="L327" s="4" t="str">
        <f>RIGHT(Table13[[#This Row],[Function Col]],4)</f>
        <v/>
      </c>
      <c r="M327" s="4" t="s">
        <v>1098</v>
      </c>
      <c r="N327" s="4" t="str">
        <f>IF(Table13[[#This Row],[Function Col5]]="","",_xlfn.CONCAT(Table13[[#This Row],[Day Col]],"/",Table13[[#This Row],[Month Col]],"/",Table13[[#This Row],[Year Col]]))</f>
        <v/>
      </c>
      <c r="O327" s="4" t="s">
        <v>1098</v>
      </c>
      <c r="P327" s="4">
        <f>IF(ISNUMBER(Table13[[#This Row],[Claim_Date2]]),Table13[[#This Row],[Claim_Date2]],Table13[[#This Row],[Function Col32]])</f>
        <v>45230</v>
      </c>
      <c r="Q327" s="4">
        <v>45230</v>
      </c>
      <c r="R327" s="1" t="s">
        <v>92</v>
      </c>
      <c r="S327" s="1" t="s">
        <v>47</v>
      </c>
      <c r="T327" s="1" t="s">
        <v>61</v>
      </c>
      <c r="U327" s="1"/>
      <c r="W327">
        <f>IF(Table1[[#This Row],[Claim_Amount]]&lt;0,0,Table1[[#This Row],[Claim_Amount]])</f>
        <v>0</v>
      </c>
      <c r="X327" t="str">
        <f>IF(Table1[[#This Row],[Column1]]=0,"",Table1[[#This Row],[Column1]])</f>
        <v/>
      </c>
      <c r="Y327" t="s">
        <v>1098</v>
      </c>
      <c r="Z327">
        <v>2481</v>
      </c>
      <c r="AA327" s="1">
        <v>4781.62</v>
      </c>
      <c r="AB327" s="1" t="s">
        <v>1091</v>
      </c>
      <c r="AC327" s="1" t="s">
        <v>26</v>
      </c>
      <c r="AD327">
        <v>9</v>
      </c>
      <c r="AE327" s="3" t="s">
        <v>37</v>
      </c>
    </row>
    <row r="328" spans="1:31" ht="15.75" customHeight="1" x14ac:dyDescent="0.35">
      <c r="A328" s="1" t="s">
        <v>58</v>
      </c>
      <c r="B328" t="s">
        <v>1083</v>
      </c>
      <c r="C328" s="1" t="s">
        <v>378</v>
      </c>
      <c r="D328" s="1" t="s">
        <v>15</v>
      </c>
      <c r="E328" s="5" t="s">
        <v>15</v>
      </c>
      <c r="F328" s="4" t="str">
        <f>IF(ISNUMBER(Table13[[#This Row],[Claim_Date2]]),"",Table13[[#This Row],[Claim_Date2]])</f>
        <v>Mar 13 2023</v>
      </c>
      <c r="G328" s="4" t="s">
        <v>15</v>
      </c>
      <c r="H328" s="4" t="str">
        <f>LEFT(Table13[[#This Row],[Values Col 1]],3)</f>
        <v>Mar</v>
      </c>
      <c r="I328" s="4" t="s">
        <v>1100</v>
      </c>
      <c r="J328" s="4" t="str">
        <f>MID(Table13[[#This Row],[Function Col]],5,2)</f>
        <v>13</v>
      </c>
      <c r="K328" s="4" t="s">
        <v>1114</v>
      </c>
      <c r="L328" s="4" t="str">
        <f>RIGHT(Table13[[#This Row],[Function Col]],4)</f>
        <v>2023</v>
      </c>
      <c r="M328" s="4" t="s">
        <v>1146</v>
      </c>
      <c r="N328" s="4" t="str">
        <f>IF(Table13[[#This Row],[Function Col5]]="","",_xlfn.CONCAT(Table13[[#This Row],[Day Col]],"/",Table13[[#This Row],[Month Col]],"/",Table13[[#This Row],[Year Col]]))</f>
        <v>13/Mar/2023</v>
      </c>
      <c r="O328" s="4" t="s">
        <v>1153</v>
      </c>
      <c r="P328" s="4" t="str">
        <f>IF(ISNUMBER(Table13[[#This Row],[Claim_Date2]]),Table13[[#This Row],[Claim_Date2]],Table13[[#This Row],[Function Col32]])</f>
        <v>13/Mar/2023</v>
      </c>
      <c r="Q328" s="4">
        <v>44998</v>
      </c>
      <c r="R328" s="1" t="s">
        <v>85</v>
      </c>
      <c r="S328" t="s">
        <v>1085</v>
      </c>
      <c r="T328" s="1" t="s">
        <v>61</v>
      </c>
      <c r="U328" s="1"/>
      <c r="W328">
        <f>IF(Table1[[#This Row],[Claim_Amount]]&lt;0,0,Table1[[#This Row],[Claim_Amount]])</f>
        <v>0</v>
      </c>
      <c r="X328" t="str">
        <f>IF(Table1[[#This Row],[Column1]]=0,"",Table1[[#This Row],[Column1]])</f>
        <v/>
      </c>
      <c r="Y328" t="s">
        <v>1098</v>
      </c>
      <c r="Z328">
        <v>2481</v>
      </c>
      <c r="AA328">
        <v>832</v>
      </c>
      <c r="AB328" s="1" t="s">
        <v>25</v>
      </c>
      <c r="AC328" s="1" t="s">
        <v>57</v>
      </c>
      <c r="AD328">
        <v>9</v>
      </c>
      <c r="AE328" s="3" t="s">
        <v>65</v>
      </c>
    </row>
    <row r="329" spans="1:31" ht="15.75" customHeight="1" x14ac:dyDescent="0.35">
      <c r="A329" s="1" t="s">
        <v>187</v>
      </c>
      <c r="B329" t="s">
        <v>1083</v>
      </c>
      <c r="C329" t="s">
        <v>1084</v>
      </c>
      <c r="D329" s="1" t="s">
        <v>559</v>
      </c>
      <c r="E329" s="5" t="s">
        <v>559</v>
      </c>
      <c r="F329" s="4" t="str">
        <f>IF(ISNUMBER(Table13[[#This Row],[Claim_Date2]]),"",Table13[[#This Row],[Claim_Date2]])</f>
        <v>Feb 15 2023</v>
      </c>
      <c r="G329" s="4" t="s">
        <v>559</v>
      </c>
      <c r="H329" s="4" t="str">
        <f>LEFT(Table13[[#This Row],[Values Col 1]],3)</f>
        <v>Feb</v>
      </c>
      <c r="I329" s="4" t="s">
        <v>1109</v>
      </c>
      <c r="J329" s="4" t="str">
        <f>MID(Table13[[#This Row],[Function Col]],5,2)</f>
        <v>15</v>
      </c>
      <c r="K329" s="4" t="s">
        <v>1116</v>
      </c>
      <c r="L329" s="4" t="str">
        <f>RIGHT(Table13[[#This Row],[Function Col]],4)</f>
        <v>2023</v>
      </c>
      <c r="M329" s="4" t="s">
        <v>1146</v>
      </c>
      <c r="N329" s="4" t="str">
        <f>IF(Table13[[#This Row],[Function Col5]]="","",_xlfn.CONCAT(Table13[[#This Row],[Day Col]],"/",Table13[[#This Row],[Month Col]],"/",Table13[[#This Row],[Year Col]]))</f>
        <v>15/Feb/2023</v>
      </c>
      <c r="O329" s="4" t="s">
        <v>1245</v>
      </c>
      <c r="P329" s="4" t="str">
        <f>IF(ISNUMBER(Table13[[#This Row],[Claim_Date2]]),Table13[[#This Row],[Claim_Date2]],Table13[[#This Row],[Function Col32]])</f>
        <v>15/Feb/2023</v>
      </c>
      <c r="Q329" s="4">
        <v>44972</v>
      </c>
      <c r="R329" s="1" t="s">
        <v>16</v>
      </c>
      <c r="S329" s="1" t="s">
        <v>47</v>
      </c>
      <c r="T329" s="1" t="s">
        <v>54</v>
      </c>
      <c r="U329" s="1"/>
      <c r="W329">
        <f>IF(Table1[[#This Row],[Claim_Amount]]&lt;0,0,Table1[[#This Row],[Claim_Amount]])</f>
        <v>0</v>
      </c>
      <c r="X329" t="str">
        <f>IF(Table1[[#This Row],[Column1]]=0,"",Table1[[#This Row],[Column1]])</f>
        <v/>
      </c>
      <c r="Y329" t="s">
        <v>1098</v>
      </c>
      <c r="Z329">
        <v>2481</v>
      </c>
      <c r="AA329">
        <v>832</v>
      </c>
      <c r="AB329" s="1" t="s">
        <v>25</v>
      </c>
      <c r="AC329" s="1" t="s">
        <v>26</v>
      </c>
      <c r="AD329">
        <v>9</v>
      </c>
      <c r="AE329" s="3" t="s">
        <v>27</v>
      </c>
    </row>
    <row r="330" spans="1:31" ht="15.75" customHeight="1" x14ac:dyDescent="0.35">
      <c r="A330" s="1" t="s">
        <v>55</v>
      </c>
      <c r="B330" s="1" t="s">
        <v>560</v>
      </c>
      <c r="C330" t="s">
        <v>1084</v>
      </c>
      <c r="D330" s="1" t="s">
        <v>450</v>
      </c>
      <c r="E330" s="5" t="s">
        <v>450</v>
      </c>
      <c r="F330" s="4" t="str">
        <f>IF(ISNUMBER(Table13[[#This Row],[Claim_Date2]]),"",Table13[[#This Row],[Claim_Date2]])</f>
        <v>Jul 21 2023</v>
      </c>
      <c r="G330" s="4" t="s">
        <v>450</v>
      </c>
      <c r="H330" s="4" t="str">
        <f>LEFT(Table13[[#This Row],[Values Col 1]],3)</f>
        <v>Jul</v>
      </c>
      <c r="I330" s="4" t="s">
        <v>1101</v>
      </c>
      <c r="J330" s="4" t="str">
        <f>MID(Table13[[#This Row],[Function Col]],5,2)</f>
        <v>21</v>
      </c>
      <c r="K330" s="4" t="s">
        <v>1136</v>
      </c>
      <c r="L330" s="4" t="str">
        <f>RIGHT(Table13[[#This Row],[Function Col]],4)</f>
        <v>2023</v>
      </c>
      <c r="M330" s="4" t="s">
        <v>1146</v>
      </c>
      <c r="N330" s="4" t="str">
        <f>IF(Table13[[#This Row],[Function Col5]]="","",_xlfn.CONCAT(Table13[[#This Row],[Day Col]],"/",Table13[[#This Row],[Month Col]],"/",Table13[[#This Row],[Year Col]]))</f>
        <v>21/Jul/2023</v>
      </c>
      <c r="O330" s="4" t="s">
        <v>1225</v>
      </c>
      <c r="P330" s="4" t="str">
        <f>IF(ISNUMBER(Table13[[#This Row],[Claim_Date2]]),Table13[[#This Row],[Claim_Date2]],Table13[[#This Row],[Function Col32]])</f>
        <v>21/Jul/2023</v>
      </c>
      <c r="Q330" s="4">
        <v>45128</v>
      </c>
      <c r="R330" s="1" t="s">
        <v>92</v>
      </c>
      <c r="S330" t="s">
        <v>1085</v>
      </c>
      <c r="T330" s="1" t="s">
        <v>48</v>
      </c>
      <c r="U330" s="1"/>
      <c r="W330">
        <f>IF(Table1[[#This Row],[Claim_Amount]]&lt;0,0,Table1[[#This Row],[Claim_Amount]])</f>
        <v>0</v>
      </c>
      <c r="X330" t="str">
        <f>IF(Table1[[#This Row],[Column1]]=0,"",Table1[[#This Row],[Column1]])</f>
        <v/>
      </c>
      <c r="Y330" t="s">
        <v>1098</v>
      </c>
      <c r="Z330">
        <v>2481</v>
      </c>
      <c r="AA330">
        <v>832</v>
      </c>
      <c r="AB330" s="1" t="s">
        <v>17</v>
      </c>
      <c r="AC330" s="1" t="s">
        <v>18</v>
      </c>
      <c r="AD330">
        <v>9</v>
      </c>
      <c r="AE330" s="3" t="s">
        <v>27</v>
      </c>
    </row>
    <row r="331" spans="1:31" ht="15.75" customHeight="1" x14ac:dyDescent="0.35">
      <c r="A331" s="1" t="s">
        <v>70</v>
      </c>
      <c r="B331" t="s">
        <v>1083</v>
      </c>
      <c r="C331" s="1" t="s">
        <v>158</v>
      </c>
      <c r="D331" s="1" t="s">
        <v>561</v>
      </c>
      <c r="E331" s="5" t="s">
        <v>561</v>
      </c>
      <c r="F331" s="4" t="str">
        <f>IF(ISNUMBER(Table13[[#This Row],[Claim_Date2]]),"",Table13[[#This Row],[Claim_Date2]])</f>
        <v>Feb 06 2023</v>
      </c>
      <c r="G331" s="4" t="s">
        <v>561</v>
      </c>
      <c r="H331" s="4" t="str">
        <f>LEFT(Table13[[#This Row],[Values Col 1]],3)</f>
        <v>Feb</v>
      </c>
      <c r="I331" s="4" t="s">
        <v>1109</v>
      </c>
      <c r="J331" s="4" t="str">
        <f>MID(Table13[[#This Row],[Function Col]],5,2)</f>
        <v>06</v>
      </c>
      <c r="K331" s="4" t="s">
        <v>1132</v>
      </c>
      <c r="L331" s="4" t="str">
        <f>RIGHT(Table13[[#This Row],[Function Col]],4)</f>
        <v>2023</v>
      </c>
      <c r="M331" s="4" t="s">
        <v>1146</v>
      </c>
      <c r="N331" s="4" t="str">
        <f>IF(Table13[[#This Row],[Function Col5]]="","",_xlfn.CONCAT(Table13[[#This Row],[Day Col]],"/",Table13[[#This Row],[Month Col]],"/",Table13[[#This Row],[Year Col]]))</f>
        <v>06/Feb/2023</v>
      </c>
      <c r="O331" s="4" t="s">
        <v>1246</v>
      </c>
      <c r="P331" s="4" t="str">
        <f>IF(ISNUMBER(Table13[[#This Row],[Claim_Date2]]),Table13[[#This Row],[Claim_Date2]],Table13[[#This Row],[Function Col32]])</f>
        <v>06/Feb/2023</v>
      </c>
      <c r="Q331" s="4">
        <v>44963</v>
      </c>
      <c r="R331" s="1" t="s">
        <v>16</v>
      </c>
      <c r="S331" s="1" t="s">
        <v>93</v>
      </c>
      <c r="T331" t="s">
        <v>1086</v>
      </c>
      <c r="V331" s="1">
        <v>-178</v>
      </c>
      <c r="W331" s="1">
        <f>IF(Table1[[#This Row],[Claim_Amount]]&lt;0,0,Table1[[#This Row],[Claim_Amount]])</f>
        <v>0</v>
      </c>
      <c r="X331" s="1" t="str">
        <f>IF(Table1[[#This Row],[Column1]]=0,"",Table1[[#This Row],[Column1]])</f>
        <v/>
      </c>
      <c r="Y331" s="1" t="s">
        <v>1098</v>
      </c>
      <c r="Z331" s="1">
        <v>2481</v>
      </c>
      <c r="AA331" s="1">
        <v>4876.13</v>
      </c>
      <c r="AB331" s="1" t="s">
        <v>25</v>
      </c>
      <c r="AC331" s="1" t="s">
        <v>18</v>
      </c>
      <c r="AD331">
        <v>9</v>
      </c>
      <c r="AE331" s="3" t="s">
        <v>37</v>
      </c>
    </row>
    <row r="332" spans="1:31" ht="15.75" customHeight="1" x14ac:dyDescent="0.35">
      <c r="A332" s="1" t="s">
        <v>179</v>
      </c>
      <c r="B332" t="s">
        <v>1083</v>
      </c>
      <c r="C332" s="1" t="s">
        <v>75</v>
      </c>
      <c r="D332" s="1" t="s">
        <v>562</v>
      </c>
      <c r="E332" s="5" t="s">
        <v>562</v>
      </c>
      <c r="F332" s="4" t="str">
        <f>IF(ISNUMBER(Table13[[#This Row],[Claim_Date2]]),"",Table13[[#This Row],[Claim_Date2]])</f>
        <v>Aug 06 2023</v>
      </c>
      <c r="G332" s="4" t="s">
        <v>562</v>
      </c>
      <c r="H332" s="4" t="str">
        <f>LEFT(Table13[[#This Row],[Values Col 1]],3)</f>
        <v>Aug</v>
      </c>
      <c r="I332" s="4" t="s">
        <v>1106</v>
      </c>
      <c r="J332" s="4" t="str">
        <f>MID(Table13[[#This Row],[Function Col]],5,2)</f>
        <v>06</v>
      </c>
      <c r="K332" s="4" t="s">
        <v>1132</v>
      </c>
      <c r="L332" s="4" t="str">
        <f>RIGHT(Table13[[#This Row],[Function Col]],4)</f>
        <v>2023</v>
      </c>
      <c r="M332" s="4" t="s">
        <v>1146</v>
      </c>
      <c r="N332" s="4" t="str">
        <f>IF(Table13[[#This Row],[Function Col5]]="","",_xlfn.CONCAT(Table13[[#This Row],[Day Col]],"/",Table13[[#This Row],[Month Col]],"/",Table13[[#This Row],[Year Col]]))</f>
        <v>06/Aug/2023</v>
      </c>
      <c r="O332" s="4" t="s">
        <v>1247</v>
      </c>
      <c r="P332" s="4" t="str">
        <f>IF(ISNUMBER(Table13[[#This Row],[Claim_Date2]]),Table13[[#This Row],[Claim_Date2]],Table13[[#This Row],[Function Col32]])</f>
        <v>06/Aug/2023</v>
      </c>
      <c r="Q332" s="4">
        <v>45144</v>
      </c>
      <c r="R332" s="1" t="s">
        <v>85</v>
      </c>
      <c r="S332" s="1" t="s">
        <v>53</v>
      </c>
      <c r="T332" s="1" t="s">
        <v>48</v>
      </c>
      <c r="U332" s="1"/>
      <c r="V332" s="1">
        <v>-57</v>
      </c>
      <c r="W332" s="1">
        <f>IF(Table1[[#This Row],[Claim_Amount]]&lt;0,0,Table1[[#This Row],[Claim_Amount]])</f>
        <v>0</v>
      </c>
      <c r="X332" s="1" t="str">
        <f>IF(Table1[[#This Row],[Column1]]=0,"",Table1[[#This Row],[Column1]])</f>
        <v/>
      </c>
      <c r="Y332" s="1" t="s">
        <v>1098</v>
      </c>
      <c r="Z332" s="1">
        <v>2481</v>
      </c>
      <c r="AA332">
        <v>832</v>
      </c>
      <c r="AB332" s="1" t="s">
        <v>25</v>
      </c>
      <c r="AC332" s="1" t="s">
        <v>18</v>
      </c>
      <c r="AD332">
        <v>9</v>
      </c>
      <c r="AE332" s="3" t="s">
        <v>27</v>
      </c>
    </row>
    <row r="333" spans="1:31" ht="15.75" customHeight="1" x14ac:dyDescent="0.35">
      <c r="A333" s="1" t="s">
        <v>70</v>
      </c>
      <c r="B333" t="s">
        <v>1083</v>
      </c>
      <c r="C333" s="1" t="s">
        <v>356</v>
      </c>
      <c r="D333" s="1" t="s">
        <v>563</v>
      </c>
      <c r="E333" s="5" t="s">
        <v>563</v>
      </c>
      <c r="F333" s="4" t="str">
        <f>IF(ISNUMBER(Table13[[#This Row],[Claim_Date2]]),"",Table13[[#This Row],[Claim_Date2]])</f>
        <v>Sep 05 2023</v>
      </c>
      <c r="G333" s="4" t="s">
        <v>563</v>
      </c>
      <c r="H333" s="4" t="str">
        <f>LEFT(Table13[[#This Row],[Values Col 1]],3)</f>
        <v>Sep</v>
      </c>
      <c r="I333" s="4" t="s">
        <v>1102</v>
      </c>
      <c r="J333" s="4" t="str">
        <f>MID(Table13[[#This Row],[Function Col]],5,2)</f>
        <v>05</v>
      </c>
      <c r="K333" s="4" t="s">
        <v>1144</v>
      </c>
      <c r="L333" s="4" t="str">
        <f>RIGHT(Table13[[#This Row],[Function Col]],4)</f>
        <v>2023</v>
      </c>
      <c r="M333" s="4" t="s">
        <v>1146</v>
      </c>
      <c r="N333" s="4" t="str">
        <f>IF(Table13[[#This Row],[Function Col5]]="","",_xlfn.CONCAT(Table13[[#This Row],[Day Col]],"/",Table13[[#This Row],[Month Col]],"/",Table13[[#This Row],[Year Col]]))</f>
        <v>05/Sep/2023</v>
      </c>
      <c r="O333" s="4" t="s">
        <v>1248</v>
      </c>
      <c r="P333" s="4" t="str">
        <f>IF(ISNUMBER(Table13[[#This Row],[Claim_Date2]]),Table13[[#This Row],[Claim_Date2]],Table13[[#This Row],[Function Col32]])</f>
        <v>05/Sep/2023</v>
      </c>
      <c r="Q333" s="4">
        <v>45174</v>
      </c>
      <c r="R333" s="1" t="s">
        <v>92</v>
      </c>
      <c r="S333" s="1" t="s">
        <v>23</v>
      </c>
      <c r="T333" s="1" t="s">
        <v>54</v>
      </c>
      <c r="U333" s="1"/>
      <c r="V333" s="1">
        <v>2433.59</v>
      </c>
      <c r="W333" s="1">
        <f>IF(Table1[[#This Row],[Claim_Amount]]&lt;0,0,Table1[[#This Row],[Claim_Amount]])</f>
        <v>2433.59</v>
      </c>
      <c r="X333" s="1">
        <f>IF(Table1[[#This Row],[Column1]]=0,"",Table1[[#This Row],[Column1]])</f>
        <v>2433.59</v>
      </c>
      <c r="Y333" s="1">
        <v>2433.59</v>
      </c>
      <c r="Z333" s="1">
        <v>2433.59</v>
      </c>
      <c r="AA333">
        <v>832</v>
      </c>
      <c r="AB333" s="1" t="s">
        <v>1091</v>
      </c>
      <c r="AC333" s="1" t="s">
        <v>32</v>
      </c>
      <c r="AD333">
        <v>9</v>
      </c>
      <c r="AE333" s="3" t="s">
        <v>19</v>
      </c>
    </row>
    <row r="334" spans="1:31" ht="15.75" customHeight="1" x14ac:dyDescent="0.35">
      <c r="A334" s="1" t="s">
        <v>302</v>
      </c>
      <c r="B334" s="1" t="s">
        <v>564</v>
      </c>
      <c r="C334" t="s">
        <v>1084</v>
      </c>
      <c r="D334" s="1" t="s">
        <v>565</v>
      </c>
      <c r="E334" s="5">
        <v>45249</v>
      </c>
      <c r="F334" s="4" t="str">
        <f>IF(ISNUMBER(Table13[[#This Row],[Claim_Date2]]),"",Table13[[#This Row],[Claim_Date2]])</f>
        <v/>
      </c>
      <c r="G334" s="4" t="s">
        <v>1098</v>
      </c>
      <c r="H334" s="4" t="str">
        <f>LEFT(Table13[[#This Row],[Values Col 1]],3)</f>
        <v/>
      </c>
      <c r="I334" s="4" t="s">
        <v>1098</v>
      </c>
      <c r="J334" s="4" t="str">
        <f>MID(Table13[[#This Row],[Function Col]],5,2)</f>
        <v/>
      </c>
      <c r="K334" s="4" t="s">
        <v>1098</v>
      </c>
      <c r="L334" s="4" t="str">
        <f>RIGHT(Table13[[#This Row],[Function Col]],4)</f>
        <v/>
      </c>
      <c r="M334" s="4" t="s">
        <v>1098</v>
      </c>
      <c r="N334" s="4" t="str">
        <f>IF(Table13[[#This Row],[Function Col5]]="","",_xlfn.CONCAT(Table13[[#This Row],[Day Col]],"/",Table13[[#This Row],[Month Col]],"/",Table13[[#This Row],[Year Col]]))</f>
        <v/>
      </c>
      <c r="O334" s="4" t="s">
        <v>1098</v>
      </c>
      <c r="P334" s="4">
        <f>IF(ISNUMBER(Table13[[#This Row],[Claim_Date2]]),Table13[[#This Row],[Claim_Date2]],Table13[[#This Row],[Function Col32]])</f>
        <v>45249</v>
      </c>
      <c r="Q334" s="4">
        <v>45249</v>
      </c>
      <c r="R334" s="1" t="s">
        <v>16</v>
      </c>
      <c r="S334" t="s">
        <v>1085</v>
      </c>
      <c r="T334" s="1" t="s">
        <v>54</v>
      </c>
      <c r="U334" s="1"/>
      <c r="V334" s="1">
        <v>4000.59</v>
      </c>
      <c r="W334" s="1">
        <f>IF(Table1[[#This Row],[Claim_Amount]]&lt;0,0,Table1[[#This Row],[Claim_Amount]])</f>
        <v>4000.59</v>
      </c>
      <c r="X334" s="1">
        <f>IF(Table1[[#This Row],[Column1]]=0,"",Table1[[#This Row],[Column1]])</f>
        <v>4000.59</v>
      </c>
      <c r="Y334" s="1">
        <v>4000.59</v>
      </c>
      <c r="Z334" s="1">
        <v>4000.59</v>
      </c>
      <c r="AA334">
        <v>832</v>
      </c>
      <c r="AB334" s="1" t="s">
        <v>25</v>
      </c>
      <c r="AC334" s="1" t="s">
        <v>1093</v>
      </c>
      <c r="AD334">
        <v>9</v>
      </c>
      <c r="AE334" s="3" t="s">
        <v>37</v>
      </c>
    </row>
    <row r="335" spans="1:31" ht="15.75" customHeight="1" x14ac:dyDescent="0.35">
      <c r="A335" s="1" t="s">
        <v>209</v>
      </c>
      <c r="B335" t="s">
        <v>1083</v>
      </c>
      <c r="C335" t="s">
        <v>1084</v>
      </c>
      <c r="D335" s="1" t="s">
        <v>566</v>
      </c>
      <c r="E335" s="5">
        <v>45077</v>
      </c>
      <c r="F335" s="4" t="str">
        <f>IF(ISNUMBER(Table13[[#This Row],[Claim_Date2]]),"",Table13[[#This Row],[Claim_Date2]])</f>
        <v/>
      </c>
      <c r="G335" s="4" t="s">
        <v>1098</v>
      </c>
      <c r="H335" s="4" t="str">
        <f>LEFT(Table13[[#This Row],[Values Col 1]],3)</f>
        <v/>
      </c>
      <c r="I335" s="4" t="s">
        <v>1098</v>
      </c>
      <c r="J335" s="4" t="str">
        <f>MID(Table13[[#This Row],[Function Col]],5,2)</f>
        <v/>
      </c>
      <c r="K335" s="4" t="s">
        <v>1098</v>
      </c>
      <c r="L335" s="4" t="str">
        <f>RIGHT(Table13[[#This Row],[Function Col]],4)</f>
        <v/>
      </c>
      <c r="M335" s="4" t="s">
        <v>1098</v>
      </c>
      <c r="N335" s="4" t="str">
        <f>IF(Table13[[#This Row],[Function Col5]]="","",_xlfn.CONCAT(Table13[[#This Row],[Day Col]],"/",Table13[[#This Row],[Month Col]],"/",Table13[[#This Row],[Year Col]]))</f>
        <v/>
      </c>
      <c r="O335" s="4" t="s">
        <v>1098</v>
      </c>
      <c r="P335" s="4">
        <f>IF(ISNUMBER(Table13[[#This Row],[Claim_Date2]]),Table13[[#This Row],[Claim_Date2]],Table13[[#This Row],[Function Col32]])</f>
        <v>45077</v>
      </c>
      <c r="Q335" s="4">
        <v>45077</v>
      </c>
      <c r="R335" s="1" t="s">
        <v>16</v>
      </c>
      <c r="S335" s="1" t="s">
        <v>47</v>
      </c>
      <c r="T335" t="s">
        <v>1086</v>
      </c>
      <c r="W335">
        <f>IF(Table1[[#This Row],[Claim_Amount]]&lt;0,0,Table1[[#This Row],[Claim_Amount]])</f>
        <v>0</v>
      </c>
      <c r="X335" t="str">
        <f>IF(Table1[[#This Row],[Column1]]=0,"",Table1[[#This Row],[Column1]])</f>
        <v/>
      </c>
      <c r="Y335" t="s">
        <v>1098</v>
      </c>
      <c r="Z335">
        <v>2481</v>
      </c>
      <c r="AA335">
        <v>832</v>
      </c>
      <c r="AB335" s="1" t="s">
        <v>1091</v>
      </c>
      <c r="AC335" s="1" t="s">
        <v>18</v>
      </c>
      <c r="AD335" s="1">
        <v>36</v>
      </c>
      <c r="AE335" s="3" t="s">
        <v>27</v>
      </c>
    </row>
    <row r="336" spans="1:31" ht="15.75" customHeight="1" x14ac:dyDescent="0.35">
      <c r="A336" s="1" t="s">
        <v>148</v>
      </c>
      <c r="B336" s="1" t="s">
        <v>567</v>
      </c>
      <c r="C336" t="s">
        <v>1084</v>
      </c>
      <c r="D336" s="1" t="s">
        <v>568</v>
      </c>
      <c r="E336" s="5">
        <v>44969</v>
      </c>
      <c r="F336" s="4" t="str">
        <f>IF(ISNUMBER(Table13[[#This Row],[Claim_Date2]]),"",Table13[[#This Row],[Claim_Date2]])</f>
        <v/>
      </c>
      <c r="G336" s="4" t="s">
        <v>1098</v>
      </c>
      <c r="H336" s="4" t="str">
        <f>LEFT(Table13[[#This Row],[Values Col 1]],3)</f>
        <v/>
      </c>
      <c r="I336" s="4" t="s">
        <v>1098</v>
      </c>
      <c r="J336" s="4" t="str">
        <f>MID(Table13[[#This Row],[Function Col]],5,2)</f>
        <v/>
      </c>
      <c r="K336" s="4" t="s">
        <v>1098</v>
      </c>
      <c r="L336" s="4" t="str">
        <f>RIGHT(Table13[[#This Row],[Function Col]],4)</f>
        <v/>
      </c>
      <c r="M336" s="4" t="s">
        <v>1098</v>
      </c>
      <c r="N336" s="4" t="str">
        <f>IF(Table13[[#This Row],[Function Col5]]="","",_xlfn.CONCAT(Table13[[#This Row],[Day Col]],"/",Table13[[#This Row],[Month Col]],"/",Table13[[#This Row],[Year Col]]))</f>
        <v/>
      </c>
      <c r="O336" s="4" t="s">
        <v>1098</v>
      </c>
      <c r="P336" s="4">
        <f>IF(ISNUMBER(Table13[[#This Row],[Claim_Date2]]),Table13[[#This Row],[Claim_Date2]],Table13[[#This Row],[Function Col32]])</f>
        <v>44969</v>
      </c>
      <c r="Q336" s="4">
        <v>44969</v>
      </c>
      <c r="R336" s="1" t="s">
        <v>85</v>
      </c>
      <c r="S336" s="1" t="s">
        <v>31</v>
      </c>
      <c r="T336" s="1" t="s">
        <v>41</v>
      </c>
      <c r="U336" s="1"/>
      <c r="W336">
        <f>IF(Table1[[#This Row],[Claim_Amount]]&lt;0,0,Table1[[#This Row],[Claim_Amount]])</f>
        <v>0</v>
      </c>
      <c r="X336" t="str">
        <f>IF(Table1[[#This Row],[Column1]]=0,"",Table1[[#This Row],[Column1]])</f>
        <v/>
      </c>
      <c r="Y336" t="s">
        <v>1098</v>
      </c>
      <c r="Z336">
        <v>2481</v>
      </c>
      <c r="AA336" s="1">
        <v>4296.3999999999996</v>
      </c>
      <c r="AB336" s="1" t="s">
        <v>25</v>
      </c>
      <c r="AC336" s="1" t="s">
        <v>57</v>
      </c>
      <c r="AD336">
        <v>9</v>
      </c>
      <c r="AE336" s="3" t="s">
        <v>65</v>
      </c>
    </row>
    <row r="337" spans="1:31" ht="15.75" customHeight="1" x14ac:dyDescent="0.35">
      <c r="A337" s="1" t="s">
        <v>249</v>
      </c>
      <c r="B337" t="s">
        <v>1083</v>
      </c>
      <c r="C337" t="s">
        <v>1084</v>
      </c>
      <c r="D337" s="1" t="s">
        <v>569</v>
      </c>
      <c r="E337" s="5">
        <v>45285</v>
      </c>
      <c r="F337" s="4" t="str">
        <f>IF(ISNUMBER(Table13[[#This Row],[Claim_Date2]]),"",Table13[[#This Row],[Claim_Date2]])</f>
        <v/>
      </c>
      <c r="G337" s="4" t="s">
        <v>1098</v>
      </c>
      <c r="H337" s="4" t="str">
        <f>LEFT(Table13[[#This Row],[Values Col 1]],3)</f>
        <v/>
      </c>
      <c r="I337" s="4" t="s">
        <v>1098</v>
      </c>
      <c r="J337" s="4" t="str">
        <f>MID(Table13[[#This Row],[Function Col]],5,2)</f>
        <v/>
      </c>
      <c r="K337" s="4" t="s">
        <v>1098</v>
      </c>
      <c r="L337" s="4" t="str">
        <f>RIGHT(Table13[[#This Row],[Function Col]],4)</f>
        <v/>
      </c>
      <c r="M337" s="4" t="s">
        <v>1098</v>
      </c>
      <c r="N337" s="4" t="str">
        <f>IF(Table13[[#This Row],[Function Col5]]="","",_xlfn.CONCAT(Table13[[#This Row],[Day Col]],"/",Table13[[#This Row],[Month Col]],"/",Table13[[#This Row],[Year Col]]))</f>
        <v/>
      </c>
      <c r="O337" s="4" t="s">
        <v>1098</v>
      </c>
      <c r="P337" s="4">
        <f>IF(ISNUMBER(Table13[[#This Row],[Claim_Date2]]),Table13[[#This Row],[Claim_Date2]],Table13[[#This Row],[Function Col32]])</f>
        <v>45285</v>
      </c>
      <c r="Q337" s="4">
        <v>45285</v>
      </c>
      <c r="R337" s="1" t="s">
        <v>85</v>
      </c>
      <c r="S337" s="1" t="s">
        <v>47</v>
      </c>
      <c r="T337" s="1" t="s">
        <v>61</v>
      </c>
      <c r="U337" s="1"/>
      <c r="W337">
        <f>IF(Table1[[#This Row],[Claim_Amount]]&lt;0,0,Table1[[#This Row],[Claim_Amount]])</f>
        <v>0</v>
      </c>
      <c r="X337" t="str">
        <f>IF(Table1[[#This Row],[Column1]]=0,"",Table1[[#This Row],[Column1]])</f>
        <v/>
      </c>
      <c r="Y337" t="s">
        <v>1098</v>
      </c>
      <c r="Z337">
        <v>2481</v>
      </c>
      <c r="AA337" s="1">
        <v>2997.94</v>
      </c>
      <c r="AB337" s="1" t="s">
        <v>25</v>
      </c>
      <c r="AC337" s="1" t="s">
        <v>1093</v>
      </c>
      <c r="AD337">
        <v>9</v>
      </c>
      <c r="AE337" s="3" t="s">
        <v>65</v>
      </c>
    </row>
    <row r="338" spans="1:31" ht="15.75" customHeight="1" x14ac:dyDescent="0.35">
      <c r="A338" s="1" t="s">
        <v>249</v>
      </c>
      <c r="B338" t="s">
        <v>1083</v>
      </c>
      <c r="C338" s="1" t="s">
        <v>308</v>
      </c>
      <c r="D338" s="1" t="s">
        <v>570</v>
      </c>
      <c r="E338" s="5">
        <v>45034</v>
      </c>
      <c r="F338" s="4" t="str">
        <f>IF(ISNUMBER(Table13[[#This Row],[Claim_Date2]]),"",Table13[[#This Row],[Claim_Date2]])</f>
        <v/>
      </c>
      <c r="G338" s="4" t="s">
        <v>1098</v>
      </c>
      <c r="H338" s="4" t="str">
        <f>LEFT(Table13[[#This Row],[Values Col 1]],3)</f>
        <v/>
      </c>
      <c r="I338" s="4" t="s">
        <v>1098</v>
      </c>
      <c r="J338" s="4" t="str">
        <f>MID(Table13[[#This Row],[Function Col]],5,2)</f>
        <v/>
      </c>
      <c r="K338" s="4" t="s">
        <v>1098</v>
      </c>
      <c r="L338" s="4" t="str">
        <f>RIGHT(Table13[[#This Row],[Function Col]],4)</f>
        <v/>
      </c>
      <c r="M338" s="4" t="s">
        <v>1098</v>
      </c>
      <c r="N338" s="4" t="str">
        <f>IF(Table13[[#This Row],[Function Col5]]="","",_xlfn.CONCAT(Table13[[#This Row],[Day Col]],"/",Table13[[#This Row],[Month Col]],"/",Table13[[#This Row],[Year Col]]))</f>
        <v/>
      </c>
      <c r="O338" s="4" t="s">
        <v>1098</v>
      </c>
      <c r="P338" s="4">
        <f>IF(ISNUMBER(Table13[[#This Row],[Claim_Date2]]),Table13[[#This Row],[Claim_Date2]],Table13[[#This Row],[Function Col32]])</f>
        <v>45034</v>
      </c>
      <c r="Q338" s="4">
        <v>45034</v>
      </c>
      <c r="R338" s="1" t="s">
        <v>16</v>
      </c>
      <c r="S338" s="1" t="s">
        <v>31</v>
      </c>
      <c r="T338" s="1" t="s">
        <v>61</v>
      </c>
      <c r="U338" s="1"/>
      <c r="V338" s="1">
        <v>-128</v>
      </c>
      <c r="W338" s="1">
        <f>IF(Table1[[#This Row],[Claim_Amount]]&lt;0,0,Table1[[#This Row],[Claim_Amount]])</f>
        <v>0</v>
      </c>
      <c r="X338" s="1" t="str">
        <f>IF(Table1[[#This Row],[Column1]]=0,"",Table1[[#This Row],[Column1]])</f>
        <v/>
      </c>
      <c r="Y338" s="1" t="s">
        <v>1098</v>
      </c>
      <c r="Z338" s="1">
        <v>2481</v>
      </c>
      <c r="AA338">
        <v>832</v>
      </c>
      <c r="AB338" s="1" t="s">
        <v>1091</v>
      </c>
      <c r="AC338" s="1" t="s">
        <v>18</v>
      </c>
      <c r="AD338">
        <v>9</v>
      </c>
      <c r="AE338" s="3" t="s">
        <v>37</v>
      </c>
    </row>
    <row r="339" spans="1:31" ht="15.75" customHeight="1" x14ac:dyDescent="0.35">
      <c r="A339" s="1" t="s">
        <v>285</v>
      </c>
      <c r="B339" s="1" t="s">
        <v>571</v>
      </c>
      <c r="C339" t="s">
        <v>1084</v>
      </c>
      <c r="D339" s="1" t="s">
        <v>572</v>
      </c>
      <c r="E339" s="5">
        <v>45074</v>
      </c>
      <c r="F339" s="4" t="str">
        <f>IF(ISNUMBER(Table13[[#This Row],[Claim_Date2]]),"",Table13[[#This Row],[Claim_Date2]])</f>
        <v/>
      </c>
      <c r="G339" s="4" t="s">
        <v>1098</v>
      </c>
      <c r="H339" s="4" t="str">
        <f>LEFT(Table13[[#This Row],[Values Col 1]],3)</f>
        <v/>
      </c>
      <c r="I339" s="4" t="s">
        <v>1098</v>
      </c>
      <c r="J339" s="4" t="str">
        <f>MID(Table13[[#This Row],[Function Col]],5,2)</f>
        <v/>
      </c>
      <c r="K339" s="4" t="s">
        <v>1098</v>
      </c>
      <c r="L339" s="4" t="str">
        <f>RIGHT(Table13[[#This Row],[Function Col]],4)</f>
        <v/>
      </c>
      <c r="M339" s="4" t="s">
        <v>1098</v>
      </c>
      <c r="N339" s="4" t="str">
        <f>IF(Table13[[#This Row],[Function Col5]]="","",_xlfn.CONCAT(Table13[[#This Row],[Day Col]],"/",Table13[[#This Row],[Month Col]],"/",Table13[[#This Row],[Year Col]]))</f>
        <v/>
      </c>
      <c r="O339" s="4" t="s">
        <v>1098</v>
      </c>
      <c r="P339" s="4">
        <f>IF(ISNUMBER(Table13[[#This Row],[Claim_Date2]]),Table13[[#This Row],[Claim_Date2]],Table13[[#This Row],[Function Col32]])</f>
        <v>45074</v>
      </c>
      <c r="Q339" s="4">
        <v>45074</v>
      </c>
      <c r="R339" s="1" t="s">
        <v>16</v>
      </c>
      <c r="S339" s="1" t="s">
        <v>31</v>
      </c>
      <c r="T339" s="1" t="s">
        <v>54</v>
      </c>
      <c r="U339" s="1"/>
      <c r="V339" s="1">
        <v>3430.24</v>
      </c>
      <c r="W339" s="1">
        <f>IF(Table1[[#This Row],[Claim_Amount]]&lt;0,0,Table1[[#This Row],[Claim_Amount]])</f>
        <v>3430.24</v>
      </c>
      <c r="X339" s="1">
        <f>IF(Table1[[#This Row],[Column1]]=0,"",Table1[[#This Row],[Column1]])</f>
        <v>3430.24</v>
      </c>
      <c r="Y339" s="1">
        <v>3430.24</v>
      </c>
      <c r="Z339" s="1">
        <v>3430.24</v>
      </c>
      <c r="AA339">
        <v>832</v>
      </c>
      <c r="AB339" s="1" t="s">
        <v>42</v>
      </c>
      <c r="AC339" s="1" t="s">
        <v>1093</v>
      </c>
      <c r="AD339">
        <v>9</v>
      </c>
      <c r="AE339" s="3" t="s">
        <v>27</v>
      </c>
    </row>
    <row r="340" spans="1:31" ht="15.75" customHeight="1" x14ac:dyDescent="0.35">
      <c r="A340" s="1" t="s">
        <v>114</v>
      </c>
      <c r="B340" t="s">
        <v>1083</v>
      </c>
      <c r="C340" t="s">
        <v>1084</v>
      </c>
      <c r="D340" s="1" t="s">
        <v>573</v>
      </c>
      <c r="E340" s="5">
        <v>45226</v>
      </c>
      <c r="F340" s="4" t="str">
        <f>IF(ISNUMBER(Table13[[#This Row],[Claim_Date2]]),"",Table13[[#This Row],[Claim_Date2]])</f>
        <v/>
      </c>
      <c r="G340" s="4" t="s">
        <v>1098</v>
      </c>
      <c r="H340" s="4" t="str">
        <f>LEFT(Table13[[#This Row],[Values Col 1]],3)</f>
        <v/>
      </c>
      <c r="I340" s="4" t="s">
        <v>1098</v>
      </c>
      <c r="J340" s="4" t="str">
        <f>MID(Table13[[#This Row],[Function Col]],5,2)</f>
        <v/>
      </c>
      <c r="K340" s="4" t="s">
        <v>1098</v>
      </c>
      <c r="L340" s="4" t="str">
        <f>RIGHT(Table13[[#This Row],[Function Col]],4)</f>
        <v/>
      </c>
      <c r="M340" s="4" t="s">
        <v>1098</v>
      </c>
      <c r="N340" s="4" t="str">
        <f>IF(Table13[[#This Row],[Function Col5]]="","",_xlfn.CONCAT(Table13[[#This Row],[Day Col]],"/",Table13[[#This Row],[Month Col]],"/",Table13[[#This Row],[Year Col]]))</f>
        <v/>
      </c>
      <c r="O340" s="4" t="s">
        <v>1098</v>
      </c>
      <c r="P340" s="4">
        <f>IF(ISNUMBER(Table13[[#This Row],[Claim_Date2]]),Table13[[#This Row],[Claim_Date2]],Table13[[#This Row],[Function Col32]])</f>
        <v>45226</v>
      </c>
      <c r="Q340" s="4">
        <v>45226</v>
      </c>
      <c r="R340" s="1" t="s">
        <v>85</v>
      </c>
      <c r="S340" t="s">
        <v>1085</v>
      </c>
      <c r="T340" t="s">
        <v>1086</v>
      </c>
      <c r="W340">
        <f>IF(Table1[[#This Row],[Claim_Amount]]&lt;0,0,Table1[[#This Row],[Claim_Amount]])</f>
        <v>0</v>
      </c>
      <c r="X340" t="str">
        <f>IF(Table1[[#This Row],[Column1]]=0,"",Table1[[#This Row],[Column1]])</f>
        <v/>
      </c>
      <c r="Y340" t="s">
        <v>1098</v>
      </c>
      <c r="Z340">
        <v>2481</v>
      </c>
      <c r="AA340">
        <v>832</v>
      </c>
      <c r="AB340" s="1" t="s">
        <v>17</v>
      </c>
      <c r="AC340" s="1" t="s">
        <v>32</v>
      </c>
      <c r="AD340" s="1">
        <v>35</v>
      </c>
      <c r="AE340" s="3" t="s">
        <v>19</v>
      </c>
    </row>
    <row r="341" spans="1:31" ht="15.75" customHeight="1" x14ac:dyDescent="0.35">
      <c r="A341" s="1" t="s">
        <v>430</v>
      </c>
      <c r="B341" t="s">
        <v>1083</v>
      </c>
      <c r="C341" s="1" t="s">
        <v>574</v>
      </c>
      <c r="D341" s="1" t="s">
        <v>40</v>
      </c>
      <c r="E341" s="5">
        <v>45277</v>
      </c>
      <c r="F341" s="4" t="str">
        <f>IF(ISNUMBER(Table13[[#This Row],[Claim_Date2]]),"",Table13[[#This Row],[Claim_Date2]])</f>
        <v/>
      </c>
      <c r="G341" s="4" t="s">
        <v>1098</v>
      </c>
      <c r="H341" s="4" t="str">
        <f>LEFT(Table13[[#This Row],[Values Col 1]],3)</f>
        <v/>
      </c>
      <c r="I341" s="4" t="s">
        <v>1098</v>
      </c>
      <c r="J341" s="4" t="str">
        <f>MID(Table13[[#This Row],[Function Col]],5,2)</f>
        <v/>
      </c>
      <c r="K341" s="4" t="s">
        <v>1098</v>
      </c>
      <c r="L341" s="4" t="str">
        <f>RIGHT(Table13[[#This Row],[Function Col]],4)</f>
        <v/>
      </c>
      <c r="M341" s="4" t="s">
        <v>1098</v>
      </c>
      <c r="N341" s="4" t="str">
        <f>IF(Table13[[#This Row],[Function Col5]]="","",_xlfn.CONCAT(Table13[[#This Row],[Day Col]],"/",Table13[[#This Row],[Month Col]],"/",Table13[[#This Row],[Year Col]]))</f>
        <v/>
      </c>
      <c r="O341" s="4" t="s">
        <v>1098</v>
      </c>
      <c r="P341" s="4">
        <f>IF(ISNUMBER(Table13[[#This Row],[Claim_Date2]]),Table13[[#This Row],[Claim_Date2]],Table13[[#This Row],[Function Col32]])</f>
        <v>45277</v>
      </c>
      <c r="Q341" s="4">
        <v>45277</v>
      </c>
      <c r="R341" s="1" t="s">
        <v>16</v>
      </c>
      <c r="S341" s="1" t="s">
        <v>31</v>
      </c>
      <c r="T341" s="1" t="s">
        <v>41</v>
      </c>
      <c r="U341" s="1"/>
      <c r="V341" s="1">
        <v>1005.74</v>
      </c>
      <c r="W341" s="1">
        <f>IF(Table1[[#This Row],[Claim_Amount]]&lt;0,0,Table1[[#This Row],[Claim_Amount]])</f>
        <v>1005.74</v>
      </c>
      <c r="X341" s="1">
        <f>IF(Table1[[#This Row],[Column1]]=0,"",Table1[[#This Row],[Column1]])</f>
        <v>1005.74</v>
      </c>
      <c r="Y341" s="1">
        <v>1005.74</v>
      </c>
      <c r="Z341" s="1">
        <v>1005.74</v>
      </c>
      <c r="AA341">
        <v>832</v>
      </c>
      <c r="AB341" s="1" t="s">
        <v>17</v>
      </c>
      <c r="AC341" s="1" t="s">
        <v>57</v>
      </c>
      <c r="AD341" s="1">
        <v>40</v>
      </c>
      <c r="AE341" s="3" t="s">
        <v>19</v>
      </c>
    </row>
    <row r="342" spans="1:31" ht="15.75" customHeight="1" x14ac:dyDescent="0.35">
      <c r="A342" s="1" t="s">
        <v>96</v>
      </c>
      <c r="B342" s="1" t="s">
        <v>575</v>
      </c>
      <c r="C342" s="1" t="s">
        <v>80</v>
      </c>
      <c r="D342" s="1" t="s">
        <v>576</v>
      </c>
      <c r="E342" s="5">
        <v>45283</v>
      </c>
      <c r="F342" s="4" t="str">
        <f>IF(ISNUMBER(Table13[[#This Row],[Claim_Date2]]),"",Table13[[#This Row],[Claim_Date2]])</f>
        <v/>
      </c>
      <c r="G342" s="4" t="s">
        <v>1098</v>
      </c>
      <c r="H342" s="4" t="str">
        <f>LEFT(Table13[[#This Row],[Values Col 1]],3)</f>
        <v/>
      </c>
      <c r="I342" s="4" t="s">
        <v>1098</v>
      </c>
      <c r="J342" s="4" t="str">
        <f>MID(Table13[[#This Row],[Function Col]],5,2)</f>
        <v/>
      </c>
      <c r="K342" s="4" t="s">
        <v>1098</v>
      </c>
      <c r="L342" s="4" t="str">
        <f>RIGHT(Table13[[#This Row],[Function Col]],4)</f>
        <v/>
      </c>
      <c r="M342" s="4" t="s">
        <v>1098</v>
      </c>
      <c r="N342" s="4" t="str">
        <f>IF(Table13[[#This Row],[Function Col5]]="","",_xlfn.CONCAT(Table13[[#This Row],[Day Col]],"/",Table13[[#This Row],[Month Col]],"/",Table13[[#This Row],[Year Col]]))</f>
        <v/>
      </c>
      <c r="O342" s="4" t="s">
        <v>1098</v>
      </c>
      <c r="P342" s="4">
        <f>IF(ISNUMBER(Table13[[#This Row],[Claim_Date2]]),Table13[[#This Row],[Claim_Date2]],Table13[[#This Row],[Function Col32]])</f>
        <v>45283</v>
      </c>
      <c r="Q342" s="4">
        <v>45283</v>
      </c>
      <c r="R342" s="1" t="s">
        <v>92</v>
      </c>
      <c r="S342" s="1" t="s">
        <v>53</v>
      </c>
      <c r="T342" t="s">
        <v>1086</v>
      </c>
      <c r="V342" s="1">
        <v>-173</v>
      </c>
      <c r="W342" s="1">
        <f>IF(Table1[[#This Row],[Claim_Amount]]&lt;0,0,Table1[[#This Row],[Claim_Amount]])</f>
        <v>0</v>
      </c>
      <c r="X342" s="1" t="str">
        <f>IF(Table1[[#This Row],[Column1]]=0,"",Table1[[#This Row],[Column1]])</f>
        <v/>
      </c>
      <c r="Y342" s="1" t="s">
        <v>1098</v>
      </c>
      <c r="Z342" s="1">
        <v>2481</v>
      </c>
      <c r="AA342">
        <v>832</v>
      </c>
      <c r="AB342" s="1" t="s">
        <v>25</v>
      </c>
      <c r="AC342" s="1" t="s">
        <v>32</v>
      </c>
      <c r="AD342" s="1">
        <v>16</v>
      </c>
      <c r="AE342" s="3" t="s">
        <v>19</v>
      </c>
    </row>
    <row r="343" spans="1:31" ht="15.75" customHeight="1" x14ac:dyDescent="0.35">
      <c r="A343" s="1" t="s">
        <v>38</v>
      </c>
      <c r="B343" s="1" t="s">
        <v>293</v>
      </c>
      <c r="C343" t="s">
        <v>1084</v>
      </c>
      <c r="D343" s="1" t="s">
        <v>577</v>
      </c>
      <c r="E343" s="5">
        <v>44957</v>
      </c>
      <c r="F343" s="4" t="str">
        <f>IF(ISNUMBER(Table13[[#This Row],[Claim_Date2]]),"",Table13[[#This Row],[Claim_Date2]])</f>
        <v/>
      </c>
      <c r="G343" s="4" t="s">
        <v>1098</v>
      </c>
      <c r="H343" s="4" t="str">
        <f>LEFT(Table13[[#This Row],[Values Col 1]],3)</f>
        <v/>
      </c>
      <c r="I343" s="4" t="s">
        <v>1098</v>
      </c>
      <c r="J343" s="4" t="str">
        <f>MID(Table13[[#This Row],[Function Col]],5,2)</f>
        <v/>
      </c>
      <c r="K343" s="4" t="s">
        <v>1098</v>
      </c>
      <c r="L343" s="4" t="str">
        <f>RIGHT(Table13[[#This Row],[Function Col]],4)</f>
        <v/>
      </c>
      <c r="M343" s="4" t="s">
        <v>1098</v>
      </c>
      <c r="N343" s="4" t="str">
        <f>IF(Table13[[#This Row],[Function Col5]]="","",_xlfn.CONCAT(Table13[[#This Row],[Day Col]],"/",Table13[[#This Row],[Month Col]],"/",Table13[[#This Row],[Year Col]]))</f>
        <v/>
      </c>
      <c r="O343" s="4" t="s">
        <v>1098</v>
      </c>
      <c r="P343" s="4">
        <f>IF(ISNUMBER(Table13[[#This Row],[Claim_Date2]]),Table13[[#This Row],[Claim_Date2]],Table13[[#This Row],[Function Col32]])</f>
        <v>44957</v>
      </c>
      <c r="Q343" s="4">
        <v>44957</v>
      </c>
      <c r="R343" s="1" t="s">
        <v>85</v>
      </c>
      <c r="S343" s="1" t="s">
        <v>53</v>
      </c>
      <c r="T343" s="1" t="s">
        <v>61</v>
      </c>
      <c r="U343" s="1"/>
      <c r="V343" s="1">
        <v>-61</v>
      </c>
      <c r="W343" s="1">
        <f>IF(Table1[[#This Row],[Claim_Amount]]&lt;0,0,Table1[[#This Row],[Claim_Amount]])</f>
        <v>0</v>
      </c>
      <c r="X343" s="1" t="str">
        <f>IF(Table1[[#This Row],[Column1]]=0,"",Table1[[#This Row],[Column1]])</f>
        <v/>
      </c>
      <c r="Y343" s="1" t="s">
        <v>1098</v>
      </c>
      <c r="Z343" s="1">
        <v>2481</v>
      </c>
      <c r="AA343">
        <v>832</v>
      </c>
      <c r="AB343" s="1" t="s">
        <v>25</v>
      </c>
      <c r="AC343" s="1" t="s">
        <v>18</v>
      </c>
      <c r="AD343">
        <v>9</v>
      </c>
      <c r="AE343" s="3" t="s">
        <v>65</v>
      </c>
    </row>
    <row r="344" spans="1:31" ht="15.75" customHeight="1" x14ac:dyDescent="0.35">
      <c r="A344" s="1" t="s">
        <v>110</v>
      </c>
      <c r="B344" s="1" t="s">
        <v>578</v>
      </c>
      <c r="C344" t="s">
        <v>1084</v>
      </c>
      <c r="D344" s="1" t="s">
        <v>432</v>
      </c>
      <c r="E344" s="5">
        <v>44979</v>
      </c>
      <c r="F344" s="4" t="str">
        <f>IF(ISNUMBER(Table13[[#This Row],[Claim_Date2]]),"",Table13[[#This Row],[Claim_Date2]])</f>
        <v/>
      </c>
      <c r="G344" s="4" t="s">
        <v>1098</v>
      </c>
      <c r="H344" s="4" t="str">
        <f>LEFT(Table13[[#This Row],[Values Col 1]],3)</f>
        <v/>
      </c>
      <c r="I344" s="4" t="s">
        <v>1098</v>
      </c>
      <c r="J344" s="4" t="str">
        <f>MID(Table13[[#This Row],[Function Col]],5,2)</f>
        <v/>
      </c>
      <c r="K344" s="4" t="s">
        <v>1098</v>
      </c>
      <c r="L344" s="4" t="str">
        <f>RIGHT(Table13[[#This Row],[Function Col]],4)</f>
        <v/>
      </c>
      <c r="M344" s="4" t="s">
        <v>1098</v>
      </c>
      <c r="N344" s="4" t="str">
        <f>IF(Table13[[#This Row],[Function Col5]]="","",_xlfn.CONCAT(Table13[[#This Row],[Day Col]],"/",Table13[[#This Row],[Month Col]],"/",Table13[[#This Row],[Year Col]]))</f>
        <v/>
      </c>
      <c r="O344" s="4" t="s">
        <v>1098</v>
      </c>
      <c r="P344" s="4">
        <f>IF(ISNUMBER(Table13[[#This Row],[Claim_Date2]]),Table13[[#This Row],[Claim_Date2]],Table13[[#This Row],[Function Col32]])</f>
        <v>44979</v>
      </c>
      <c r="Q344" s="4">
        <v>44979</v>
      </c>
      <c r="R344" s="1" t="s">
        <v>30</v>
      </c>
      <c r="S344" t="s">
        <v>1085</v>
      </c>
      <c r="T344" s="1" t="s">
        <v>41</v>
      </c>
      <c r="U344" s="1"/>
      <c r="V344" s="1">
        <v>-14</v>
      </c>
      <c r="W344" s="1">
        <f>IF(Table1[[#This Row],[Claim_Amount]]&lt;0,0,Table1[[#This Row],[Claim_Amount]])</f>
        <v>0</v>
      </c>
      <c r="X344" s="1" t="str">
        <f>IF(Table1[[#This Row],[Column1]]=0,"",Table1[[#This Row],[Column1]])</f>
        <v/>
      </c>
      <c r="Y344" s="1" t="s">
        <v>1098</v>
      </c>
      <c r="Z344" s="1">
        <v>2481</v>
      </c>
      <c r="AA344">
        <v>832</v>
      </c>
      <c r="AB344" s="1" t="s">
        <v>25</v>
      </c>
      <c r="AC344" s="1" t="s">
        <v>26</v>
      </c>
      <c r="AD344">
        <v>9</v>
      </c>
      <c r="AE344" s="3" t="s">
        <v>27</v>
      </c>
    </row>
    <row r="345" spans="1:31" ht="15.75" customHeight="1" x14ac:dyDescent="0.35">
      <c r="A345" s="1" t="s">
        <v>50</v>
      </c>
      <c r="B345" t="s">
        <v>1083</v>
      </c>
      <c r="C345" s="1" t="s">
        <v>331</v>
      </c>
      <c r="D345" s="1" t="s">
        <v>324</v>
      </c>
      <c r="E345" s="5">
        <v>45289</v>
      </c>
      <c r="F345" s="4" t="str">
        <f>IF(ISNUMBER(Table13[[#This Row],[Claim_Date2]]),"",Table13[[#This Row],[Claim_Date2]])</f>
        <v/>
      </c>
      <c r="G345" s="4" t="s">
        <v>1098</v>
      </c>
      <c r="H345" s="4" t="str">
        <f>LEFT(Table13[[#This Row],[Values Col 1]],3)</f>
        <v/>
      </c>
      <c r="I345" s="4" t="s">
        <v>1098</v>
      </c>
      <c r="J345" s="4" t="str">
        <f>MID(Table13[[#This Row],[Function Col]],5,2)</f>
        <v/>
      </c>
      <c r="K345" s="4" t="s">
        <v>1098</v>
      </c>
      <c r="L345" s="4" t="str">
        <f>RIGHT(Table13[[#This Row],[Function Col]],4)</f>
        <v/>
      </c>
      <c r="M345" s="4" t="s">
        <v>1098</v>
      </c>
      <c r="N345" s="4" t="str">
        <f>IF(Table13[[#This Row],[Function Col5]]="","",_xlfn.CONCAT(Table13[[#This Row],[Day Col]],"/",Table13[[#This Row],[Month Col]],"/",Table13[[#This Row],[Year Col]]))</f>
        <v/>
      </c>
      <c r="O345" s="4" t="s">
        <v>1098</v>
      </c>
      <c r="P345" s="4">
        <f>IF(ISNUMBER(Table13[[#This Row],[Claim_Date2]]),Table13[[#This Row],[Claim_Date2]],Table13[[#This Row],[Function Col32]])</f>
        <v>45289</v>
      </c>
      <c r="Q345" s="4">
        <v>45289</v>
      </c>
      <c r="R345" s="1" t="s">
        <v>77</v>
      </c>
      <c r="S345" s="1" t="s">
        <v>53</v>
      </c>
      <c r="T345" t="s">
        <v>1086</v>
      </c>
      <c r="W345">
        <f>IF(Table1[[#This Row],[Claim_Amount]]&lt;0,0,Table1[[#This Row],[Claim_Amount]])</f>
        <v>0</v>
      </c>
      <c r="X345" t="str">
        <f>IF(Table1[[#This Row],[Column1]]=0,"",Table1[[#This Row],[Column1]])</f>
        <v/>
      </c>
      <c r="Y345" t="s">
        <v>1098</v>
      </c>
      <c r="Z345">
        <v>2481</v>
      </c>
      <c r="AA345">
        <v>832</v>
      </c>
      <c r="AB345" s="1" t="s">
        <v>25</v>
      </c>
      <c r="AC345" s="1" t="s">
        <v>26</v>
      </c>
      <c r="AD345">
        <v>9</v>
      </c>
      <c r="AE345" s="3" t="s">
        <v>27</v>
      </c>
    </row>
    <row r="346" spans="1:31" ht="15.75" customHeight="1" x14ac:dyDescent="0.35">
      <c r="A346" s="1" t="s">
        <v>114</v>
      </c>
      <c r="B346" t="s">
        <v>1083</v>
      </c>
      <c r="C346" s="1" t="s">
        <v>442</v>
      </c>
      <c r="D346" s="1" t="s">
        <v>579</v>
      </c>
      <c r="E346" s="5">
        <v>45258</v>
      </c>
      <c r="F346" s="4" t="str">
        <f>IF(ISNUMBER(Table13[[#This Row],[Claim_Date2]]),"",Table13[[#This Row],[Claim_Date2]])</f>
        <v/>
      </c>
      <c r="G346" s="4" t="s">
        <v>1098</v>
      </c>
      <c r="H346" s="4" t="str">
        <f>LEFT(Table13[[#This Row],[Values Col 1]],3)</f>
        <v/>
      </c>
      <c r="I346" s="4" t="s">
        <v>1098</v>
      </c>
      <c r="J346" s="4" t="str">
        <f>MID(Table13[[#This Row],[Function Col]],5,2)</f>
        <v/>
      </c>
      <c r="K346" s="4" t="s">
        <v>1098</v>
      </c>
      <c r="L346" s="4" t="str">
        <f>RIGHT(Table13[[#This Row],[Function Col]],4)</f>
        <v/>
      </c>
      <c r="M346" s="4" t="s">
        <v>1098</v>
      </c>
      <c r="N346" s="4" t="str">
        <f>IF(Table13[[#This Row],[Function Col5]]="","",_xlfn.CONCAT(Table13[[#This Row],[Day Col]],"/",Table13[[#This Row],[Month Col]],"/",Table13[[#This Row],[Year Col]]))</f>
        <v/>
      </c>
      <c r="O346" s="4" t="s">
        <v>1098</v>
      </c>
      <c r="P346" s="4">
        <f>IF(ISNUMBER(Table13[[#This Row],[Claim_Date2]]),Table13[[#This Row],[Claim_Date2]],Table13[[#This Row],[Function Col32]])</f>
        <v>45258</v>
      </c>
      <c r="Q346" s="4">
        <v>45258</v>
      </c>
      <c r="R346" s="1" t="s">
        <v>30</v>
      </c>
      <c r="S346" s="1" t="s">
        <v>31</v>
      </c>
      <c r="T346" s="1" t="s">
        <v>61</v>
      </c>
      <c r="U346" s="1"/>
      <c r="W346">
        <f>IF(Table1[[#This Row],[Claim_Amount]]&lt;0,0,Table1[[#This Row],[Claim_Amount]])</f>
        <v>0</v>
      </c>
      <c r="X346" t="str">
        <f>IF(Table1[[#This Row],[Column1]]=0,"",Table1[[#This Row],[Column1]])</f>
        <v/>
      </c>
      <c r="Y346" t="s">
        <v>1098</v>
      </c>
      <c r="Z346">
        <v>2481</v>
      </c>
      <c r="AA346" s="1">
        <v>924.26</v>
      </c>
      <c r="AB346" s="1" t="s">
        <v>25</v>
      </c>
      <c r="AC346" s="1" t="s">
        <v>18</v>
      </c>
      <c r="AD346">
        <v>9</v>
      </c>
      <c r="AE346" s="3" t="s">
        <v>37</v>
      </c>
    </row>
    <row r="347" spans="1:31" ht="15.75" customHeight="1" x14ac:dyDescent="0.35">
      <c r="A347" s="1" t="s">
        <v>108</v>
      </c>
      <c r="B347" t="s">
        <v>1083</v>
      </c>
      <c r="C347" t="s">
        <v>1084</v>
      </c>
      <c r="D347" s="1" t="s">
        <v>423</v>
      </c>
      <c r="E347" s="5" t="s">
        <v>423</v>
      </c>
      <c r="F347" s="4" t="str">
        <f>IF(ISNUMBER(Table13[[#This Row],[Claim_Date2]]),"",Table13[[#This Row],[Claim_Date2]])</f>
        <v>Aug 13 2023</v>
      </c>
      <c r="G347" s="4" t="s">
        <v>423</v>
      </c>
      <c r="H347" s="4" t="str">
        <f>LEFT(Table13[[#This Row],[Values Col 1]],3)</f>
        <v>Aug</v>
      </c>
      <c r="I347" s="4" t="s">
        <v>1106</v>
      </c>
      <c r="J347" s="4" t="str">
        <f>MID(Table13[[#This Row],[Function Col]],5,2)</f>
        <v>13</v>
      </c>
      <c r="K347" s="4" t="s">
        <v>1114</v>
      </c>
      <c r="L347" s="4" t="str">
        <f>RIGHT(Table13[[#This Row],[Function Col]],4)</f>
        <v>2023</v>
      </c>
      <c r="M347" s="4" t="s">
        <v>1146</v>
      </c>
      <c r="N347" s="4" t="str">
        <f>IF(Table13[[#This Row],[Function Col5]]="","",_xlfn.CONCAT(Table13[[#This Row],[Day Col]],"/",Table13[[#This Row],[Month Col]],"/",Table13[[#This Row],[Year Col]]))</f>
        <v>13/Aug/2023</v>
      </c>
      <c r="O347" s="4" t="s">
        <v>1217</v>
      </c>
      <c r="P347" s="4" t="str">
        <f>IF(ISNUMBER(Table13[[#This Row],[Claim_Date2]]),Table13[[#This Row],[Claim_Date2]],Table13[[#This Row],[Function Col32]])</f>
        <v>13/Aug/2023</v>
      </c>
      <c r="Q347" s="4">
        <v>45151</v>
      </c>
      <c r="R347" s="1" t="s">
        <v>85</v>
      </c>
      <c r="S347" s="1" t="s">
        <v>93</v>
      </c>
      <c r="T347" s="1" t="s">
        <v>61</v>
      </c>
      <c r="U347" s="1"/>
      <c r="W347">
        <f>IF(Table1[[#This Row],[Claim_Amount]]&lt;0,0,Table1[[#This Row],[Claim_Amount]])</f>
        <v>0</v>
      </c>
      <c r="X347" t="str">
        <f>IF(Table1[[#This Row],[Column1]]=0,"",Table1[[#This Row],[Column1]])</f>
        <v/>
      </c>
      <c r="Y347" t="s">
        <v>1098</v>
      </c>
      <c r="Z347">
        <v>2481</v>
      </c>
      <c r="AA347" s="1">
        <v>2471.6999999999998</v>
      </c>
      <c r="AB347" s="1" t="s">
        <v>1091</v>
      </c>
      <c r="AC347" s="1" t="s">
        <v>32</v>
      </c>
      <c r="AD347">
        <v>9</v>
      </c>
      <c r="AE347" s="3" t="s">
        <v>37</v>
      </c>
    </row>
    <row r="348" spans="1:31" ht="15.75" customHeight="1" x14ac:dyDescent="0.35">
      <c r="A348" s="1" t="s">
        <v>105</v>
      </c>
      <c r="B348" t="s">
        <v>1083</v>
      </c>
      <c r="C348" t="s">
        <v>1084</v>
      </c>
      <c r="D348" s="1" t="s">
        <v>101</v>
      </c>
      <c r="E348" s="5">
        <v>44948</v>
      </c>
      <c r="F348" s="4" t="str">
        <f>IF(ISNUMBER(Table13[[#This Row],[Claim_Date2]]),"",Table13[[#This Row],[Claim_Date2]])</f>
        <v/>
      </c>
      <c r="G348" s="4" t="s">
        <v>1098</v>
      </c>
      <c r="H348" s="4" t="str">
        <f>LEFT(Table13[[#This Row],[Values Col 1]],3)</f>
        <v/>
      </c>
      <c r="I348" s="4" t="s">
        <v>1098</v>
      </c>
      <c r="J348" s="4" t="str">
        <f>MID(Table13[[#This Row],[Function Col]],5,2)</f>
        <v/>
      </c>
      <c r="K348" s="4" t="s">
        <v>1098</v>
      </c>
      <c r="L348" s="4" t="str">
        <f>RIGHT(Table13[[#This Row],[Function Col]],4)</f>
        <v/>
      </c>
      <c r="M348" s="4" t="s">
        <v>1098</v>
      </c>
      <c r="N348" s="4" t="str">
        <f>IF(Table13[[#This Row],[Function Col5]]="","",_xlfn.CONCAT(Table13[[#This Row],[Day Col]],"/",Table13[[#This Row],[Month Col]],"/",Table13[[#This Row],[Year Col]]))</f>
        <v/>
      </c>
      <c r="O348" s="4" t="s">
        <v>1098</v>
      </c>
      <c r="P348" s="4">
        <f>IF(ISNUMBER(Table13[[#This Row],[Claim_Date2]]),Table13[[#This Row],[Claim_Date2]],Table13[[#This Row],[Function Col32]])</f>
        <v>44948</v>
      </c>
      <c r="Q348" s="4">
        <v>44948</v>
      </c>
      <c r="R348" s="1" t="s">
        <v>85</v>
      </c>
      <c r="S348" t="s">
        <v>1085</v>
      </c>
      <c r="T348" t="s">
        <v>1086</v>
      </c>
      <c r="W348">
        <f>IF(Table1[[#This Row],[Claim_Amount]]&lt;0,0,Table1[[#This Row],[Claim_Amount]])</f>
        <v>0</v>
      </c>
      <c r="X348" t="str">
        <f>IF(Table1[[#This Row],[Column1]]=0,"",Table1[[#This Row],[Column1]])</f>
        <v/>
      </c>
      <c r="Y348" t="s">
        <v>1098</v>
      </c>
      <c r="Z348">
        <v>2481</v>
      </c>
      <c r="AA348" s="1">
        <v>3718.2</v>
      </c>
      <c r="AB348" s="1" t="s">
        <v>25</v>
      </c>
      <c r="AC348" s="1" t="s">
        <v>26</v>
      </c>
      <c r="AD348" s="1">
        <v>47</v>
      </c>
      <c r="AE348" s="3" t="s">
        <v>37</v>
      </c>
    </row>
    <row r="349" spans="1:31" ht="15.75" customHeight="1" x14ac:dyDescent="0.35">
      <c r="A349" s="1" t="s">
        <v>43</v>
      </c>
      <c r="B349" t="s">
        <v>1083</v>
      </c>
      <c r="C349" s="1" t="s">
        <v>87</v>
      </c>
      <c r="D349" s="1" t="s">
        <v>580</v>
      </c>
      <c r="E349" s="5">
        <v>45051</v>
      </c>
      <c r="F349" s="4" t="str">
        <f>IF(ISNUMBER(Table13[[#This Row],[Claim_Date2]]),"",Table13[[#This Row],[Claim_Date2]])</f>
        <v/>
      </c>
      <c r="G349" s="4" t="s">
        <v>1098</v>
      </c>
      <c r="H349" s="4" t="str">
        <f>LEFT(Table13[[#This Row],[Values Col 1]],3)</f>
        <v/>
      </c>
      <c r="I349" s="4" t="s">
        <v>1098</v>
      </c>
      <c r="J349" s="4" t="str">
        <f>MID(Table13[[#This Row],[Function Col]],5,2)</f>
        <v/>
      </c>
      <c r="K349" s="4" t="s">
        <v>1098</v>
      </c>
      <c r="L349" s="4" t="str">
        <f>RIGHT(Table13[[#This Row],[Function Col]],4)</f>
        <v/>
      </c>
      <c r="M349" s="4" t="s">
        <v>1098</v>
      </c>
      <c r="N349" s="4" t="str">
        <f>IF(Table13[[#This Row],[Function Col5]]="","",_xlfn.CONCAT(Table13[[#This Row],[Day Col]],"/",Table13[[#This Row],[Month Col]],"/",Table13[[#This Row],[Year Col]]))</f>
        <v/>
      </c>
      <c r="O349" s="4" t="s">
        <v>1098</v>
      </c>
      <c r="P349" s="4">
        <f>IF(ISNUMBER(Table13[[#This Row],[Claim_Date2]]),Table13[[#This Row],[Claim_Date2]],Table13[[#This Row],[Function Col32]])</f>
        <v>45051</v>
      </c>
      <c r="Q349" s="4">
        <v>45051</v>
      </c>
      <c r="R349" s="1" t="s">
        <v>16</v>
      </c>
      <c r="S349" s="1" t="s">
        <v>93</v>
      </c>
      <c r="T349" t="s">
        <v>1086</v>
      </c>
      <c r="V349" s="1">
        <v>297.29000000000002</v>
      </c>
      <c r="W349" s="1">
        <f>IF(Table1[[#This Row],[Claim_Amount]]&lt;0,0,Table1[[#This Row],[Claim_Amount]])</f>
        <v>297.29000000000002</v>
      </c>
      <c r="X349" s="1">
        <f>IF(Table1[[#This Row],[Column1]]=0,"",Table1[[#This Row],[Column1]])</f>
        <v>297.29000000000002</v>
      </c>
      <c r="Y349" s="1">
        <v>297.29000000000002</v>
      </c>
      <c r="Z349" s="1">
        <v>297.29000000000002</v>
      </c>
      <c r="AA349" s="1">
        <v>2308.11</v>
      </c>
      <c r="AB349" s="1" t="s">
        <v>1091</v>
      </c>
      <c r="AC349" s="1" t="s">
        <v>26</v>
      </c>
      <c r="AD349" s="1">
        <v>52</v>
      </c>
      <c r="AE349" s="3" t="s">
        <v>19</v>
      </c>
    </row>
    <row r="350" spans="1:31" ht="15.75" customHeight="1" x14ac:dyDescent="0.35">
      <c r="A350" s="1" t="s">
        <v>117</v>
      </c>
      <c r="B350" t="s">
        <v>1083</v>
      </c>
      <c r="C350" s="1" t="s">
        <v>581</v>
      </c>
      <c r="D350" s="1" t="s">
        <v>127</v>
      </c>
      <c r="E350" s="5" t="s">
        <v>127</v>
      </c>
      <c r="F350" s="4" t="str">
        <f>IF(ISNUMBER(Table13[[#This Row],[Claim_Date2]]),"",Table13[[#This Row],[Claim_Date2]])</f>
        <v>Jun 22 2023</v>
      </c>
      <c r="G350" s="4" t="s">
        <v>127</v>
      </c>
      <c r="H350" s="4" t="str">
        <f>LEFT(Table13[[#This Row],[Values Col 1]],3)</f>
        <v>Jun</v>
      </c>
      <c r="I350" s="4" t="s">
        <v>1108</v>
      </c>
      <c r="J350" s="4" t="str">
        <f>MID(Table13[[#This Row],[Function Col]],5,2)</f>
        <v>22</v>
      </c>
      <c r="K350" s="4" t="s">
        <v>1122</v>
      </c>
      <c r="L350" s="4" t="str">
        <f>RIGHT(Table13[[#This Row],[Function Col]],4)</f>
        <v>2023</v>
      </c>
      <c r="M350" s="4" t="s">
        <v>1146</v>
      </c>
      <c r="N350" s="4" t="str">
        <f>IF(Table13[[#This Row],[Function Col5]]="","",_xlfn.CONCAT(Table13[[#This Row],[Day Col]],"/",Table13[[#This Row],[Month Col]],"/",Table13[[#This Row],[Year Col]]))</f>
        <v>22/Jun/2023</v>
      </c>
      <c r="O350" s="4" t="s">
        <v>1162</v>
      </c>
      <c r="P350" s="4" t="str">
        <f>IF(ISNUMBER(Table13[[#This Row],[Claim_Date2]]),Table13[[#This Row],[Claim_Date2]],Table13[[#This Row],[Function Col32]])</f>
        <v>22/Jun/2023</v>
      </c>
      <c r="Q350" s="4">
        <v>45099</v>
      </c>
      <c r="R350" s="1" t="s">
        <v>16</v>
      </c>
      <c r="S350" s="1" t="s">
        <v>53</v>
      </c>
      <c r="T350" s="1" t="s">
        <v>41</v>
      </c>
      <c r="U350" s="1"/>
      <c r="W350">
        <f>IF(Table1[[#This Row],[Claim_Amount]]&lt;0,0,Table1[[#This Row],[Claim_Amount]])</f>
        <v>0</v>
      </c>
      <c r="X350" t="str">
        <f>IF(Table1[[#This Row],[Column1]]=0,"",Table1[[#This Row],[Column1]])</f>
        <v/>
      </c>
      <c r="Y350" t="s">
        <v>1098</v>
      </c>
      <c r="Z350">
        <v>2481</v>
      </c>
      <c r="AA350" s="1">
        <v>1641.87</v>
      </c>
      <c r="AB350" s="1" t="s">
        <v>25</v>
      </c>
      <c r="AC350" s="1" t="s">
        <v>57</v>
      </c>
      <c r="AD350">
        <v>9</v>
      </c>
      <c r="AE350" s="3" t="s">
        <v>19</v>
      </c>
    </row>
    <row r="351" spans="1:31" ht="15.75" customHeight="1" x14ac:dyDescent="0.35">
      <c r="A351" s="1" t="s">
        <v>55</v>
      </c>
      <c r="B351" s="1" t="s">
        <v>582</v>
      </c>
      <c r="C351" t="s">
        <v>1084</v>
      </c>
      <c r="D351" s="1" t="s">
        <v>583</v>
      </c>
      <c r="E351" s="5" t="s">
        <v>583</v>
      </c>
      <c r="F351" s="4" t="str">
        <f>IF(ISNUMBER(Table13[[#This Row],[Claim_Date2]]),"",Table13[[#This Row],[Claim_Date2]])</f>
        <v>Jul 09 2023</v>
      </c>
      <c r="G351" s="4" t="s">
        <v>583</v>
      </c>
      <c r="H351" s="4" t="str">
        <f>LEFT(Table13[[#This Row],[Values Col 1]],3)</f>
        <v>Jul</v>
      </c>
      <c r="I351" s="4" t="s">
        <v>1101</v>
      </c>
      <c r="J351" s="4" t="str">
        <f>MID(Table13[[#This Row],[Function Col]],5,2)</f>
        <v>09</v>
      </c>
      <c r="K351" s="4" t="s">
        <v>1127</v>
      </c>
      <c r="L351" s="4" t="str">
        <f>RIGHT(Table13[[#This Row],[Function Col]],4)</f>
        <v>2023</v>
      </c>
      <c r="M351" s="4" t="s">
        <v>1146</v>
      </c>
      <c r="N351" s="4" t="str">
        <f>IF(Table13[[#This Row],[Function Col5]]="","",_xlfn.CONCAT(Table13[[#This Row],[Day Col]],"/",Table13[[#This Row],[Month Col]],"/",Table13[[#This Row],[Year Col]]))</f>
        <v>09/Jul/2023</v>
      </c>
      <c r="O351" s="4" t="s">
        <v>1249</v>
      </c>
      <c r="P351" s="4" t="str">
        <f>IF(ISNUMBER(Table13[[#This Row],[Claim_Date2]]),Table13[[#This Row],[Claim_Date2]],Table13[[#This Row],[Function Col32]])</f>
        <v>09/Jul/2023</v>
      </c>
      <c r="Q351" s="4">
        <v>45116</v>
      </c>
      <c r="R351" s="1" t="s">
        <v>85</v>
      </c>
      <c r="S351" s="1" t="s">
        <v>53</v>
      </c>
      <c r="T351" s="1" t="s">
        <v>24</v>
      </c>
      <c r="U351" s="1"/>
      <c r="W351">
        <f>IF(Table1[[#This Row],[Claim_Amount]]&lt;0,0,Table1[[#This Row],[Claim_Amount]])</f>
        <v>0</v>
      </c>
      <c r="X351" t="str">
        <f>IF(Table1[[#This Row],[Column1]]=0,"",Table1[[#This Row],[Column1]])</f>
        <v/>
      </c>
      <c r="Y351" t="s">
        <v>1098</v>
      </c>
      <c r="Z351">
        <v>2481</v>
      </c>
      <c r="AA351">
        <v>832</v>
      </c>
      <c r="AB351" s="1" t="s">
        <v>1091</v>
      </c>
      <c r="AC351" s="1" t="s">
        <v>1093</v>
      </c>
      <c r="AD351" s="1">
        <v>49</v>
      </c>
      <c r="AE351" s="3" t="s">
        <v>19</v>
      </c>
    </row>
    <row r="352" spans="1:31" ht="15.75" customHeight="1" x14ac:dyDescent="0.35">
      <c r="A352" s="1" t="s">
        <v>117</v>
      </c>
      <c r="B352" s="1" t="s">
        <v>584</v>
      </c>
      <c r="C352" s="1" t="s">
        <v>290</v>
      </c>
      <c r="D352" s="1" t="s">
        <v>385</v>
      </c>
      <c r="E352" s="5" t="s">
        <v>385</v>
      </c>
      <c r="F352" s="4" t="str">
        <f>IF(ISNUMBER(Table13[[#This Row],[Claim_Date2]]),"",Table13[[#This Row],[Claim_Date2]])</f>
        <v>Nov 30 2023</v>
      </c>
      <c r="G352" s="4" t="s">
        <v>385</v>
      </c>
      <c r="H352" s="4" t="str">
        <f>LEFT(Table13[[#This Row],[Values Col 1]],3)</f>
        <v>Nov</v>
      </c>
      <c r="I352" s="4" t="s">
        <v>1105</v>
      </c>
      <c r="J352" s="4" t="str">
        <f>MID(Table13[[#This Row],[Function Col]],5,2)</f>
        <v>30</v>
      </c>
      <c r="K352" s="4" t="s">
        <v>1126</v>
      </c>
      <c r="L352" s="4" t="str">
        <f>RIGHT(Table13[[#This Row],[Function Col]],4)</f>
        <v>2023</v>
      </c>
      <c r="M352" s="4" t="s">
        <v>1146</v>
      </c>
      <c r="N352" s="4" t="str">
        <f>IF(Table13[[#This Row],[Function Col5]]="","",_xlfn.CONCAT(Table13[[#This Row],[Day Col]],"/",Table13[[#This Row],[Month Col]],"/",Table13[[#This Row],[Year Col]]))</f>
        <v>30/Nov/2023</v>
      </c>
      <c r="O352" s="4" t="s">
        <v>1207</v>
      </c>
      <c r="P352" s="4" t="str">
        <f>IF(ISNUMBER(Table13[[#This Row],[Claim_Date2]]),Table13[[#This Row],[Claim_Date2]],Table13[[#This Row],[Function Col32]])</f>
        <v>30/Nov/2023</v>
      </c>
      <c r="Q352" s="4">
        <v>45260</v>
      </c>
      <c r="R352" s="1" t="s">
        <v>92</v>
      </c>
      <c r="S352" s="1" t="s">
        <v>53</v>
      </c>
      <c r="T352" t="s">
        <v>1086</v>
      </c>
      <c r="W352">
        <f>IF(Table1[[#This Row],[Claim_Amount]]&lt;0,0,Table1[[#This Row],[Claim_Amount]])</f>
        <v>0</v>
      </c>
      <c r="X352" t="str">
        <f>IF(Table1[[#This Row],[Column1]]=0,"",Table1[[#This Row],[Column1]])</f>
        <v/>
      </c>
      <c r="Y352" t="s">
        <v>1098</v>
      </c>
      <c r="Z352">
        <v>2481</v>
      </c>
      <c r="AA352">
        <v>832</v>
      </c>
      <c r="AB352" s="1" t="s">
        <v>42</v>
      </c>
      <c r="AC352" s="1" t="s">
        <v>57</v>
      </c>
      <c r="AD352">
        <v>9</v>
      </c>
      <c r="AE352" s="3" t="s">
        <v>65</v>
      </c>
    </row>
    <row r="353" spans="1:31" ht="15.75" customHeight="1" x14ac:dyDescent="0.35">
      <c r="A353" s="1" t="s">
        <v>102</v>
      </c>
      <c r="B353" t="s">
        <v>1083</v>
      </c>
      <c r="C353" s="1" t="s">
        <v>469</v>
      </c>
      <c r="D353" s="1" t="s">
        <v>559</v>
      </c>
      <c r="E353" s="5" t="s">
        <v>559</v>
      </c>
      <c r="F353" s="4" t="str">
        <f>IF(ISNUMBER(Table13[[#This Row],[Claim_Date2]]),"",Table13[[#This Row],[Claim_Date2]])</f>
        <v>Feb 15 2023</v>
      </c>
      <c r="G353" s="4" t="s">
        <v>559</v>
      </c>
      <c r="H353" s="4" t="str">
        <f>LEFT(Table13[[#This Row],[Values Col 1]],3)</f>
        <v>Feb</v>
      </c>
      <c r="I353" s="4" t="s">
        <v>1109</v>
      </c>
      <c r="J353" s="4" t="str">
        <f>MID(Table13[[#This Row],[Function Col]],5,2)</f>
        <v>15</v>
      </c>
      <c r="K353" s="4" t="s">
        <v>1116</v>
      </c>
      <c r="L353" s="4" t="str">
        <f>RIGHT(Table13[[#This Row],[Function Col]],4)</f>
        <v>2023</v>
      </c>
      <c r="M353" s="4" t="s">
        <v>1146</v>
      </c>
      <c r="N353" s="4" t="str">
        <f>IF(Table13[[#This Row],[Function Col5]]="","",_xlfn.CONCAT(Table13[[#This Row],[Day Col]],"/",Table13[[#This Row],[Month Col]],"/",Table13[[#This Row],[Year Col]]))</f>
        <v>15/Feb/2023</v>
      </c>
      <c r="O353" s="4" t="s">
        <v>1245</v>
      </c>
      <c r="P353" s="4" t="str">
        <f>IF(ISNUMBER(Table13[[#This Row],[Claim_Date2]]),Table13[[#This Row],[Claim_Date2]],Table13[[#This Row],[Function Col32]])</f>
        <v>15/Feb/2023</v>
      </c>
      <c r="Q353" s="4">
        <v>44972</v>
      </c>
      <c r="R353" s="1" t="s">
        <v>85</v>
      </c>
      <c r="S353" s="1" t="s">
        <v>31</v>
      </c>
      <c r="T353" s="1" t="s">
        <v>41</v>
      </c>
      <c r="U353" s="1"/>
      <c r="W353">
        <f>IF(Table1[[#This Row],[Claim_Amount]]&lt;0,0,Table1[[#This Row],[Claim_Amount]])</f>
        <v>0</v>
      </c>
      <c r="X353" t="str">
        <f>IF(Table1[[#This Row],[Column1]]=0,"",Table1[[#This Row],[Column1]])</f>
        <v/>
      </c>
      <c r="Y353" t="s">
        <v>1098</v>
      </c>
      <c r="Z353">
        <v>2481</v>
      </c>
      <c r="AA353">
        <v>832</v>
      </c>
      <c r="AB353" s="1" t="s">
        <v>25</v>
      </c>
      <c r="AC353" s="1" t="s">
        <v>57</v>
      </c>
      <c r="AD353">
        <v>9</v>
      </c>
      <c r="AE353" s="3" t="s">
        <v>1097</v>
      </c>
    </row>
    <row r="354" spans="1:31" ht="15.75" customHeight="1" x14ac:dyDescent="0.35">
      <c r="A354" s="1" t="s">
        <v>198</v>
      </c>
      <c r="B354" t="s">
        <v>1083</v>
      </c>
      <c r="C354" s="1" t="s">
        <v>378</v>
      </c>
      <c r="D354" s="1" t="s">
        <v>585</v>
      </c>
      <c r="E354" s="5">
        <v>45068</v>
      </c>
      <c r="F354" s="4" t="str">
        <f>IF(ISNUMBER(Table13[[#This Row],[Claim_Date2]]),"",Table13[[#This Row],[Claim_Date2]])</f>
        <v/>
      </c>
      <c r="G354" s="4" t="s">
        <v>1098</v>
      </c>
      <c r="H354" s="4" t="str">
        <f>LEFT(Table13[[#This Row],[Values Col 1]],3)</f>
        <v/>
      </c>
      <c r="I354" s="4" t="s">
        <v>1098</v>
      </c>
      <c r="J354" s="4" t="str">
        <f>MID(Table13[[#This Row],[Function Col]],5,2)</f>
        <v/>
      </c>
      <c r="K354" s="4" t="s">
        <v>1098</v>
      </c>
      <c r="L354" s="4" t="str">
        <f>RIGHT(Table13[[#This Row],[Function Col]],4)</f>
        <v/>
      </c>
      <c r="M354" s="4" t="s">
        <v>1098</v>
      </c>
      <c r="N354" s="4" t="str">
        <f>IF(Table13[[#This Row],[Function Col5]]="","",_xlfn.CONCAT(Table13[[#This Row],[Day Col]],"/",Table13[[#This Row],[Month Col]],"/",Table13[[#This Row],[Year Col]]))</f>
        <v/>
      </c>
      <c r="O354" s="4" t="s">
        <v>1098</v>
      </c>
      <c r="P354" s="4">
        <f>IF(ISNUMBER(Table13[[#This Row],[Claim_Date2]]),Table13[[#This Row],[Claim_Date2]],Table13[[#This Row],[Function Col32]])</f>
        <v>45068</v>
      </c>
      <c r="Q354" s="4">
        <v>45068</v>
      </c>
      <c r="R354" s="1" t="s">
        <v>85</v>
      </c>
      <c r="S354" s="1" t="s">
        <v>93</v>
      </c>
      <c r="T354" t="s">
        <v>1086</v>
      </c>
      <c r="V354" s="1">
        <v>-131</v>
      </c>
      <c r="W354" s="1">
        <f>IF(Table1[[#This Row],[Claim_Amount]]&lt;0,0,Table1[[#This Row],[Claim_Amount]])</f>
        <v>0</v>
      </c>
      <c r="X354" s="1" t="str">
        <f>IF(Table1[[#This Row],[Column1]]=0,"",Table1[[#This Row],[Column1]])</f>
        <v/>
      </c>
      <c r="Y354" s="1" t="s">
        <v>1098</v>
      </c>
      <c r="Z354" s="1">
        <v>2481</v>
      </c>
      <c r="AA354">
        <v>832</v>
      </c>
      <c r="AB354" s="1" t="s">
        <v>25</v>
      </c>
      <c r="AC354" s="1" t="s">
        <v>26</v>
      </c>
      <c r="AD354">
        <v>9</v>
      </c>
      <c r="AE354" s="3" t="s">
        <v>27</v>
      </c>
    </row>
    <row r="355" spans="1:31" ht="15.75" customHeight="1" x14ac:dyDescent="0.35">
      <c r="A355" s="1" t="s">
        <v>187</v>
      </c>
      <c r="B355" t="s">
        <v>1083</v>
      </c>
      <c r="C355" t="s">
        <v>1084</v>
      </c>
      <c r="D355" s="1" t="s">
        <v>586</v>
      </c>
      <c r="E355" s="5" t="s">
        <v>586</v>
      </c>
      <c r="F355" s="4" t="str">
        <f>IF(ISNUMBER(Table13[[#This Row],[Claim_Date2]]),"",Table13[[#This Row],[Claim_Date2]])</f>
        <v>Jan 27 2023</v>
      </c>
      <c r="G355" s="4" t="s">
        <v>586</v>
      </c>
      <c r="H355" s="4" t="str">
        <f>LEFT(Table13[[#This Row],[Values Col 1]],3)</f>
        <v>Jan</v>
      </c>
      <c r="I355" s="4" t="s">
        <v>1107</v>
      </c>
      <c r="J355" s="4" t="str">
        <f>MID(Table13[[#This Row],[Function Col]],5,2)</f>
        <v>27</v>
      </c>
      <c r="K355" s="4" t="s">
        <v>1124</v>
      </c>
      <c r="L355" s="4" t="str">
        <f>RIGHT(Table13[[#This Row],[Function Col]],4)</f>
        <v>2023</v>
      </c>
      <c r="M355" s="4" t="s">
        <v>1146</v>
      </c>
      <c r="N355" s="4" t="str">
        <f>IF(Table13[[#This Row],[Function Col5]]="","",_xlfn.CONCAT(Table13[[#This Row],[Day Col]],"/",Table13[[#This Row],[Month Col]],"/",Table13[[#This Row],[Year Col]]))</f>
        <v>27/Jan/2023</v>
      </c>
      <c r="O355" s="4" t="s">
        <v>1250</v>
      </c>
      <c r="P355" s="4" t="str">
        <f>IF(ISNUMBER(Table13[[#This Row],[Claim_Date2]]),Table13[[#This Row],[Claim_Date2]],Table13[[#This Row],[Function Col32]])</f>
        <v>27/Jan/2023</v>
      </c>
      <c r="Q355" s="4">
        <v>44953</v>
      </c>
      <c r="R355" s="1" t="s">
        <v>85</v>
      </c>
      <c r="S355" s="1" t="s">
        <v>93</v>
      </c>
      <c r="T355" s="1" t="s">
        <v>61</v>
      </c>
      <c r="U355" s="1"/>
      <c r="V355" s="1">
        <v>2451.0500000000002</v>
      </c>
      <c r="W355" s="1">
        <f>IF(Table1[[#This Row],[Claim_Amount]]&lt;0,0,Table1[[#This Row],[Claim_Amount]])</f>
        <v>2451.0500000000002</v>
      </c>
      <c r="X355" s="1">
        <f>IF(Table1[[#This Row],[Column1]]=0,"",Table1[[#This Row],[Column1]])</f>
        <v>2451.0500000000002</v>
      </c>
      <c r="Y355" s="1">
        <v>2451.0500000000002</v>
      </c>
      <c r="Z355" s="1">
        <v>2451.0500000000002</v>
      </c>
      <c r="AA355">
        <v>832</v>
      </c>
      <c r="AB355" s="1" t="s">
        <v>25</v>
      </c>
      <c r="AC355" s="1" t="s">
        <v>57</v>
      </c>
      <c r="AD355">
        <v>9</v>
      </c>
      <c r="AE355" s="3" t="s">
        <v>37</v>
      </c>
    </row>
    <row r="356" spans="1:31" ht="15.75" customHeight="1" x14ac:dyDescent="0.35">
      <c r="A356" s="1" t="s">
        <v>212</v>
      </c>
      <c r="B356" t="s">
        <v>1083</v>
      </c>
      <c r="C356" s="1" t="s">
        <v>139</v>
      </c>
      <c r="D356" s="1" t="s">
        <v>587</v>
      </c>
      <c r="E356" s="5">
        <v>44983</v>
      </c>
      <c r="F356" s="4" t="str">
        <f>IF(ISNUMBER(Table13[[#This Row],[Claim_Date2]]),"",Table13[[#This Row],[Claim_Date2]])</f>
        <v/>
      </c>
      <c r="G356" s="4" t="s">
        <v>1098</v>
      </c>
      <c r="H356" s="4" t="str">
        <f>LEFT(Table13[[#This Row],[Values Col 1]],3)</f>
        <v/>
      </c>
      <c r="I356" s="4" t="s">
        <v>1098</v>
      </c>
      <c r="J356" s="4" t="str">
        <f>MID(Table13[[#This Row],[Function Col]],5,2)</f>
        <v/>
      </c>
      <c r="K356" s="4" t="s">
        <v>1098</v>
      </c>
      <c r="L356" s="4" t="str">
        <f>RIGHT(Table13[[#This Row],[Function Col]],4)</f>
        <v/>
      </c>
      <c r="M356" s="4" t="s">
        <v>1098</v>
      </c>
      <c r="N356" s="4" t="str">
        <f>IF(Table13[[#This Row],[Function Col5]]="","",_xlfn.CONCAT(Table13[[#This Row],[Day Col]],"/",Table13[[#This Row],[Month Col]],"/",Table13[[#This Row],[Year Col]]))</f>
        <v/>
      </c>
      <c r="O356" s="4" t="s">
        <v>1098</v>
      </c>
      <c r="P356" s="4">
        <f>IF(ISNUMBER(Table13[[#This Row],[Claim_Date2]]),Table13[[#This Row],[Claim_Date2]],Table13[[#This Row],[Function Col32]])</f>
        <v>44983</v>
      </c>
      <c r="Q356" s="4">
        <v>44983</v>
      </c>
      <c r="R356" s="1" t="s">
        <v>85</v>
      </c>
      <c r="S356" t="s">
        <v>1085</v>
      </c>
      <c r="T356" s="1" t="s">
        <v>48</v>
      </c>
      <c r="U356" s="1"/>
      <c r="W356">
        <f>IF(Table1[[#This Row],[Claim_Amount]]&lt;0,0,Table1[[#This Row],[Claim_Amount]])</f>
        <v>0</v>
      </c>
      <c r="X356" t="str">
        <f>IF(Table1[[#This Row],[Column1]]=0,"",Table1[[#This Row],[Column1]])</f>
        <v/>
      </c>
      <c r="Y356" t="s">
        <v>1098</v>
      </c>
      <c r="Z356">
        <v>2481</v>
      </c>
      <c r="AA356">
        <v>832</v>
      </c>
      <c r="AB356" s="1" t="s">
        <v>25</v>
      </c>
      <c r="AC356" s="1" t="s">
        <v>26</v>
      </c>
      <c r="AD356">
        <v>9</v>
      </c>
      <c r="AE356" s="3" t="s">
        <v>65</v>
      </c>
    </row>
    <row r="357" spans="1:31" ht="15.75" customHeight="1" x14ac:dyDescent="0.35">
      <c r="A357" s="1" t="s">
        <v>187</v>
      </c>
      <c r="B357" t="s">
        <v>1083</v>
      </c>
      <c r="C357" t="s">
        <v>1084</v>
      </c>
      <c r="D357" s="1" t="s">
        <v>588</v>
      </c>
      <c r="E357" s="5" t="s">
        <v>588</v>
      </c>
      <c r="F357" s="4" t="str">
        <f>IF(ISNUMBER(Table13[[#This Row],[Claim_Date2]]),"",Table13[[#This Row],[Claim_Date2]])</f>
        <v>Aug 23 2023</v>
      </c>
      <c r="G357" s="4" t="s">
        <v>588</v>
      </c>
      <c r="H357" s="4" t="str">
        <f>LEFT(Table13[[#This Row],[Values Col 1]],3)</f>
        <v>Aug</v>
      </c>
      <c r="I357" s="4" t="s">
        <v>1106</v>
      </c>
      <c r="J357" s="4" t="str">
        <f>MID(Table13[[#This Row],[Function Col]],5,2)</f>
        <v>23</v>
      </c>
      <c r="K357" s="4" t="s">
        <v>1143</v>
      </c>
      <c r="L357" s="4" t="str">
        <f>RIGHT(Table13[[#This Row],[Function Col]],4)</f>
        <v>2023</v>
      </c>
      <c r="M357" s="4" t="s">
        <v>1146</v>
      </c>
      <c r="N357" s="4" t="str">
        <f>IF(Table13[[#This Row],[Function Col5]]="","",_xlfn.CONCAT(Table13[[#This Row],[Day Col]],"/",Table13[[#This Row],[Month Col]],"/",Table13[[#This Row],[Year Col]]))</f>
        <v>23/Aug/2023</v>
      </c>
      <c r="O357" s="4" t="s">
        <v>1251</v>
      </c>
      <c r="P357" s="4" t="str">
        <f>IF(ISNUMBER(Table13[[#This Row],[Claim_Date2]]),Table13[[#This Row],[Claim_Date2]],Table13[[#This Row],[Function Col32]])</f>
        <v>23/Aug/2023</v>
      </c>
      <c r="Q357" s="4">
        <v>45161</v>
      </c>
      <c r="R357" s="1" t="s">
        <v>85</v>
      </c>
      <c r="S357" t="s">
        <v>1085</v>
      </c>
      <c r="T357" s="1" t="s">
        <v>41</v>
      </c>
      <c r="U357" s="1"/>
      <c r="W357">
        <f>IF(Table1[[#This Row],[Claim_Amount]]&lt;0,0,Table1[[#This Row],[Claim_Amount]])</f>
        <v>0</v>
      </c>
      <c r="X357" t="str">
        <f>IF(Table1[[#This Row],[Column1]]=0,"",Table1[[#This Row],[Column1]])</f>
        <v/>
      </c>
      <c r="Y357" t="s">
        <v>1098</v>
      </c>
      <c r="Z357">
        <v>2481</v>
      </c>
      <c r="AA357">
        <v>832</v>
      </c>
      <c r="AB357" s="1" t="s">
        <v>1091</v>
      </c>
      <c r="AC357" s="1" t="s">
        <v>26</v>
      </c>
      <c r="AD357" s="1">
        <v>17</v>
      </c>
      <c r="AE357" s="3" t="s">
        <v>19</v>
      </c>
    </row>
    <row r="358" spans="1:31" ht="15.75" customHeight="1" x14ac:dyDescent="0.35">
      <c r="A358" s="1" t="s">
        <v>173</v>
      </c>
      <c r="B358" t="s">
        <v>1083</v>
      </c>
      <c r="C358" t="s">
        <v>1084</v>
      </c>
      <c r="D358" s="1" t="s">
        <v>589</v>
      </c>
      <c r="E358" s="5">
        <v>45039</v>
      </c>
      <c r="F358" s="4" t="str">
        <f>IF(ISNUMBER(Table13[[#This Row],[Claim_Date2]]),"",Table13[[#This Row],[Claim_Date2]])</f>
        <v/>
      </c>
      <c r="G358" s="4" t="s">
        <v>1098</v>
      </c>
      <c r="H358" s="4" t="str">
        <f>LEFT(Table13[[#This Row],[Values Col 1]],3)</f>
        <v/>
      </c>
      <c r="I358" s="4" t="s">
        <v>1098</v>
      </c>
      <c r="J358" s="4" t="str">
        <f>MID(Table13[[#This Row],[Function Col]],5,2)</f>
        <v/>
      </c>
      <c r="K358" s="4" t="s">
        <v>1098</v>
      </c>
      <c r="L358" s="4" t="str">
        <f>RIGHT(Table13[[#This Row],[Function Col]],4)</f>
        <v/>
      </c>
      <c r="M358" s="4" t="s">
        <v>1098</v>
      </c>
      <c r="N358" s="4" t="str">
        <f>IF(Table13[[#This Row],[Function Col5]]="","",_xlfn.CONCAT(Table13[[#This Row],[Day Col]],"/",Table13[[#This Row],[Month Col]],"/",Table13[[#This Row],[Year Col]]))</f>
        <v/>
      </c>
      <c r="O358" s="4" t="s">
        <v>1098</v>
      </c>
      <c r="P358" s="4">
        <f>IF(ISNUMBER(Table13[[#This Row],[Claim_Date2]]),Table13[[#This Row],[Claim_Date2]],Table13[[#This Row],[Function Col32]])</f>
        <v>45039</v>
      </c>
      <c r="Q358" s="4">
        <v>45039</v>
      </c>
      <c r="R358" s="1" t="s">
        <v>85</v>
      </c>
      <c r="S358" t="s">
        <v>1085</v>
      </c>
      <c r="T358" s="1" t="s">
        <v>54</v>
      </c>
      <c r="U358" s="1"/>
      <c r="W358">
        <f>IF(Table1[[#This Row],[Claim_Amount]]&lt;0,0,Table1[[#This Row],[Claim_Amount]])</f>
        <v>0</v>
      </c>
      <c r="X358" t="str">
        <f>IF(Table1[[#This Row],[Column1]]=0,"",Table1[[#This Row],[Column1]])</f>
        <v/>
      </c>
      <c r="Y358" t="s">
        <v>1098</v>
      </c>
      <c r="Z358">
        <v>2481</v>
      </c>
      <c r="AA358">
        <v>832</v>
      </c>
      <c r="AB358" s="1" t="s">
        <v>25</v>
      </c>
      <c r="AC358" s="1" t="s">
        <v>18</v>
      </c>
      <c r="AD358">
        <v>9</v>
      </c>
      <c r="AE358" s="3" t="s">
        <v>37</v>
      </c>
    </row>
    <row r="359" spans="1:31" ht="15.75" customHeight="1" x14ac:dyDescent="0.35">
      <c r="A359" s="1" t="s">
        <v>38</v>
      </c>
      <c r="B359" t="s">
        <v>1083</v>
      </c>
      <c r="C359" s="1" t="s">
        <v>75</v>
      </c>
      <c r="D359" s="1" t="s">
        <v>590</v>
      </c>
      <c r="E359" s="5" t="s">
        <v>590</v>
      </c>
      <c r="F359" s="4" t="str">
        <f>IF(ISNUMBER(Table13[[#This Row],[Claim_Date2]]),"",Table13[[#This Row],[Claim_Date2]])</f>
        <v>Aug 11 2023</v>
      </c>
      <c r="G359" s="4" t="s">
        <v>590</v>
      </c>
      <c r="H359" s="4" t="str">
        <f>LEFT(Table13[[#This Row],[Values Col 1]],3)</f>
        <v>Aug</v>
      </c>
      <c r="I359" s="4" t="s">
        <v>1106</v>
      </c>
      <c r="J359" s="4" t="str">
        <f>MID(Table13[[#This Row],[Function Col]],5,2)</f>
        <v>11</v>
      </c>
      <c r="K359" s="4" t="s">
        <v>1121</v>
      </c>
      <c r="L359" s="4" t="str">
        <f>RIGHT(Table13[[#This Row],[Function Col]],4)</f>
        <v>2023</v>
      </c>
      <c r="M359" s="4" t="s">
        <v>1146</v>
      </c>
      <c r="N359" s="4" t="str">
        <f>IF(Table13[[#This Row],[Function Col5]]="","",_xlfn.CONCAT(Table13[[#This Row],[Day Col]],"/",Table13[[#This Row],[Month Col]],"/",Table13[[#This Row],[Year Col]]))</f>
        <v>11/Aug/2023</v>
      </c>
      <c r="O359" s="4" t="s">
        <v>1252</v>
      </c>
      <c r="P359" s="4" t="str">
        <f>IF(ISNUMBER(Table13[[#This Row],[Claim_Date2]]),Table13[[#This Row],[Claim_Date2]],Table13[[#This Row],[Function Col32]])</f>
        <v>11/Aug/2023</v>
      </c>
      <c r="Q359" s="4">
        <v>45149</v>
      </c>
      <c r="R359" s="1" t="s">
        <v>85</v>
      </c>
      <c r="S359" s="1" t="s">
        <v>47</v>
      </c>
      <c r="T359" s="1" t="s">
        <v>24</v>
      </c>
      <c r="U359" s="1"/>
      <c r="V359" s="1">
        <v>-11</v>
      </c>
      <c r="W359" s="1">
        <f>IF(Table1[[#This Row],[Claim_Amount]]&lt;0,0,Table1[[#This Row],[Claim_Amount]])</f>
        <v>0</v>
      </c>
      <c r="X359" s="1" t="str">
        <f>IF(Table1[[#This Row],[Column1]]=0,"",Table1[[#This Row],[Column1]])</f>
        <v/>
      </c>
      <c r="Y359" s="1" t="s">
        <v>1098</v>
      </c>
      <c r="Z359" s="1">
        <v>2481</v>
      </c>
      <c r="AA359" s="1">
        <v>4901.91</v>
      </c>
      <c r="AB359" s="1" t="s">
        <v>25</v>
      </c>
      <c r="AC359" s="1" t="s">
        <v>57</v>
      </c>
      <c r="AD359">
        <v>9</v>
      </c>
      <c r="AE359" s="3" t="s">
        <v>1097</v>
      </c>
    </row>
    <row r="360" spans="1:31" ht="15.75" customHeight="1" x14ac:dyDescent="0.35">
      <c r="A360" s="1" t="s">
        <v>78</v>
      </c>
      <c r="B360" t="s">
        <v>1083</v>
      </c>
      <c r="C360" t="s">
        <v>1084</v>
      </c>
      <c r="D360" s="1" t="s">
        <v>591</v>
      </c>
      <c r="E360" s="5" t="s">
        <v>591</v>
      </c>
      <c r="F360" s="4" t="str">
        <f>IF(ISNUMBER(Table13[[#This Row],[Claim_Date2]]),"",Table13[[#This Row],[Claim_Date2]])</f>
        <v>Feb 12 2023</v>
      </c>
      <c r="G360" s="4" t="s">
        <v>591</v>
      </c>
      <c r="H360" s="4" t="str">
        <f>LEFT(Table13[[#This Row],[Values Col 1]],3)</f>
        <v>Feb</v>
      </c>
      <c r="I360" s="4" t="s">
        <v>1109</v>
      </c>
      <c r="J360" s="4" t="str">
        <f>MID(Table13[[#This Row],[Function Col]],5,2)</f>
        <v>12</v>
      </c>
      <c r="K360" s="4" t="s">
        <v>1135</v>
      </c>
      <c r="L360" s="4" t="str">
        <f>RIGHT(Table13[[#This Row],[Function Col]],4)</f>
        <v>2023</v>
      </c>
      <c r="M360" s="4" t="s">
        <v>1146</v>
      </c>
      <c r="N360" s="4" t="str">
        <f>IF(Table13[[#This Row],[Function Col5]]="","",_xlfn.CONCAT(Table13[[#This Row],[Day Col]],"/",Table13[[#This Row],[Month Col]],"/",Table13[[#This Row],[Year Col]]))</f>
        <v>12/Feb/2023</v>
      </c>
      <c r="O360" s="4" t="s">
        <v>1253</v>
      </c>
      <c r="P360" s="4" t="str">
        <f>IF(ISNUMBER(Table13[[#This Row],[Claim_Date2]]),Table13[[#This Row],[Claim_Date2]],Table13[[#This Row],[Function Col32]])</f>
        <v>12/Feb/2023</v>
      </c>
      <c r="Q360" s="4">
        <v>44969</v>
      </c>
      <c r="R360" s="1" t="s">
        <v>85</v>
      </c>
      <c r="S360" s="1" t="s">
        <v>23</v>
      </c>
      <c r="T360" t="s">
        <v>1086</v>
      </c>
      <c r="W360">
        <f>IF(Table1[[#This Row],[Claim_Amount]]&lt;0,0,Table1[[#This Row],[Claim_Amount]])</f>
        <v>0</v>
      </c>
      <c r="X360" t="str">
        <f>IF(Table1[[#This Row],[Column1]]=0,"",Table1[[#This Row],[Column1]])</f>
        <v/>
      </c>
      <c r="Y360" t="s">
        <v>1098</v>
      </c>
      <c r="Z360">
        <v>2481</v>
      </c>
      <c r="AA360" s="1">
        <v>1824.11</v>
      </c>
      <c r="AB360" s="1" t="s">
        <v>25</v>
      </c>
      <c r="AC360" s="1" t="s">
        <v>26</v>
      </c>
      <c r="AD360">
        <v>9</v>
      </c>
      <c r="AE360" s="3" t="s">
        <v>27</v>
      </c>
    </row>
    <row r="361" spans="1:31" ht="15.75" customHeight="1" x14ac:dyDescent="0.35">
      <c r="A361" s="1" t="s">
        <v>132</v>
      </c>
      <c r="B361" t="s">
        <v>1083</v>
      </c>
      <c r="C361" s="1" t="s">
        <v>156</v>
      </c>
      <c r="D361" s="1" t="s">
        <v>304</v>
      </c>
      <c r="E361" s="5" t="s">
        <v>304</v>
      </c>
      <c r="F361" s="4" t="str">
        <f>IF(ISNUMBER(Table13[[#This Row],[Claim_Date2]]),"",Table13[[#This Row],[Claim_Date2]])</f>
        <v>Mar 12 2023</v>
      </c>
      <c r="G361" s="4" t="s">
        <v>304</v>
      </c>
      <c r="H361" s="4" t="str">
        <f>LEFT(Table13[[#This Row],[Values Col 1]],3)</f>
        <v>Mar</v>
      </c>
      <c r="I361" s="4" t="s">
        <v>1100</v>
      </c>
      <c r="J361" s="4" t="str">
        <f>MID(Table13[[#This Row],[Function Col]],5,2)</f>
        <v>12</v>
      </c>
      <c r="K361" s="4" t="s">
        <v>1135</v>
      </c>
      <c r="L361" s="4" t="str">
        <f>RIGHT(Table13[[#This Row],[Function Col]],4)</f>
        <v>2023</v>
      </c>
      <c r="M361" s="4" t="s">
        <v>1146</v>
      </c>
      <c r="N361" s="4" t="str">
        <f>IF(Table13[[#This Row],[Function Col5]]="","",_xlfn.CONCAT(Table13[[#This Row],[Day Col]],"/",Table13[[#This Row],[Month Col]],"/",Table13[[#This Row],[Year Col]]))</f>
        <v>12/Mar/2023</v>
      </c>
      <c r="O361" s="4" t="s">
        <v>1190</v>
      </c>
      <c r="P361" s="4" t="str">
        <f>IF(ISNUMBER(Table13[[#This Row],[Claim_Date2]]),Table13[[#This Row],[Claim_Date2]],Table13[[#This Row],[Function Col32]])</f>
        <v>12/Mar/2023</v>
      </c>
      <c r="Q361" s="4">
        <v>44997</v>
      </c>
      <c r="R361" s="1" t="s">
        <v>77</v>
      </c>
      <c r="S361" s="1" t="s">
        <v>93</v>
      </c>
      <c r="T361" s="1" t="s">
        <v>41</v>
      </c>
      <c r="U361" s="1"/>
      <c r="V361" s="1">
        <v>3152.71</v>
      </c>
      <c r="W361" s="1">
        <f>IF(Table1[[#This Row],[Claim_Amount]]&lt;0,0,Table1[[#This Row],[Claim_Amount]])</f>
        <v>3152.71</v>
      </c>
      <c r="X361" s="1">
        <f>IF(Table1[[#This Row],[Column1]]=0,"",Table1[[#This Row],[Column1]])</f>
        <v>3152.71</v>
      </c>
      <c r="Y361" s="1">
        <v>3152.71</v>
      </c>
      <c r="Z361" s="1">
        <v>3152.71</v>
      </c>
      <c r="AA361" s="1">
        <v>4308.8900000000003</v>
      </c>
      <c r="AB361" s="1" t="s">
        <v>25</v>
      </c>
      <c r="AC361" s="1" t="s">
        <v>32</v>
      </c>
      <c r="AD361" s="1">
        <v>33</v>
      </c>
      <c r="AE361" s="3" t="s">
        <v>27</v>
      </c>
    </row>
    <row r="362" spans="1:31" ht="15.75" customHeight="1" x14ac:dyDescent="0.35">
      <c r="A362" s="1" t="s">
        <v>62</v>
      </c>
      <c r="B362" t="s">
        <v>1083</v>
      </c>
      <c r="C362" s="1" t="s">
        <v>592</v>
      </c>
      <c r="D362" s="1" t="s">
        <v>593</v>
      </c>
      <c r="E362" s="5">
        <v>44968</v>
      </c>
      <c r="F362" s="4" t="str">
        <f>IF(ISNUMBER(Table13[[#This Row],[Claim_Date2]]),"",Table13[[#This Row],[Claim_Date2]])</f>
        <v/>
      </c>
      <c r="G362" s="4" t="s">
        <v>1098</v>
      </c>
      <c r="H362" s="4" t="str">
        <f>LEFT(Table13[[#This Row],[Values Col 1]],3)</f>
        <v/>
      </c>
      <c r="I362" s="4" t="s">
        <v>1098</v>
      </c>
      <c r="J362" s="4" t="str">
        <f>MID(Table13[[#This Row],[Function Col]],5,2)</f>
        <v/>
      </c>
      <c r="K362" s="4" t="s">
        <v>1098</v>
      </c>
      <c r="L362" s="4" t="str">
        <f>RIGHT(Table13[[#This Row],[Function Col]],4)</f>
        <v/>
      </c>
      <c r="M362" s="4" t="s">
        <v>1098</v>
      </c>
      <c r="N362" s="4" t="str">
        <f>IF(Table13[[#This Row],[Function Col5]]="","",_xlfn.CONCAT(Table13[[#This Row],[Day Col]],"/",Table13[[#This Row],[Month Col]],"/",Table13[[#This Row],[Year Col]]))</f>
        <v/>
      </c>
      <c r="O362" s="4" t="s">
        <v>1098</v>
      </c>
      <c r="P362" s="4">
        <f>IF(ISNUMBER(Table13[[#This Row],[Claim_Date2]]),Table13[[#This Row],[Claim_Date2]],Table13[[#This Row],[Function Col32]])</f>
        <v>44968</v>
      </c>
      <c r="Q362" s="4">
        <v>44968</v>
      </c>
      <c r="R362" s="1" t="s">
        <v>16</v>
      </c>
      <c r="S362" s="1" t="s">
        <v>23</v>
      </c>
      <c r="T362" s="1" t="s">
        <v>54</v>
      </c>
      <c r="U362" s="1"/>
      <c r="W362">
        <f>IF(Table1[[#This Row],[Claim_Amount]]&lt;0,0,Table1[[#This Row],[Claim_Amount]])</f>
        <v>0</v>
      </c>
      <c r="X362" t="str">
        <f>IF(Table1[[#This Row],[Column1]]=0,"",Table1[[#This Row],[Column1]])</f>
        <v/>
      </c>
      <c r="Y362" t="s">
        <v>1098</v>
      </c>
      <c r="Z362">
        <v>2481</v>
      </c>
      <c r="AA362" s="1">
        <v>4445.49</v>
      </c>
      <c r="AB362" s="1" t="s">
        <v>25</v>
      </c>
      <c r="AC362" s="1" t="s">
        <v>32</v>
      </c>
      <c r="AD362">
        <v>9</v>
      </c>
      <c r="AE362" s="3" t="s">
        <v>19</v>
      </c>
    </row>
    <row r="363" spans="1:31" ht="15.75" customHeight="1" x14ac:dyDescent="0.35">
      <c r="A363" s="1" t="s">
        <v>242</v>
      </c>
      <c r="B363" s="1" t="s">
        <v>594</v>
      </c>
      <c r="C363" s="1" t="s">
        <v>336</v>
      </c>
      <c r="D363" s="1" t="s">
        <v>595</v>
      </c>
      <c r="E363" s="5">
        <v>45214</v>
      </c>
      <c r="F363" s="4" t="str">
        <f>IF(ISNUMBER(Table13[[#This Row],[Claim_Date2]]),"",Table13[[#This Row],[Claim_Date2]])</f>
        <v/>
      </c>
      <c r="G363" s="4" t="s">
        <v>1098</v>
      </c>
      <c r="H363" s="4" t="str">
        <f>LEFT(Table13[[#This Row],[Values Col 1]],3)</f>
        <v/>
      </c>
      <c r="I363" s="4" t="s">
        <v>1098</v>
      </c>
      <c r="J363" s="4" t="str">
        <f>MID(Table13[[#This Row],[Function Col]],5,2)</f>
        <v/>
      </c>
      <c r="K363" s="4" t="s">
        <v>1098</v>
      </c>
      <c r="L363" s="4" t="str">
        <f>RIGHT(Table13[[#This Row],[Function Col]],4)</f>
        <v/>
      </c>
      <c r="M363" s="4" t="s">
        <v>1098</v>
      </c>
      <c r="N363" s="4" t="str">
        <f>IF(Table13[[#This Row],[Function Col5]]="","",_xlfn.CONCAT(Table13[[#This Row],[Day Col]],"/",Table13[[#This Row],[Month Col]],"/",Table13[[#This Row],[Year Col]]))</f>
        <v/>
      </c>
      <c r="O363" s="4" t="s">
        <v>1098</v>
      </c>
      <c r="P363" s="4">
        <f>IF(ISNUMBER(Table13[[#This Row],[Claim_Date2]]),Table13[[#This Row],[Claim_Date2]],Table13[[#This Row],[Function Col32]])</f>
        <v>45214</v>
      </c>
      <c r="Q363" s="4">
        <v>45214</v>
      </c>
      <c r="R363" s="1" t="s">
        <v>92</v>
      </c>
      <c r="S363" s="1" t="s">
        <v>93</v>
      </c>
      <c r="T363" s="1" t="s">
        <v>54</v>
      </c>
      <c r="U363" s="1"/>
      <c r="W363">
        <f>IF(Table1[[#This Row],[Claim_Amount]]&lt;0,0,Table1[[#This Row],[Claim_Amount]])</f>
        <v>0</v>
      </c>
      <c r="X363" t="str">
        <f>IF(Table1[[#This Row],[Column1]]=0,"",Table1[[#This Row],[Column1]])</f>
        <v/>
      </c>
      <c r="Y363" t="s">
        <v>1098</v>
      </c>
      <c r="Z363">
        <v>2481</v>
      </c>
      <c r="AA363" s="1">
        <v>3778.21</v>
      </c>
      <c r="AB363" s="1" t="s">
        <v>42</v>
      </c>
      <c r="AC363" s="1" t="s">
        <v>32</v>
      </c>
      <c r="AD363">
        <v>9</v>
      </c>
      <c r="AE363" s="3" t="s">
        <v>1097</v>
      </c>
    </row>
    <row r="364" spans="1:31" ht="15.75" customHeight="1" x14ac:dyDescent="0.35">
      <c r="A364" s="1" t="s">
        <v>275</v>
      </c>
      <c r="B364" t="s">
        <v>1083</v>
      </c>
      <c r="C364" s="1" t="s">
        <v>416</v>
      </c>
      <c r="D364" s="1" t="s">
        <v>596</v>
      </c>
      <c r="E364" s="5">
        <v>45103</v>
      </c>
      <c r="F364" s="4" t="str">
        <f>IF(ISNUMBER(Table13[[#This Row],[Claim_Date2]]),"",Table13[[#This Row],[Claim_Date2]])</f>
        <v/>
      </c>
      <c r="G364" s="4" t="s">
        <v>1098</v>
      </c>
      <c r="H364" s="4" t="str">
        <f>LEFT(Table13[[#This Row],[Values Col 1]],3)</f>
        <v/>
      </c>
      <c r="I364" s="4" t="s">
        <v>1098</v>
      </c>
      <c r="J364" s="4" t="str">
        <f>MID(Table13[[#This Row],[Function Col]],5,2)</f>
        <v/>
      </c>
      <c r="K364" s="4" t="s">
        <v>1098</v>
      </c>
      <c r="L364" s="4" t="str">
        <f>RIGHT(Table13[[#This Row],[Function Col]],4)</f>
        <v/>
      </c>
      <c r="M364" s="4" t="s">
        <v>1098</v>
      </c>
      <c r="N364" s="4" t="str">
        <f>IF(Table13[[#This Row],[Function Col5]]="","",_xlfn.CONCAT(Table13[[#This Row],[Day Col]],"/",Table13[[#This Row],[Month Col]],"/",Table13[[#This Row],[Year Col]]))</f>
        <v/>
      </c>
      <c r="O364" s="4" t="s">
        <v>1098</v>
      </c>
      <c r="P364" s="4">
        <f>IF(ISNUMBER(Table13[[#This Row],[Claim_Date2]]),Table13[[#This Row],[Claim_Date2]],Table13[[#This Row],[Function Col32]])</f>
        <v>45103</v>
      </c>
      <c r="Q364" s="4">
        <v>45103</v>
      </c>
      <c r="R364" s="1" t="s">
        <v>30</v>
      </c>
      <c r="S364" s="1" t="s">
        <v>47</v>
      </c>
      <c r="T364" s="1" t="s">
        <v>61</v>
      </c>
      <c r="U364" s="1"/>
      <c r="W364">
        <f>IF(Table1[[#This Row],[Claim_Amount]]&lt;0,0,Table1[[#This Row],[Claim_Amount]])</f>
        <v>0</v>
      </c>
      <c r="X364" t="str">
        <f>IF(Table1[[#This Row],[Column1]]=0,"",Table1[[#This Row],[Column1]])</f>
        <v/>
      </c>
      <c r="Y364" t="s">
        <v>1098</v>
      </c>
      <c r="Z364">
        <v>2481</v>
      </c>
      <c r="AA364">
        <v>832</v>
      </c>
      <c r="AB364" s="1" t="s">
        <v>25</v>
      </c>
      <c r="AC364" s="1" t="s">
        <v>18</v>
      </c>
      <c r="AD364">
        <v>9</v>
      </c>
      <c r="AE364" s="3" t="s">
        <v>19</v>
      </c>
    </row>
    <row r="365" spans="1:31" ht="15.75" customHeight="1" x14ac:dyDescent="0.35">
      <c r="A365" s="1" t="s">
        <v>96</v>
      </c>
      <c r="B365" s="1" t="s">
        <v>597</v>
      </c>
      <c r="C365" s="1" t="s">
        <v>112</v>
      </c>
      <c r="D365" s="1" t="s">
        <v>598</v>
      </c>
      <c r="E365" s="5">
        <v>44982</v>
      </c>
      <c r="F365" s="4" t="str">
        <f>IF(ISNUMBER(Table13[[#This Row],[Claim_Date2]]),"",Table13[[#This Row],[Claim_Date2]])</f>
        <v/>
      </c>
      <c r="G365" s="4" t="s">
        <v>1098</v>
      </c>
      <c r="H365" s="4" t="str">
        <f>LEFT(Table13[[#This Row],[Values Col 1]],3)</f>
        <v/>
      </c>
      <c r="I365" s="4" t="s">
        <v>1098</v>
      </c>
      <c r="J365" s="4" t="str">
        <f>MID(Table13[[#This Row],[Function Col]],5,2)</f>
        <v/>
      </c>
      <c r="K365" s="4" t="s">
        <v>1098</v>
      </c>
      <c r="L365" s="4" t="str">
        <f>RIGHT(Table13[[#This Row],[Function Col]],4)</f>
        <v/>
      </c>
      <c r="M365" s="4" t="s">
        <v>1098</v>
      </c>
      <c r="N365" s="4" t="str">
        <f>IF(Table13[[#This Row],[Function Col5]]="","",_xlfn.CONCAT(Table13[[#This Row],[Day Col]],"/",Table13[[#This Row],[Month Col]],"/",Table13[[#This Row],[Year Col]]))</f>
        <v/>
      </c>
      <c r="O365" s="4" t="s">
        <v>1098</v>
      </c>
      <c r="P365" s="4">
        <f>IF(ISNUMBER(Table13[[#This Row],[Claim_Date2]]),Table13[[#This Row],[Claim_Date2]],Table13[[#This Row],[Function Col32]])</f>
        <v>44982</v>
      </c>
      <c r="Q365" s="4">
        <v>44982</v>
      </c>
      <c r="R365" s="1" t="s">
        <v>16</v>
      </c>
      <c r="S365" s="1" t="s">
        <v>93</v>
      </c>
      <c r="T365" s="1" t="s">
        <v>48</v>
      </c>
      <c r="U365" s="1"/>
      <c r="V365" s="1">
        <v>794.97</v>
      </c>
      <c r="W365" s="1">
        <f>IF(Table1[[#This Row],[Claim_Amount]]&lt;0,0,Table1[[#This Row],[Claim_Amount]])</f>
        <v>794.97</v>
      </c>
      <c r="X365" s="1">
        <f>IF(Table1[[#This Row],[Column1]]=0,"",Table1[[#This Row],[Column1]])</f>
        <v>794.97</v>
      </c>
      <c r="Y365" s="1">
        <v>794.97</v>
      </c>
      <c r="Z365" s="1">
        <v>794.97</v>
      </c>
      <c r="AA365">
        <v>832</v>
      </c>
      <c r="AB365" s="1" t="s">
        <v>1091</v>
      </c>
      <c r="AC365" s="1" t="s">
        <v>18</v>
      </c>
      <c r="AD365">
        <v>9</v>
      </c>
      <c r="AE365" s="3" t="s">
        <v>37</v>
      </c>
    </row>
    <row r="366" spans="1:31" ht="15.75" customHeight="1" x14ac:dyDescent="0.35">
      <c r="A366" s="1" t="s">
        <v>215</v>
      </c>
      <c r="B366" t="s">
        <v>1083</v>
      </c>
      <c r="C366" t="s">
        <v>1084</v>
      </c>
      <c r="D366" s="1" t="s">
        <v>405</v>
      </c>
      <c r="E366" s="5">
        <v>45023</v>
      </c>
      <c r="F366" s="4" t="str">
        <f>IF(ISNUMBER(Table13[[#This Row],[Claim_Date2]]),"",Table13[[#This Row],[Claim_Date2]])</f>
        <v/>
      </c>
      <c r="G366" s="4" t="s">
        <v>1098</v>
      </c>
      <c r="H366" s="4" t="str">
        <f>LEFT(Table13[[#This Row],[Values Col 1]],3)</f>
        <v/>
      </c>
      <c r="I366" s="4" t="s">
        <v>1098</v>
      </c>
      <c r="J366" s="4" t="str">
        <f>MID(Table13[[#This Row],[Function Col]],5,2)</f>
        <v/>
      </c>
      <c r="K366" s="4" t="s">
        <v>1098</v>
      </c>
      <c r="L366" s="4" t="str">
        <f>RIGHT(Table13[[#This Row],[Function Col]],4)</f>
        <v/>
      </c>
      <c r="M366" s="4" t="s">
        <v>1098</v>
      </c>
      <c r="N366" s="4" t="str">
        <f>IF(Table13[[#This Row],[Function Col5]]="","",_xlfn.CONCAT(Table13[[#This Row],[Day Col]],"/",Table13[[#This Row],[Month Col]],"/",Table13[[#This Row],[Year Col]]))</f>
        <v/>
      </c>
      <c r="O366" s="4" t="s">
        <v>1098</v>
      </c>
      <c r="P366" s="4">
        <f>IF(ISNUMBER(Table13[[#This Row],[Claim_Date2]]),Table13[[#This Row],[Claim_Date2]],Table13[[#This Row],[Function Col32]])</f>
        <v>45023</v>
      </c>
      <c r="Q366" s="4">
        <v>45023</v>
      </c>
      <c r="R366" s="1" t="s">
        <v>85</v>
      </c>
      <c r="S366" s="1" t="s">
        <v>47</v>
      </c>
      <c r="T366" t="s">
        <v>1086</v>
      </c>
      <c r="W366">
        <f>IF(Table1[[#This Row],[Claim_Amount]]&lt;0,0,Table1[[#This Row],[Claim_Amount]])</f>
        <v>0</v>
      </c>
      <c r="X366" t="str">
        <f>IF(Table1[[#This Row],[Column1]]=0,"",Table1[[#This Row],[Column1]])</f>
        <v/>
      </c>
      <c r="Y366" t="s">
        <v>1098</v>
      </c>
      <c r="Z366">
        <v>2481</v>
      </c>
      <c r="AA366">
        <v>832</v>
      </c>
      <c r="AB366" s="1" t="s">
        <v>25</v>
      </c>
      <c r="AC366" s="1" t="s">
        <v>57</v>
      </c>
      <c r="AD366">
        <v>9</v>
      </c>
      <c r="AE366" s="3" t="s">
        <v>1097</v>
      </c>
    </row>
    <row r="367" spans="1:31" ht="15.75" customHeight="1" x14ac:dyDescent="0.35">
      <c r="A367" s="1" t="s">
        <v>20</v>
      </c>
      <c r="B367" t="s">
        <v>1083</v>
      </c>
      <c r="C367" s="1" t="s">
        <v>94</v>
      </c>
      <c r="D367" s="1" t="s">
        <v>599</v>
      </c>
      <c r="E367" s="5">
        <v>45083</v>
      </c>
      <c r="F367" s="4" t="str">
        <f>IF(ISNUMBER(Table13[[#This Row],[Claim_Date2]]),"",Table13[[#This Row],[Claim_Date2]])</f>
        <v/>
      </c>
      <c r="G367" s="4" t="s">
        <v>1098</v>
      </c>
      <c r="H367" s="4" t="str">
        <f>LEFT(Table13[[#This Row],[Values Col 1]],3)</f>
        <v/>
      </c>
      <c r="I367" s="4" t="s">
        <v>1098</v>
      </c>
      <c r="J367" s="4" t="str">
        <f>MID(Table13[[#This Row],[Function Col]],5,2)</f>
        <v/>
      </c>
      <c r="K367" s="4" t="s">
        <v>1098</v>
      </c>
      <c r="L367" s="4" t="str">
        <f>RIGHT(Table13[[#This Row],[Function Col]],4)</f>
        <v/>
      </c>
      <c r="M367" s="4" t="s">
        <v>1098</v>
      </c>
      <c r="N367" s="4" t="str">
        <f>IF(Table13[[#This Row],[Function Col5]]="","",_xlfn.CONCAT(Table13[[#This Row],[Day Col]],"/",Table13[[#This Row],[Month Col]],"/",Table13[[#This Row],[Year Col]]))</f>
        <v/>
      </c>
      <c r="O367" s="4" t="s">
        <v>1098</v>
      </c>
      <c r="P367" s="4">
        <f>IF(ISNUMBER(Table13[[#This Row],[Claim_Date2]]),Table13[[#This Row],[Claim_Date2]],Table13[[#This Row],[Function Col32]])</f>
        <v>45083</v>
      </c>
      <c r="Q367" s="4">
        <v>45083</v>
      </c>
      <c r="R367" s="1" t="s">
        <v>77</v>
      </c>
      <c r="S367" s="1" t="s">
        <v>31</v>
      </c>
      <c r="T367" s="1" t="s">
        <v>41</v>
      </c>
      <c r="U367" s="1"/>
      <c r="W367">
        <f>IF(Table1[[#This Row],[Claim_Amount]]&lt;0,0,Table1[[#This Row],[Claim_Amount]])</f>
        <v>0</v>
      </c>
      <c r="X367" t="str">
        <f>IF(Table1[[#This Row],[Column1]]=0,"",Table1[[#This Row],[Column1]])</f>
        <v/>
      </c>
      <c r="Y367" t="s">
        <v>1098</v>
      </c>
      <c r="Z367">
        <v>2481</v>
      </c>
      <c r="AA367">
        <v>832</v>
      </c>
      <c r="AB367" s="1" t="s">
        <v>17</v>
      </c>
      <c r="AC367" s="1" t="s">
        <v>57</v>
      </c>
      <c r="AD367" s="1">
        <v>59</v>
      </c>
      <c r="AE367" s="3" t="s">
        <v>1097</v>
      </c>
    </row>
    <row r="368" spans="1:31" ht="15.75" customHeight="1" x14ac:dyDescent="0.35">
      <c r="A368" s="1" t="s">
        <v>261</v>
      </c>
      <c r="B368" s="1" t="s">
        <v>600</v>
      </c>
      <c r="C368" s="1" t="s">
        <v>271</v>
      </c>
      <c r="D368" s="1" t="s">
        <v>601</v>
      </c>
      <c r="E368" s="5">
        <v>45009</v>
      </c>
      <c r="F368" s="4" t="str">
        <f>IF(ISNUMBER(Table13[[#This Row],[Claim_Date2]]),"",Table13[[#This Row],[Claim_Date2]])</f>
        <v/>
      </c>
      <c r="G368" s="4" t="s">
        <v>1098</v>
      </c>
      <c r="H368" s="4" t="str">
        <f>LEFT(Table13[[#This Row],[Values Col 1]],3)</f>
        <v/>
      </c>
      <c r="I368" s="4" t="s">
        <v>1098</v>
      </c>
      <c r="J368" s="4" t="str">
        <f>MID(Table13[[#This Row],[Function Col]],5,2)</f>
        <v/>
      </c>
      <c r="K368" s="4" t="s">
        <v>1098</v>
      </c>
      <c r="L368" s="4" t="str">
        <f>RIGHT(Table13[[#This Row],[Function Col]],4)</f>
        <v/>
      </c>
      <c r="M368" s="4" t="s">
        <v>1098</v>
      </c>
      <c r="N368" s="4" t="str">
        <f>IF(Table13[[#This Row],[Function Col5]]="","",_xlfn.CONCAT(Table13[[#This Row],[Day Col]],"/",Table13[[#This Row],[Month Col]],"/",Table13[[#This Row],[Year Col]]))</f>
        <v/>
      </c>
      <c r="O368" s="4" t="s">
        <v>1098</v>
      </c>
      <c r="P368" s="4">
        <f>IF(ISNUMBER(Table13[[#This Row],[Claim_Date2]]),Table13[[#This Row],[Claim_Date2]],Table13[[#This Row],[Function Col32]])</f>
        <v>45009</v>
      </c>
      <c r="Q368" s="4">
        <v>45009</v>
      </c>
      <c r="R368" s="1" t="s">
        <v>92</v>
      </c>
      <c r="S368" s="1" t="s">
        <v>47</v>
      </c>
      <c r="T368" s="1" t="s">
        <v>24</v>
      </c>
      <c r="U368" s="1"/>
      <c r="W368">
        <f>IF(Table1[[#This Row],[Claim_Amount]]&lt;0,0,Table1[[#This Row],[Claim_Amount]])</f>
        <v>0</v>
      </c>
      <c r="X368" t="str">
        <f>IF(Table1[[#This Row],[Column1]]=0,"",Table1[[#This Row],[Column1]])</f>
        <v/>
      </c>
      <c r="Y368" t="s">
        <v>1098</v>
      </c>
      <c r="Z368">
        <v>2481</v>
      </c>
      <c r="AA368">
        <v>832</v>
      </c>
      <c r="AB368" s="1" t="s">
        <v>25</v>
      </c>
      <c r="AC368" s="1" t="s">
        <v>32</v>
      </c>
      <c r="AD368" s="1">
        <v>22</v>
      </c>
      <c r="AE368" s="3" t="s">
        <v>27</v>
      </c>
    </row>
    <row r="369" spans="1:31" ht="15.75" customHeight="1" x14ac:dyDescent="0.35">
      <c r="A369" s="1" t="s">
        <v>215</v>
      </c>
      <c r="B369" s="1" t="s">
        <v>602</v>
      </c>
      <c r="C369" t="s">
        <v>1084</v>
      </c>
      <c r="D369" s="1" t="s">
        <v>603</v>
      </c>
      <c r="E369" s="5">
        <v>44939</v>
      </c>
      <c r="F369" s="4" t="str">
        <f>IF(ISNUMBER(Table13[[#This Row],[Claim_Date2]]),"",Table13[[#This Row],[Claim_Date2]])</f>
        <v/>
      </c>
      <c r="G369" s="4" t="s">
        <v>1098</v>
      </c>
      <c r="H369" s="4" t="str">
        <f>LEFT(Table13[[#This Row],[Values Col 1]],3)</f>
        <v/>
      </c>
      <c r="I369" s="4" t="s">
        <v>1098</v>
      </c>
      <c r="J369" s="4" t="str">
        <f>MID(Table13[[#This Row],[Function Col]],5,2)</f>
        <v/>
      </c>
      <c r="K369" s="4" t="s">
        <v>1098</v>
      </c>
      <c r="L369" s="4" t="str">
        <f>RIGHT(Table13[[#This Row],[Function Col]],4)</f>
        <v/>
      </c>
      <c r="M369" s="4" t="s">
        <v>1098</v>
      </c>
      <c r="N369" s="4" t="str">
        <f>IF(Table13[[#This Row],[Function Col5]]="","",_xlfn.CONCAT(Table13[[#This Row],[Day Col]],"/",Table13[[#This Row],[Month Col]],"/",Table13[[#This Row],[Year Col]]))</f>
        <v/>
      </c>
      <c r="O369" s="4" t="s">
        <v>1098</v>
      </c>
      <c r="P369" s="4">
        <f>IF(ISNUMBER(Table13[[#This Row],[Claim_Date2]]),Table13[[#This Row],[Claim_Date2]],Table13[[#This Row],[Function Col32]])</f>
        <v>44939</v>
      </c>
      <c r="Q369" s="4">
        <v>44939</v>
      </c>
      <c r="R369" s="1" t="s">
        <v>85</v>
      </c>
      <c r="S369" s="1" t="s">
        <v>93</v>
      </c>
      <c r="T369" s="1" t="s">
        <v>48</v>
      </c>
      <c r="U369" s="1"/>
      <c r="V369" s="1">
        <v>4642.67</v>
      </c>
      <c r="W369" s="1">
        <f>IF(Table1[[#This Row],[Claim_Amount]]&lt;0,0,Table1[[#This Row],[Claim_Amount]])</f>
        <v>4642.67</v>
      </c>
      <c r="X369" s="1">
        <f>IF(Table1[[#This Row],[Column1]]=0,"",Table1[[#This Row],[Column1]])</f>
        <v>4642.67</v>
      </c>
      <c r="Y369" s="1">
        <v>4642.67</v>
      </c>
      <c r="Z369" s="1">
        <v>4642.67</v>
      </c>
      <c r="AA369">
        <v>832</v>
      </c>
      <c r="AB369" s="1" t="s">
        <v>1091</v>
      </c>
      <c r="AC369" s="1" t="s">
        <v>32</v>
      </c>
      <c r="AD369">
        <v>9</v>
      </c>
      <c r="AE369" s="3" t="s">
        <v>27</v>
      </c>
    </row>
    <row r="370" spans="1:31" ht="15.75" customHeight="1" x14ac:dyDescent="0.35">
      <c r="A370" s="1" t="s">
        <v>285</v>
      </c>
      <c r="B370" t="s">
        <v>1083</v>
      </c>
      <c r="C370" s="1" t="s">
        <v>158</v>
      </c>
      <c r="D370" s="1" t="s">
        <v>604</v>
      </c>
      <c r="E370" s="5" t="s">
        <v>604</v>
      </c>
      <c r="F370" s="4" t="str">
        <f>IF(ISNUMBER(Table13[[#This Row],[Claim_Date2]]),"",Table13[[#This Row],[Claim_Date2]])</f>
        <v>Jun 23 2023</v>
      </c>
      <c r="G370" s="4" t="s">
        <v>604</v>
      </c>
      <c r="H370" s="4" t="str">
        <f>LEFT(Table13[[#This Row],[Values Col 1]],3)</f>
        <v>Jun</v>
      </c>
      <c r="I370" s="4" t="s">
        <v>1108</v>
      </c>
      <c r="J370" s="4" t="str">
        <f>MID(Table13[[#This Row],[Function Col]],5,2)</f>
        <v>23</v>
      </c>
      <c r="K370" s="4" t="s">
        <v>1143</v>
      </c>
      <c r="L370" s="4" t="str">
        <f>RIGHT(Table13[[#This Row],[Function Col]],4)</f>
        <v>2023</v>
      </c>
      <c r="M370" s="4" t="s">
        <v>1146</v>
      </c>
      <c r="N370" s="4" t="str">
        <f>IF(Table13[[#This Row],[Function Col5]]="","",_xlfn.CONCAT(Table13[[#This Row],[Day Col]],"/",Table13[[#This Row],[Month Col]],"/",Table13[[#This Row],[Year Col]]))</f>
        <v>23/Jun/2023</v>
      </c>
      <c r="O370" s="4" t="s">
        <v>1254</v>
      </c>
      <c r="P370" s="4" t="str">
        <f>IF(ISNUMBER(Table13[[#This Row],[Claim_Date2]]),Table13[[#This Row],[Claim_Date2]],Table13[[#This Row],[Function Col32]])</f>
        <v>23/Jun/2023</v>
      </c>
      <c r="Q370" s="4">
        <v>45100</v>
      </c>
      <c r="R370" s="1" t="s">
        <v>16</v>
      </c>
      <c r="S370" t="s">
        <v>1085</v>
      </c>
      <c r="T370" s="1" t="s">
        <v>48</v>
      </c>
      <c r="U370" s="1"/>
      <c r="V370" s="1">
        <v>4505.8599999999997</v>
      </c>
      <c r="W370" s="1">
        <f>IF(Table1[[#This Row],[Claim_Amount]]&lt;0,0,Table1[[#This Row],[Claim_Amount]])</f>
        <v>4505.8599999999997</v>
      </c>
      <c r="X370" s="1">
        <f>IF(Table1[[#This Row],[Column1]]=0,"",Table1[[#This Row],[Column1]])</f>
        <v>4505.8599999999997</v>
      </c>
      <c r="Y370" s="1">
        <v>4505.8599999999997</v>
      </c>
      <c r="Z370" s="1">
        <v>4505.8599999999997</v>
      </c>
      <c r="AA370">
        <v>832</v>
      </c>
      <c r="AB370" s="1" t="s">
        <v>1091</v>
      </c>
      <c r="AC370" s="1" t="s">
        <v>18</v>
      </c>
      <c r="AD370">
        <v>9</v>
      </c>
      <c r="AE370" s="3" t="s">
        <v>19</v>
      </c>
    </row>
    <row r="371" spans="1:31" ht="15.75" customHeight="1" x14ac:dyDescent="0.35">
      <c r="A371" s="1" t="s">
        <v>58</v>
      </c>
      <c r="B371" t="s">
        <v>1083</v>
      </c>
      <c r="C371" s="1" t="s">
        <v>336</v>
      </c>
      <c r="D371" s="1" t="s">
        <v>605</v>
      </c>
      <c r="E371" s="5">
        <v>45196</v>
      </c>
      <c r="F371" s="4" t="str">
        <f>IF(ISNUMBER(Table13[[#This Row],[Claim_Date2]]),"",Table13[[#This Row],[Claim_Date2]])</f>
        <v/>
      </c>
      <c r="G371" s="4" t="s">
        <v>1098</v>
      </c>
      <c r="H371" s="4" t="str">
        <f>LEFT(Table13[[#This Row],[Values Col 1]],3)</f>
        <v/>
      </c>
      <c r="I371" s="4" t="s">
        <v>1098</v>
      </c>
      <c r="J371" s="4" t="str">
        <f>MID(Table13[[#This Row],[Function Col]],5,2)</f>
        <v/>
      </c>
      <c r="K371" s="4" t="s">
        <v>1098</v>
      </c>
      <c r="L371" s="4" t="str">
        <f>RIGHT(Table13[[#This Row],[Function Col]],4)</f>
        <v/>
      </c>
      <c r="M371" s="4" t="s">
        <v>1098</v>
      </c>
      <c r="N371" s="4" t="str">
        <f>IF(Table13[[#This Row],[Function Col5]]="","",_xlfn.CONCAT(Table13[[#This Row],[Day Col]],"/",Table13[[#This Row],[Month Col]],"/",Table13[[#This Row],[Year Col]]))</f>
        <v/>
      </c>
      <c r="O371" s="4" t="s">
        <v>1098</v>
      </c>
      <c r="P371" s="4">
        <f>IF(ISNUMBER(Table13[[#This Row],[Claim_Date2]]),Table13[[#This Row],[Claim_Date2]],Table13[[#This Row],[Function Col32]])</f>
        <v>45196</v>
      </c>
      <c r="Q371" s="4">
        <v>45196</v>
      </c>
      <c r="R371" s="1" t="s">
        <v>85</v>
      </c>
      <c r="S371" s="1" t="s">
        <v>23</v>
      </c>
      <c r="T371" s="1" t="s">
        <v>61</v>
      </c>
      <c r="U371" s="1"/>
      <c r="V371" s="1">
        <v>2715.14</v>
      </c>
      <c r="W371" s="1">
        <f>IF(Table1[[#This Row],[Claim_Amount]]&lt;0,0,Table1[[#This Row],[Claim_Amount]])</f>
        <v>2715.14</v>
      </c>
      <c r="X371" s="1">
        <f>IF(Table1[[#This Row],[Column1]]=0,"",Table1[[#This Row],[Column1]])</f>
        <v>2715.14</v>
      </c>
      <c r="Y371" s="1">
        <v>2715.14</v>
      </c>
      <c r="Z371" s="1">
        <v>2715.14</v>
      </c>
      <c r="AA371">
        <v>832</v>
      </c>
      <c r="AB371" s="1" t="s">
        <v>17</v>
      </c>
      <c r="AC371" s="1" t="s">
        <v>1093</v>
      </c>
      <c r="AD371">
        <v>9</v>
      </c>
      <c r="AE371" s="3" t="s">
        <v>1097</v>
      </c>
    </row>
    <row r="372" spans="1:31" ht="15.75" customHeight="1" x14ac:dyDescent="0.35">
      <c r="A372" s="1" t="s">
        <v>163</v>
      </c>
      <c r="B372" t="s">
        <v>1083</v>
      </c>
      <c r="C372" t="s">
        <v>1084</v>
      </c>
      <c r="D372" s="1" t="s">
        <v>606</v>
      </c>
      <c r="E372" s="5">
        <v>45145</v>
      </c>
      <c r="F372" s="4" t="str">
        <f>IF(ISNUMBER(Table13[[#This Row],[Claim_Date2]]),"",Table13[[#This Row],[Claim_Date2]])</f>
        <v/>
      </c>
      <c r="G372" s="4" t="s">
        <v>1098</v>
      </c>
      <c r="H372" s="4" t="str">
        <f>LEFT(Table13[[#This Row],[Values Col 1]],3)</f>
        <v/>
      </c>
      <c r="I372" s="4" t="s">
        <v>1098</v>
      </c>
      <c r="J372" s="4" t="str">
        <f>MID(Table13[[#This Row],[Function Col]],5,2)</f>
        <v/>
      </c>
      <c r="K372" s="4" t="s">
        <v>1098</v>
      </c>
      <c r="L372" s="4" t="str">
        <f>RIGHT(Table13[[#This Row],[Function Col]],4)</f>
        <v/>
      </c>
      <c r="M372" s="4" t="s">
        <v>1098</v>
      </c>
      <c r="N372" s="4" t="str">
        <f>IF(Table13[[#This Row],[Function Col5]]="","",_xlfn.CONCAT(Table13[[#This Row],[Day Col]],"/",Table13[[#This Row],[Month Col]],"/",Table13[[#This Row],[Year Col]]))</f>
        <v/>
      </c>
      <c r="O372" s="4" t="s">
        <v>1098</v>
      </c>
      <c r="P372" s="4">
        <f>IF(ISNUMBER(Table13[[#This Row],[Claim_Date2]]),Table13[[#This Row],[Claim_Date2]],Table13[[#This Row],[Function Col32]])</f>
        <v>45145</v>
      </c>
      <c r="Q372" s="4">
        <v>45145</v>
      </c>
      <c r="R372" s="1" t="s">
        <v>92</v>
      </c>
      <c r="S372" s="1" t="s">
        <v>23</v>
      </c>
      <c r="T372" s="1" t="s">
        <v>41</v>
      </c>
      <c r="U372" s="1"/>
      <c r="V372" s="1">
        <v>-88</v>
      </c>
      <c r="W372" s="1">
        <f>IF(Table1[[#This Row],[Claim_Amount]]&lt;0,0,Table1[[#This Row],[Claim_Amount]])</f>
        <v>0</v>
      </c>
      <c r="X372" s="1" t="str">
        <f>IF(Table1[[#This Row],[Column1]]=0,"",Table1[[#This Row],[Column1]])</f>
        <v/>
      </c>
      <c r="Y372" s="1" t="s">
        <v>1098</v>
      </c>
      <c r="Z372" s="1">
        <v>2481</v>
      </c>
      <c r="AA372" s="1">
        <v>4377.79</v>
      </c>
      <c r="AB372" s="1" t="s">
        <v>17</v>
      </c>
      <c r="AC372" s="1" t="s">
        <v>1093</v>
      </c>
      <c r="AD372">
        <v>9</v>
      </c>
      <c r="AE372" s="3" t="s">
        <v>37</v>
      </c>
    </row>
    <row r="373" spans="1:31" ht="15.75" customHeight="1" x14ac:dyDescent="0.35">
      <c r="A373" s="1" t="s">
        <v>261</v>
      </c>
      <c r="B373" t="s">
        <v>1083</v>
      </c>
      <c r="C373" t="s">
        <v>1084</v>
      </c>
      <c r="D373" s="1" t="s">
        <v>607</v>
      </c>
      <c r="E373" s="5">
        <v>44998</v>
      </c>
      <c r="F373" s="4" t="str">
        <f>IF(ISNUMBER(Table13[[#This Row],[Claim_Date2]]),"",Table13[[#This Row],[Claim_Date2]])</f>
        <v/>
      </c>
      <c r="G373" s="4" t="s">
        <v>1098</v>
      </c>
      <c r="H373" s="4" t="str">
        <f>LEFT(Table13[[#This Row],[Values Col 1]],3)</f>
        <v/>
      </c>
      <c r="I373" s="4" t="s">
        <v>1098</v>
      </c>
      <c r="J373" s="4" t="str">
        <f>MID(Table13[[#This Row],[Function Col]],5,2)</f>
        <v/>
      </c>
      <c r="K373" s="4" t="s">
        <v>1098</v>
      </c>
      <c r="L373" s="4" t="str">
        <f>RIGHT(Table13[[#This Row],[Function Col]],4)</f>
        <v/>
      </c>
      <c r="M373" s="4" t="s">
        <v>1098</v>
      </c>
      <c r="N373" s="4" t="str">
        <f>IF(Table13[[#This Row],[Function Col5]]="","",_xlfn.CONCAT(Table13[[#This Row],[Day Col]],"/",Table13[[#This Row],[Month Col]],"/",Table13[[#This Row],[Year Col]]))</f>
        <v/>
      </c>
      <c r="O373" s="4" t="s">
        <v>1098</v>
      </c>
      <c r="P373" s="4">
        <f>IF(ISNUMBER(Table13[[#This Row],[Claim_Date2]]),Table13[[#This Row],[Claim_Date2]],Table13[[#This Row],[Function Col32]])</f>
        <v>44998</v>
      </c>
      <c r="Q373" s="4">
        <v>44998</v>
      </c>
      <c r="R373" s="1" t="s">
        <v>85</v>
      </c>
      <c r="S373" s="1" t="s">
        <v>93</v>
      </c>
      <c r="T373" s="1" t="s">
        <v>41</v>
      </c>
      <c r="U373" s="1"/>
      <c r="W373">
        <f>IF(Table1[[#This Row],[Claim_Amount]]&lt;0,0,Table1[[#This Row],[Claim_Amount]])</f>
        <v>0</v>
      </c>
      <c r="X373" t="str">
        <f>IF(Table1[[#This Row],[Column1]]=0,"",Table1[[#This Row],[Column1]])</f>
        <v/>
      </c>
      <c r="Y373" t="s">
        <v>1098</v>
      </c>
      <c r="Z373">
        <v>2481</v>
      </c>
      <c r="AA373">
        <v>832</v>
      </c>
      <c r="AB373" s="1" t="s">
        <v>25</v>
      </c>
      <c r="AC373" s="1" t="s">
        <v>26</v>
      </c>
      <c r="AD373">
        <v>9</v>
      </c>
      <c r="AE373" s="3" t="s">
        <v>27</v>
      </c>
    </row>
    <row r="374" spans="1:31" ht="15.75" customHeight="1" x14ac:dyDescent="0.35">
      <c r="A374" s="1" t="s">
        <v>70</v>
      </c>
      <c r="B374" t="s">
        <v>1083</v>
      </c>
      <c r="C374" s="1" t="s">
        <v>503</v>
      </c>
      <c r="D374" s="1" t="s">
        <v>608</v>
      </c>
      <c r="E374" s="5">
        <v>45022</v>
      </c>
      <c r="F374" s="4" t="str">
        <f>IF(ISNUMBER(Table13[[#This Row],[Claim_Date2]]),"",Table13[[#This Row],[Claim_Date2]])</f>
        <v/>
      </c>
      <c r="G374" s="4" t="s">
        <v>1098</v>
      </c>
      <c r="H374" s="4" t="str">
        <f>LEFT(Table13[[#This Row],[Values Col 1]],3)</f>
        <v/>
      </c>
      <c r="I374" s="4" t="s">
        <v>1098</v>
      </c>
      <c r="J374" s="4" t="str">
        <f>MID(Table13[[#This Row],[Function Col]],5,2)</f>
        <v/>
      </c>
      <c r="K374" s="4" t="s">
        <v>1098</v>
      </c>
      <c r="L374" s="4" t="str">
        <f>RIGHT(Table13[[#This Row],[Function Col]],4)</f>
        <v/>
      </c>
      <c r="M374" s="4" t="s">
        <v>1098</v>
      </c>
      <c r="N374" s="4" t="str">
        <f>IF(Table13[[#This Row],[Function Col5]]="","",_xlfn.CONCAT(Table13[[#This Row],[Day Col]],"/",Table13[[#This Row],[Month Col]],"/",Table13[[#This Row],[Year Col]]))</f>
        <v/>
      </c>
      <c r="O374" s="4" t="s">
        <v>1098</v>
      </c>
      <c r="P374" s="4">
        <f>IF(ISNUMBER(Table13[[#This Row],[Claim_Date2]]),Table13[[#This Row],[Claim_Date2]],Table13[[#This Row],[Function Col32]])</f>
        <v>45022</v>
      </c>
      <c r="Q374" s="4">
        <v>45022</v>
      </c>
      <c r="R374" s="1" t="s">
        <v>30</v>
      </c>
      <c r="S374" s="1" t="s">
        <v>53</v>
      </c>
      <c r="T374" s="1" t="s">
        <v>61</v>
      </c>
      <c r="U374" s="1"/>
      <c r="W374">
        <f>IF(Table1[[#This Row],[Claim_Amount]]&lt;0,0,Table1[[#This Row],[Claim_Amount]])</f>
        <v>0</v>
      </c>
      <c r="X374" t="str">
        <f>IF(Table1[[#This Row],[Column1]]=0,"",Table1[[#This Row],[Column1]])</f>
        <v/>
      </c>
      <c r="Y374" t="s">
        <v>1098</v>
      </c>
      <c r="Z374">
        <v>2481</v>
      </c>
      <c r="AA374">
        <v>832</v>
      </c>
      <c r="AB374" s="1" t="s">
        <v>25</v>
      </c>
      <c r="AC374" s="1" t="s">
        <v>18</v>
      </c>
      <c r="AD374" s="1">
        <v>1</v>
      </c>
      <c r="AE374" s="3" t="s">
        <v>65</v>
      </c>
    </row>
    <row r="375" spans="1:31" ht="15.75" customHeight="1" x14ac:dyDescent="0.35">
      <c r="A375" s="1" t="s">
        <v>247</v>
      </c>
      <c r="B375" t="s">
        <v>1083</v>
      </c>
      <c r="C375" t="s">
        <v>1084</v>
      </c>
      <c r="D375" s="1" t="s">
        <v>609</v>
      </c>
      <c r="E375" s="5">
        <v>45261</v>
      </c>
      <c r="F375" s="4" t="str">
        <f>IF(ISNUMBER(Table13[[#This Row],[Claim_Date2]]),"",Table13[[#This Row],[Claim_Date2]])</f>
        <v/>
      </c>
      <c r="G375" s="4" t="s">
        <v>1098</v>
      </c>
      <c r="H375" s="4" t="str">
        <f>LEFT(Table13[[#This Row],[Values Col 1]],3)</f>
        <v/>
      </c>
      <c r="I375" s="4" t="s">
        <v>1098</v>
      </c>
      <c r="J375" s="4" t="str">
        <f>MID(Table13[[#This Row],[Function Col]],5,2)</f>
        <v/>
      </c>
      <c r="K375" s="4" t="s">
        <v>1098</v>
      </c>
      <c r="L375" s="4" t="str">
        <f>RIGHT(Table13[[#This Row],[Function Col]],4)</f>
        <v/>
      </c>
      <c r="M375" s="4" t="s">
        <v>1098</v>
      </c>
      <c r="N375" s="4" t="str">
        <f>IF(Table13[[#This Row],[Function Col5]]="","",_xlfn.CONCAT(Table13[[#This Row],[Day Col]],"/",Table13[[#This Row],[Month Col]],"/",Table13[[#This Row],[Year Col]]))</f>
        <v/>
      </c>
      <c r="O375" s="4" t="s">
        <v>1098</v>
      </c>
      <c r="P375" s="4">
        <f>IF(ISNUMBER(Table13[[#This Row],[Claim_Date2]]),Table13[[#This Row],[Claim_Date2]],Table13[[#This Row],[Function Col32]])</f>
        <v>45261</v>
      </c>
      <c r="Q375" s="4">
        <v>45261</v>
      </c>
      <c r="R375" s="1" t="s">
        <v>77</v>
      </c>
      <c r="S375" s="1" t="s">
        <v>93</v>
      </c>
      <c r="T375" s="1" t="s">
        <v>48</v>
      </c>
      <c r="U375" s="1"/>
      <c r="W375">
        <f>IF(Table1[[#This Row],[Claim_Amount]]&lt;0,0,Table1[[#This Row],[Claim_Amount]])</f>
        <v>0</v>
      </c>
      <c r="X375" t="str">
        <f>IF(Table1[[#This Row],[Column1]]=0,"",Table1[[#This Row],[Column1]])</f>
        <v/>
      </c>
      <c r="Y375" t="s">
        <v>1098</v>
      </c>
      <c r="Z375">
        <v>2481</v>
      </c>
      <c r="AA375">
        <v>832</v>
      </c>
      <c r="AB375" s="1" t="s">
        <v>25</v>
      </c>
      <c r="AC375" s="1" t="s">
        <v>26</v>
      </c>
      <c r="AD375">
        <v>9</v>
      </c>
      <c r="AE375" s="3" t="s">
        <v>27</v>
      </c>
    </row>
    <row r="376" spans="1:31" ht="15.75" customHeight="1" x14ac:dyDescent="0.35">
      <c r="A376" s="1" t="s">
        <v>66</v>
      </c>
      <c r="B376" t="s">
        <v>1083</v>
      </c>
      <c r="C376" t="s">
        <v>1084</v>
      </c>
      <c r="D376" s="1" t="s">
        <v>393</v>
      </c>
      <c r="E376" s="5" t="s">
        <v>393</v>
      </c>
      <c r="F376" s="4" t="str">
        <f>IF(ISNUMBER(Table13[[#This Row],[Claim_Date2]]),"",Table13[[#This Row],[Claim_Date2]])</f>
        <v>Sep 01 2023</v>
      </c>
      <c r="G376" s="4" t="s">
        <v>393</v>
      </c>
      <c r="H376" s="4" t="str">
        <f>LEFT(Table13[[#This Row],[Values Col 1]],3)</f>
        <v>Sep</v>
      </c>
      <c r="I376" s="4" t="s">
        <v>1102</v>
      </c>
      <c r="J376" s="4" t="str">
        <f>MID(Table13[[#This Row],[Function Col]],5,2)</f>
        <v>01</v>
      </c>
      <c r="K376" s="4" t="s">
        <v>1138</v>
      </c>
      <c r="L376" s="4" t="str">
        <f>RIGHT(Table13[[#This Row],[Function Col]],4)</f>
        <v>2023</v>
      </c>
      <c r="M376" s="4" t="s">
        <v>1146</v>
      </c>
      <c r="N376" s="4" t="str">
        <f>IF(Table13[[#This Row],[Function Col5]]="","",_xlfn.CONCAT(Table13[[#This Row],[Day Col]],"/",Table13[[#This Row],[Month Col]],"/",Table13[[#This Row],[Year Col]]))</f>
        <v>01/Sep/2023</v>
      </c>
      <c r="O376" s="4" t="s">
        <v>1208</v>
      </c>
      <c r="P376" s="4" t="str">
        <f>IF(ISNUMBER(Table13[[#This Row],[Claim_Date2]]),Table13[[#This Row],[Claim_Date2]],Table13[[#This Row],[Function Col32]])</f>
        <v>01/Sep/2023</v>
      </c>
      <c r="Q376" s="4">
        <v>45170</v>
      </c>
      <c r="R376" s="1" t="s">
        <v>85</v>
      </c>
      <c r="S376" s="1" t="s">
        <v>23</v>
      </c>
      <c r="T376" s="1" t="s">
        <v>41</v>
      </c>
      <c r="U376" s="1"/>
      <c r="V376" s="1">
        <v>2587</v>
      </c>
      <c r="W376" s="1">
        <f>IF(Table1[[#This Row],[Claim_Amount]]&lt;0,0,Table1[[#This Row],[Claim_Amount]])</f>
        <v>2587</v>
      </c>
      <c r="X376" s="1">
        <f>IF(Table1[[#This Row],[Column1]]=0,"",Table1[[#This Row],[Column1]])</f>
        <v>2587</v>
      </c>
      <c r="Y376" s="1">
        <v>2587</v>
      </c>
      <c r="Z376" s="1">
        <v>2587</v>
      </c>
      <c r="AA376" s="1">
        <v>4234.1400000000003</v>
      </c>
      <c r="AB376" s="1" t="s">
        <v>1091</v>
      </c>
      <c r="AC376" s="1" t="s">
        <v>26</v>
      </c>
      <c r="AD376">
        <v>9</v>
      </c>
      <c r="AE376" s="3" t="s">
        <v>37</v>
      </c>
    </row>
    <row r="377" spans="1:31" ht="15.75" customHeight="1" x14ac:dyDescent="0.35">
      <c r="A377" s="1" t="s">
        <v>321</v>
      </c>
      <c r="B377" t="s">
        <v>1083</v>
      </c>
      <c r="C377" s="1" t="s">
        <v>491</v>
      </c>
      <c r="D377" s="1" t="s">
        <v>610</v>
      </c>
      <c r="E377" s="5" t="s">
        <v>610</v>
      </c>
      <c r="F377" s="4" t="str">
        <f>IF(ISNUMBER(Table13[[#This Row],[Claim_Date2]]),"",Table13[[#This Row],[Claim_Date2]])</f>
        <v>Aug 03 2023</v>
      </c>
      <c r="G377" s="4" t="s">
        <v>610</v>
      </c>
      <c r="H377" s="4" t="str">
        <f>LEFT(Table13[[#This Row],[Values Col 1]],3)</f>
        <v>Aug</v>
      </c>
      <c r="I377" s="4" t="s">
        <v>1106</v>
      </c>
      <c r="J377" s="4" t="str">
        <f>MID(Table13[[#This Row],[Function Col]],5,2)</f>
        <v>03</v>
      </c>
      <c r="K377" s="4" t="s">
        <v>1141</v>
      </c>
      <c r="L377" s="4" t="str">
        <f>RIGHT(Table13[[#This Row],[Function Col]],4)</f>
        <v>2023</v>
      </c>
      <c r="M377" s="4" t="s">
        <v>1146</v>
      </c>
      <c r="N377" s="4" t="str">
        <f>IF(Table13[[#This Row],[Function Col5]]="","",_xlfn.CONCAT(Table13[[#This Row],[Day Col]],"/",Table13[[#This Row],[Month Col]],"/",Table13[[#This Row],[Year Col]]))</f>
        <v>03/Aug/2023</v>
      </c>
      <c r="O377" s="4" t="s">
        <v>1255</v>
      </c>
      <c r="P377" s="4" t="str">
        <f>IF(ISNUMBER(Table13[[#This Row],[Claim_Date2]]),Table13[[#This Row],[Claim_Date2]],Table13[[#This Row],[Function Col32]])</f>
        <v>03/Aug/2023</v>
      </c>
      <c r="Q377" s="4">
        <v>45141</v>
      </c>
      <c r="R377" s="1" t="s">
        <v>92</v>
      </c>
      <c r="S377" s="1" t="s">
        <v>23</v>
      </c>
      <c r="T377" s="1" t="s">
        <v>41</v>
      </c>
      <c r="U377" s="1"/>
      <c r="V377" s="1">
        <v>1493.74</v>
      </c>
      <c r="W377" s="1">
        <f>IF(Table1[[#This Row],[Claim_Amount]]&lt;0,0,Table1[[#This Row],[Claim_Amount]])</f>
        <v>1493.74</v>
      </c>
      <c r="X377" s="1">
        <f>IF(Table1[[#This Row],[Column1]]=0,"",Table1[[#This Row],[Column1]])</f>
        <v>1493.74</v>
      </c>
      <c r="Y377" s="1">
        <v>1493.74</v>
      </c>
      <c r="Z377" s="1">
        <v>1493.74</v>
      </c>
      <c r="AA377">
        <v>832</v>
      </c>
      <c r="AB377" s="1" t="s">
        <v>17</v>
      </c>
      <c r="AC377" s="1" t="s">
        <v>26</v>
      </c>
      <c r="AD377" s="1">
        <v>38</v>
      </c>
      <c r="AE377" s="3" t="s">
        <v>1097</v>
      </c>
    </row>
    <row r="378" spans="1:31" ht="15.75" customHeight="1" x14ac:dyDescent="0.35">
      <c r="A378" s="1" t="s">
        <v>58</v>
      </c>
      <c r="B378" t="s">
        <v>1083</v>
      </c>
      <c r="C378" t="s">
        <v>1084</v>
      </c>
      <c r="D378" s="1" t="s">
        <v>611</v>
      </c>
      <c r="E378" s="5">
        <v>45284</v>
      </c>
      <c r="F378" s="4" t="str">
        <f>IF(ISNUMBER(Table13[[#This Row],[Claim_Date2]]),"",Table13[[#This Row],[Claim_Date2]])</f>
        <v/>
      </c>
      <c r="G378" s="4" t="s">
        <v>1098</v>
      </c>
      <c r="H378" s="4" t="str">
        <f>LEFT(Table13[[#This Row],[Values Col 1]],3)</f>
        <v/>
      </c>
      <c r="I378" s="4" t="s">
        <v>1098</v>
      </c>
      <c r="J378" s="4" t="str">
        <f>MID(Table13[[#This Row],[Function Col]],5,2)</f>
        <v/>
      </c>
      <c r="K378" s="4" t="s">
        <v>1098</v>
      </c>
      <c r="L378" s="4" t="str">
        <f>RIGHT(Table13[[#This Row],[Function Col]],4)</f>
        <v/>
      </c>
      <c r="M378" s="4" t="s">
        <v>1098</v>
      </c>
      <c r="N378" s="4" t="str">
        <f>IF(Table13[[#This Row],[Function Col5]]="","",_xlfn.CONCAT(Table13[[#This Row],[Day Col]],"/",Table13[[#This Row],[Month Col]],"/",Table13[[#This Row],[Year Col]]))</f>
        <v/>
      </c>
      <c r="O378" s="4" t="s">
        <v>1098</v>
      </c>
      <c r="P378" s="4">
        <f>IF(ISNUMBER(Table13[[#This Row],[Claim_Date2]]),Table13[[#This Row],[Claim_Date2]],Table13[[#This Row],[Function Col32]])</f>
        <v>45284</v>
      </c>
      <c r="Q378" s="4">
        <v>45284</v>
      </c>
      <c r="R378" s="1" t="s">
        <v>16</v>
      </c>
      <c r="S378" s="1" t="s">
        <v>47</v>
      </c>
      <c r="T378" s="1" t="s">
        <v>54</v>
      </c>
      <c r="U378" s="1"/>
      <c r="V378" s="1">
        <v>1790.57</v>
      </c>
      <c r="W378" s="1">
        <f>IF(Table1[[#This Row],[Claim_Amount]]&lt;0,0,Table1[[#This Row],[Claim_Amount]])</f>
        <v>1790.57</v>
      </c>
      <c r="X378" s="1">
        <f>IF(Table1[[#This Row],[Column1]]=0,"",Table1[[#This Row],[Column1]])</f>
        <v>1790.57</v>
      </c>
      <c r="Y378" s="1">
        <v>1790.57</v>
      </c>
      <c r="Z378" s="1">
        <v>1790.57</v>
      </c>
      <c r="AA378">
        <v>832</v>
      </c>
      <c r="AB378" s="1" t="s">
        <v>42</v>
      </c>
      <c r="AC378" s="1" t="s">
        <v>1093</v>
      </c>
      <c r="AD378">
        <v>9</v>
      </c>
      <c r="AE378" s="3" t="s">
        <v>65</v>
      </c>
    </row>
    <row r="379" spans="1:31" ht="15.75" customHeight="1" x14ac:dyDescent="0.35">
      <c r="A379" s="1" t="s">
        <v>108</v>
      </c>
      <c r="B379" s="1" t="s">
        <v>612</v>
      </c>
      <c r="C379" s="1" t="s">
        <v>613</v>
      </c>
      <c r="D379" s="1" t="s">
        <v>475</v>
      </c>
      <c r="E379" s="5" t="s">
        <v>475</v>
      </c>
      <c r="F379" s="4" t="str">
        <f>IF(ISNUMBER(Table13[[#This Row],[Claim_Date2]]),"",Table13[[#This Row],[Claim_Date2]])</f>
        <v>Nov 11 2023</v>
      </c>
      <c r="G379" s="4" t="s">
        <v>475</v>
      </c>
      <c r="H379" s="4" t="str">
        <f>LEFT(Table13[[#This Row],[Values Col 1]],3)</f>
        <v>Nov</v>
      </c>
      <c r="I379" s="4" t="s">
        <v>1105</v>
      </c>
      <c r="J379" s="4" t="str">
        <f>MID(Table13[[#This Row],[Function Col]],5,2)</f>
        <v>11</v>
      </c>
      <c r="K379" s="4" t="s">
        <v>1121</v>
      </c>
      <c r="L379" s="4" t="str">
        <f>RIGHT(Table13[[#This Row],[Function Col]],4)</f>
        <v>2023</v>
      </c>
      <c r="M379" s="4" t="s">
        <v>1146</v>
      </c>
      <c r="N379" s="4" t="str">
        <f>IF(Table13[[#This Row],[Function Col5]]="","",_xlfn.CONCAT(Table13[[#This Row],[Day Col]],"/",Table13[[#This Row],[Month Col]],"/",Table13[[#This Row],[Year Col]]))</f>
        <v>11/Nov/2023</v>
      </c>
      <c r="O379" s="4" t="s">
        <v>1230</v>
      </c>
      <c r="P379" s="4" t="str">
        <f>IF(ISNUMBER(Table13[[#This Row],[Claim_Date2]]),Table13[[#This Row],[Claim_Date2]],Table13[[#This Row],[Function Col32]])</f>
        <v>11/Nov/2023</v>
      </c>
      <c r="Q379" s="4">
        <v>45241</v>
      </c>
      <c r="R379" s="1" t="s">
        <v>85</v>
      </c>
      <c r="S379" s="1" t="s">
        <v>47</v>
      </c>
      <c r="T379" s="1" t="s">
        <v>54</v>
      </c>
      <c r="U379" s="1"/>
      <c r="V379" s="1">
        <v>3577.11</v>
      </c>
      <c r="W379" s="1">
        <f>IF(Table1[[#This Row],[Claim_Amount]]&lt;0,0,Table1[[#This Row],[Claim_Amount]])</f>
        <v>3577.11</v>
      </c>
      <c r="X379" s="1">
        <f>IF(Table1[[#This Row],[Column1]]=0,"",Table1[[#This Row],[Column1]])</f>
        <v>3577.11</v>
      </c>
      <c r="Y379" s="1">
        <v>3577.11</v>
      </c>
      <c r="Z379" s="1">
        <v>3577.11</v>
      </c>
      <c r="AA379" s="1">
        <v>2115.86</v>
      </c>
      <c r="AB379" s="1" t="s">
        <v>25</v>
      </c>
      <c r="AC379" s="1" t="s">
        <v>18</v>
      </c>
      <c r="AD379" s="1">
        <v>59</v>
      </c>
      <c r="AE379" s="3" t="s">
        <v>37</v>
      </c>
    </row>
    <row r="380" spans="1:31" ht="15.75" customHeight="1" x14ac:dyDescent="0.35">
      <c r="A380" s="1" t="s">
        <v>28</v>
      </c>
      <c r="B380" t="s">
        <v>1083</v>
      </c>
      <c r="C380" s="1" t="s">
        <v>356</v>
      </c>
      <c r="D380" s="1" t="s">
        <v>189</v>
      </c>
      <c r="E380" s="5">
        <v>45232</v>
      </c>
      <c r="F380" s="4" t="str">
        <f>IF(ISNUMBER(Table13[[#This Row],[Claim_Date2]]),"",Table13[[#This Row],[Claim_Date2]])</f>
        <v/>
      </c>
      <c r="G380" s="4" t="s">
        <v>1098</v>
      </c>
      <c r="H380" s="4" t="str">
        <f>LEFT(Table13[[#This Row],[Values Col 1]],3)</f>
        <v/>
      </c>
      <c r="I380" s="4" t="s">
        <v>1098</v>
      </c>
      <c r="J380" s="4" t="str">
        <f>MID(Table13[[#This Row],[Function Col]],5,2)</f>
        <v/>
      </c>
      <c r="K380" s="4" t="s">
        <v>1098</v>
      </c>
      <c r="L380" s="4" t="str">
        <f>RIGHT(Table13[[#This Row],[Function Col]],4)</f>
        <v/>
      </c>
      <c r="M380" s="4" t="s">
        <v>1098</v>
      </c>
      <c r="N380" s="4" t="str">
        <f>IF(Table13[[#This Row],[Function Col5]]="","",_xlfn.CONCAT(Table13[[#This Row],[Day Col]],"/",Table13[[#This Row],[Month Col]],"/",Table13[[#This Row],[Year Col]]))</f>
        <v/>
      </c>
      <c r="O380" s="4" t="s">
        <v>1098</v>
      </c>
      <c r="P380" s="4">
        <f>IF(ISNUMBER(Table13[[#This Row],[Claim_Date2]]),Table13[[#This Row],[Claim_Date2]],Table13[[#This Row],[Function Col32]])</f>
        <v>45232</v>
      </c>
      <c r="Q380" s="4">
        <v>45232</v>
      </c>
      <c r="R380" s="1" t="s">
        <v>85</v>
      </c>
      <c r="S380" t="s">
        <v>1085</v>
      </c>
      <c r="T380" s="1" t="s">
        <v>41</v>
      </c>
      <c r="U380" s="1"/>
      <c r="W380">
        <f>IF(Table1[[#This Row],[Claim_Amount]]&lt;0,0,Table1[[#This Row],[Claim_Amount]])</f>
        <v>0</v>
      </c>
      <c r="X380" t="str">
        <f>IF(Table1[[#This Row],[Column1]]=0,"",Table1[[#This Row],[Column1]])</f>
        <v/>
      </c>
      <c r="Y380" t="s">
        <v>1098</v>
      </c>
      <c r="Z380">
        <v>2481</v>
      </c>
      <c r="AA380">
        <v>832</v>
      </c>
      <c r="AB380" s="1" t="s">
        <v>17</v>
      </c>
      <c r="AC380" s="1" t="s">
        <v>18</v>
      </c>
      <c r="AD380" s="1">
        <v>19</v>
      </c>
      <c r="AE380" s="3" t="s">
        <v>65</v>
      </c>
    </row>
    <row r="381" spans="1:31" ht="15.75" customHeight="1" x14ac:dyDescent="0.35">
      <c r="A381" s="1" t="s">
        <v>277</v>
      </c>
      <c r="B381" t="s">
        <v>1083</v>
      </c>
      <c r="C381" s="1" t="s">
        <v>614</v>
      </c>
      <c r="D381" s="1" t="s">
        <v>615</v>
      </c>
      <c r="E381" s="5">
        <v>44936</v>
      </c>
      <c r="F381" s="4" t="str">
        <f>IF(ISNUMBER(Table13[[#This Row],[Claim_Date2]]),"",Table13[[#This Row],[Claim_Date2]])</f>
        <v/>
      </c>
      <c r="G381" s="4" t="s">
        <v>1098</v>
      </c>
      <c r="H381" s="4" t="str">
        <f>LEFT(Table13[[#This Row],[Values Col 1]],3)</f>
        <v/>
      </c>
      <c r="I381" s="4" t="s">
        <v>1098</v>
      </c>
      <c r="J381" s="4" t="str">
        <f>MID(Table13[[#This Row],[Function Col]],5,2)</f>
        <v/>
      </c>
      <c r="K381" s="4" t="s">
        <v>1098</v>
      </c>
      <c r="L381" s="4" t="str">
        <f>RIGHT(Table13[[#This Row],[Function Col]],4)</f>
        <v/>
      </c>
      <c r="M381" s="4" t="s">
        <v>1098</v>
      </c>
      <c r="N381" s="4" t="str">
        <f>IF(Table13[[#This Row],[Function Col5]]="","",_xlfn.CONCAT(Table13[[#This Row],[Day Col]],"/",Table13[[#This Row],[Month Col]],"/",Table13[[#This Row],[Year Col]]))</f>
        <v/>
      </c>
      <c r="O381" s="4" t="s">
        <v>1098</v>
      </c>
      <c r="P381" s="4">
        <f>IF(ISNUMBER(Table13[[#This Row],[Claim_Date2]]),Table13[[#This Row],[Claim_Date2]],Table13[[#This Row],[Function Col32]])</f>
        <v>44936</v>
      </c>
      <c r="Q381" s="4">
        <v>44936</v>
      </c>
      <c r="R381" s="1" t="s">
        <v>16</v>
      </c>
      <c r="S381" s="1" t="s">
        <v>93</v>
      </c>
      <c r="T381" s="1" t="s">
        <v>61</v>
      </c>
      <c r="U381" s="1"/>
      <c r="V381" s="1">
        <v>212.32</v>
      </c>
      <c r="W381" s="1">
        <f>IF(Table1[[#This Row],[Claim_Amount]]&lt;0,0,Table1[[#This Row],[Claim_Amount]])</f>
        <v>212.32</v>
      </c>
      <c r="X381" s="1">
        <f>IF(Table1[[#This Row],[Column1]]=0,"",Table1[[#This Row],[Column1]])</f>
        <v>212.32</v>
      </c>
      <c r="Y381" s="1">
        <v>212.32</v>
      </c>
      <c r="Z381" s="1">
        <v>212.32</v>
      </c>
      <c r="AA381">
        <v>832</v>
      </c>
      <c r="AB381" s="1" t="s">
        <v>25</v>
      </c>
      <c r="AC381" s="1" t="s">
        <v>26</v>
      </c>
      <c r="AD381">
        <v>9</v>
      </c>
      <c r="AE381" s="3" t="s">
        <v>19</v>
      </c>
    </row>
    <row r="382" spans="1:31" ht="15.75" customHeight="1" x14ac:dyDescent="0.35">
      <c r="A382" s="1" t="s">
        <v>231</v>
      </c>
      <c r="B382" s="1" t="s">
        <v>616</v>
      </c>
      <c r="C382" s="1" t="s">
        <v>161</v>
      </c>
      <c r="D382" s="1" t="s">
        <v>617</v>
      </c>
      <c r="E382" s="5" t="s">
        <v>617</v>
      </c>
      <c r="F382" s="4" t="str">
        <f>IF(ISNUMBER(Table13[[#This Row],[Claim_Date2]]),"",Table13[[#This Row],[Claim_Date2]])</f>
        <v>Apr 05 2023</v>
      </c>
      <c r="G382" s="4" t="s">
        <v>617</v>
      </c>
      <c r="H382" s="4" t="str">
        <f>LEFT(Table13[[#This Row],[Values Col 1]],3)</f>
        <v>Apr</v>
      </c>
      <c r="I382" s="4" t="s">
        <v>1104</v>
      </c>
      <c r="J382" s="4" t="str">
        <f>MID(Table13[[#This Row],[Function Col]],5,2)</f>
        <v>05</v>
      </c>
      <c r="K382" s="4" t="s">
        <v>1144</v>
      </c>
      <c r="L382" s="4" t="str">
        <f>RIGHT(Table13[[#This Row],[Function Col]],4)</f>
        <v>2023</v>
      </c>
      <c r="M382" s="4" t="s">
        <v>1146</v>
      </c>
      <c r="N382" s="4" t="str">
        <f>IF(Table13[[#This Row],[Function Col5]]="","",_xlfn.CONCAT(Table13[[#This Row],[Day Col]],"/",Table13[[#This Row],[Month Col]],"/",Table13[[#This Row],[Year Col]]))</f>
        <v>05/Apr/2023</v>
      </c>
      <c r="O382" s="4" t="s">
        <v>1256</v>
      </c>
      <c r="P382" s="4" t="str">
        <f>IF(ISNUMBER(Table13[[#This Row],[Claim_Date2]]),Table13[[#This Row],[Claim_Date2]],Table13[[#This Row],[Function Col32]])</f>
        <v>05/Apr/2023</v>
      </c>
      <c r="Q382" s="4">
        <v>45021</v>
      </c>
      <c r="R382" s="1" t="s">
        <v>92</v>
      </c>
      <c r="S382" s="1" t="s">
        <v>23</v>
      </c>
      <c r="T382" s="1" t="s">
        <v>61</v>
      </c>
      <c r="U382" s="1"/>
      <c r="W382">
        <f>IF(Table1[[#This Row],[Claim_Amount]]&lt;0,0,Table1[[#This Row],[Claim_Amount]])</f>
        <v>0</v>
      </c>
      <c r="X382" t="str">
        <f>IF(Table1[[#This Row],[Column1]]=0,"",Table1[[#This Row],[Column1]])</f>
        <v/>
      </c>
      <c r="Y382" t="s">
        <v>1098</v>
      </c>
      <c r="Z382">
        <v>2481</v>
      </c>
      <c r="AA382">
        <v>832</v>
      </c>
      <c r="AB382" s="1" t="s">
        <v>1091</v>
      </c>
      <c r="AC382" s="1" t="s">
        <v>18</v>
      </c>
      <c r="AD382">
        <v>9</v>
      </c>
      <c r="AE382" s="3" t="s">
        <v>19</v>
      </c>
    </row>
    <row r="383" spans="1:31" ht="15.75" customHeight="1" x14ac:dyDescent="0.35">
      <c r="A383" s="1" t="s">
        <v>108</v>
      </c>
      <c r="B383" s="1" t="s">
        <v>618</v>
      </c>
      <c r="C383" s="1" t="s">
        <v>530</v>
      </c>
      <c r="D383" s="1" t="s">
        <v>619</v>
      </c>
      <c r="E383" s="5" t="s">
        <v>619</v>
      </c>
      <c r="F383" s="4" t="str">
        <f>IF(ISNUMBER(Table13[[#This Row],[Claim_Date2]]),"",Table13[[#This Row],[Claim_Date2]])</f>
        <v>Mar 29 2023</v>
      </c>
      <c r="G383" s="4" t="s">
        <v>619</v>
      </c>
      <c r="H383" s="4" t="str">
        <f>LEFT(Table13[[#This Row],[Values Col 1]],3)</f>
        <v>Mar</v>
      </c>
      <c r="I383" s="4" t="s">
        <v>1100</v>
      </c>
      <c r="J383" s="4" t="str">
        <f>MID(Table13[[#This Row],[Function Col]],5,2)</f>
        <v>29</v>
      </c>
      <c r="K383" s="4" t="s">
        <v>1139</v>
      </c>
      <c r="L383" s="4" t="str">
        <f>RIGHT(Table13[[#This Row],[Function Col]],4)</f>
        <v>2023</v>
      </c>
      <c r="M383" s="4" t="s">
        <v>1146</v>
      </c>
      <c r="N383" s="4" t="str">
        <f>IF(Table13[[#This Row],[Function Col5]]="","",_xlfn.CONCAT(Table13[[#This Row],[Day Col]],"/",Table13[[#This Row],[Month Col]],"/",Table13[[#This Row],[Year Col]]))</f>
        <v>29/Mar/2023</v>
      </c>
      <c r="O383" s="4" t="s">
        <v>1257</v>
      </c>
      <c r="P383" s="4" t="str">
        <f>IF(ISNUMBER(Table13[[#This Row],[Claim_Date2]]),Table13[[#This Row],[Claim_Date2]],Table13[[#This Row],[Function Col32]])</f>
        <v>29/Mar/2023</v>
      </c>
      <c r="Q383" s="4">
        <v>45014</v>
      </c>
      <c r="R383" s="1" t="s">
        <v>16</v>
      </c>
      <c r="S383" t="s">
        <v>1085</v>
      </c>
      <c r="T383" s="1" t="s">
        <v>61</v>
      </c>
      <c r="U383" s="1"/>
      <c r="V383" s="1">
        <v>-139</v>
      </c>
      <c r="W383" s="1">
        <f>IF(Table1[[#This Row],[Claim_Amount]]&lt;0,0,Table1[[#This Row],[Claim_Amount]])</f>
        <v>0</v>
      </c>
      <c r="X383" s="1" t="str">
        <f>IF(Table1[[#This Row],[Column1]]=0,"",Table1[[#This Row],[Column1]])</f>
        <v/>
      </c>
      <c r="Y383" s="1" t="s">
        <v>1098</v>
      </c>
      <c r="Z383" s="1">
        <v>2481</v>
      </c>
      <c r="AA383">
        <v>832</v>
      </c>
      <c r="AB383" s="1" t="s">
        <v>17</v>
      </c>
      <c r="AC383" s="1" t="s">
        <v>1093</v>
      </c>
      <c r="AD383" s="1">
        <v>43</v>
      </c>
      <c r="AE383" s="3" t="s">
        <v>65</v>
      </c>
    </row>
    <row r="384" spans="1:31" ht="15.75" customHeight="1" x14ac:dyDescent="0.35">
      <c r="A384" s="1" t="s">
        <v>28</v>
      </c>
      <c r="B384" t="s">
        <v>1083</v>
      </c>
      <c r="C384" s="1" t="s">
        <v>620</v>
      </c>
      <c r="D384" s="1" t="s">
        <v>621</v>
      </c>
      <c r="E384" s="5">
        <v>45135</v>
      </c>
      <c r="F384" s="4" t="str">
        <f>IF(ISNUMBER(Table13[[#This Row],[Claim_Date2]]),"",Table13[[#This Row],[Claim_Date2]])</f>
        <v/>
      </c>
      <c r="G384" s="4" t="s">
        <v>1098</v>
      </c>
      <c r="H384" s="4" t="str">
        <f>LEFT(Table13[[#This Row],[Values Col 1]],3)</f>
        <v/>
      </c>
      <c r="I384" s="4" t="s">
        <v>1098</v>
      </c>
      <c r="J384" s="4" t="str">
        <f>MID(Table13[[#This Row],[Function Col]],5,2)</f>
        <v/>
      </c>
      <c r="K384" s="4" t="s">
        <v>1098</v>
      </c>
      <c r="L384" s="4" t="str">
        <f>RIGHT(Table13[[#This Row],[Function Col]],4)</f>
        <v/>
      </c>
      <c r="M384" s="4" t="s">
        <v>1098</v>
      </c>
      <c r="N384" s="4" t="str">
        <f>IF(Table13[[#This Row],[Function Col5]]="","",_xlfn.CONCAT(Table13[[#This Row],[Day Col]],"/",Table13[[#This Row],[Month Col]],"/",Table13[[#This Row],[Year Col]]))</f>
        <v/>
      </c>
      <c r="O384" s="4" t="s">
        <v>1098</v>
      </c>
      <c r="P384" s="4">
        <f>IF(ISNUMBER(Table13[[#This Row],[Claim_Date2]]),Table13[[#This Row],[Claim_Date2]],Table13[[#This Row],[Function Col32]])</f>
        <v>45135</v>
      </c>
      <c r="Q384" s="4">
        <v>45135</v>
      </c>
      <c r="R384" s="1" t="s">
        <v>77</v>
      </c>
      <c r="S384" s="1" t="s">
        <v>23</v>
      </c>
      <c r="T384" s="1" t="s">
        <v>54</v>
      </c>
      <c r="U384" s="1"/>
      <c r="W384">
        <f>IF(Table1[[#This Row],[Claim_Amount]]&lt;0,0,Table1[[#This Row],[Claim_Amount]])</f>
        <v>0</v>
      </c>
      <c r="X384" t="str">
        <f>IF(Table1[[#This Row],[Column1]]=0,"",Table1[[#This Row],[Column1]])</f>
        <v/>
      </c>
      <c r="Y384" t="s">
        <v>1098</v>
      </c>
      <c r="Z384">
        <v>2481</v>
      </c>
      <c r="AA384" s="1">
        <v>2807.8</v>
      </c>
      <c r="AB384" s="1" t="s">
        <v>25</v>
      </c>
      <c r="AC384" s="1" t="s">
        <v>32</v>
      </c>
      <c r="AD384" s="1">
        <v>31</v>
      </c>
      <c r="AE384" s="3" t="s">
        <v>37</v>
      </c>
    </row>
    <row r="385" spans="1:31" ht="15.75" customHeight="1" x14ac:dyDescent="0.35">
      <c r="A385" s="1" t="s">
        <v>261</v>
      </c>
      <c r="B385" t="s">
        <v>1083</v>
      </c>
      <c r="C385" t="s">
        <v>1084</v>
      </c>
      <c r="D385" s="1" t="s">
        <v>622</v>
      </c>
      <c r="E385" s="5" t="s">
        <v>622</v>
      </c>
      <c r="F385" s="4" t="str">
        <f>IF(ISNUMBER(Table13[[#This Row],[Claim_Date2]]),"",Table13[[#This Row],[Claim_Date2]])</f>
        <v>Apr 26 2023</v>
      </c>
      <c r="G385" s="4" t="s">
        <v>622</v>
      </c>
      <c r="H385" s="4" t="str">
        <f>LEFT(Table13[[#This Row],[Values Col 1]],3)</f>
        <v>Apr</v>
      </c>
      <c r="I385" s="4" t="s">
        <v>1104</v>
      </c>
      <c r="J385" s="4" t="str">
        <f>MID(Table13[[#This Row],[Function Col]],5,2)</f>
        <v>26</v>
      </c>
      <c r="K385" s="4" t="s">
        <v>1117</v>
      </c>
      <c r="L385" s="4" t="str">
        <f>RIGHT(Table13[[#This Row],[Function Col]],4)</f>
        <v>2023</v>
      </c>
      <c r="M385" s="4" t="s">
        <v>1146</v>
      </c>
      <c r="N385" s="4" t="str">
        <f>IF(Table13[[#This Row],[Function Col5]]="","",_xlfn.CONCAT(Table13[[#This Row],[Day Col]],"/",Table13[[#This Row],[Month Col]],"/",Table13[[#This Row],[Year Col]]))</f>
        <v>26/Apr/2023</v>
      </c>
      <c r="O385" s="4" t="s">
        <v>1258</v>
      </c>
      <c r="P385" s="4" t="str">
        <f>IF(ISNUMBER(Table13[[#This Row],[Claim_Date2]]),Table13[[#This Row],[Claim_Date2]],Table13[[#This Row],[Function Col32]])</f>
        <v>26/Apr/2023</v>
      </c>
      <c r="Q385" s="4">
        <v>45042</v>
      </c>
      <c r="R385" s="1" t="s">
        <v>77</v>
      </c>
      <c r="S385" s="1" t="s">
        <v>31</v>
      </c>
      <c r="T385" s="1" t="s">
        <v>48</v>
      </c>
      <c r="U385" s="1"/>
      <c r="V385" s="1">
        <v>-27</v>
      </c>
      <c r="W385" s="1">
        <f>IF(Table1[[#This Row],[Claim_Amount]]&lt;0,0,Table1[[#This Row],[Claim_Amount]])</f>
        <v>0</v>
      </c>
      <c r="X385" s="1" t="str">
        <f>IF(Table1[[#This Row],[Column1]]=0,"",Table1[[#This Row],[Column1]])</f>
        <v/>
      </c>
      <c r="Y385" s="1" t="s">
        <v>1098</v>
      </c>
      <c r="Z385" s="1">
        <v>2481</v>
      </c>
      <c r="AA385">
        <v>832</v>
      </c>
      <c r="AB385" s="1" t="s">
        <v>17</v>
      </c>
      <c r="AC385" s="1" t="s">
        <v>26</v>
      </c>
      <c r="AD385">
        <v>9</v>
      </c>
      <c r="AE385" s="3" t="s">
        <v>19</v>
      </c>
    </row>
    <row r="386" spans="1:31" ht="15.75" customHeight="1" x14ac:dyDescent="0.35">
      <c r="A386" s="1" t="s">
        <v>78</v>
      </c>
      <c r="B386" t="s">
        <v>1083</v>
      </c>
      <c r="C386" s="1" t="s">
        <v>378</v>
      </c>
      <c r="D386" s="1" t="s">
        <v>623</v>
      </c>
      <c r="E386" s="5">
        <v>45000</v>
      </c>
      <c r="F386" s="4" t="str">
        <f>IF(ISNUMBER(Table13[[#This Row],[Claim_Date2]]),"",Table13[[#This Row],[Claim_Date2]])</f>
        <v/>
      </c>
      <c r="G386" s="4" t="s">
        <v>1098</v>
      </c>
      <c r="H386" s="4" t="str">
        <f>LEFT(Table13[[#This Row],[Values Col 1]],3)</f>
        <v/>
      </c>
      <c r="I386" s="4" t="s">
        <v>1098</v>
      </c>
      <c r="J386" s="4" t="str">
        <f>MID(Table13[[#This Row],[Function Col]],5,2)</f>
        <v/>
      </c>
      <c r="K386" s="4" t="s">
        <v>1098</v>
      </c>
      <c r="L386" s="4" t="str">
        <f>RIGHT(Table13[[#This Row],[Function Col]],4)</f>
        <v/>
      </c>
      <c r="M386" s="4" t="s">
        <v>1098</v>
      </c>
      <c r="N386" s="4" t="str">
        <f>IF(Table13[[#This Row],[Function Col5]]="","",_xlfn.CONCAT(Table13[[#This Row],[Day Col]],"/",Table13[[#This Row],[Month Col]],"/",Table13[[#This Row],[Year Col]]))</f>
        <v/>
      </c>
      <c r="O386" s="4" t="s">
        <v>1098</v>
      </c>
      <c r="P386" s="4">
        <f>IF(ISNUMBER(Table13[[#This Row],[Claim_Date2]]),Table13[[#This Row],[Claim_Date2]],Table13[[#This Row],[Function Col32]])</f>
        <v>45000</v>
      </c>
      <c r="Q386" s="4">
        <v>45000</v>
      </c>
      <c r="R386" s="1" t="s">
        <v>16</v>
      </c>
      <c r="S386" s="1" t="s">
        <v>47</v>
      </c>
      <c r="T386" s="1" t="s">
        <v>61</v>
      </c>
      <c r="U386" s="1"/>
      <c r="V386" s="1">
        <v>3720.09</v>
      </c>
      <c r="W386" s="1">
        <f>IF(Table1[[#This Row],[Claim_Amount]]&lt;0,0,Table1[[#This Row],[Claim_Amount]])</f>
        <v>3720.09</v>
      </c>
      <c r="X386" s="1">
        <f>IF(Table1[[#This Row],[Column1]]=0,"",Table1[[#This Row],[Column1]])</f>
        <v>3720.09</v>
      </c>
      <c r="Y386" s="1">
        <v>3720.09</v>
      </c>
      <c r="Z386" s="1">
        <v>3720.09</v>
      </c>
      <c r="AA386" s="1">
        <v>1850.36</v>
      </c>
      <c r="AB386" s="1" t="s">
        <v>42</v>
      </c>
      <c r="AC386" s="1" t="s">
        <v>18</v>
      </c>
      <c r="AD386">
        <v>9</v>
      </c>
      <c r="AE386" s="3" t="s">
        <v>19</v>
      </c>
    </row>
    <row r="387" spans="1:31" ht="15.75" customHeight="1" x14ac:dyDescent="0.35">
      <c r="A387" s="1" t="s">
        <v>198</v>
      </c>
      <c r="B387" t="s">
        <v>1083</v>
      </c>
      <c r="C387" t="s">
        <v>1084</v>
      </c>
      <c r="D387" s="1" t="s">
        <v>624</v>
      </c>
      <c r="E387" s="5">
        <v>45224</v>
      </c>
      <c r="F387" s="4" t="str">
        <f>IF(ISNUMBER(Table13[[#This Row],[Claim_Date2]]),"",Table13[[#This Row],[Claim_Date2]])</f>
        <v/>
      </c>
      <c r="G387" s="4" t="s">
        <v>1098</v>
      </c>
      <c r="H387" s="4" t="str">
        <f>LEFT(Table13[[#This Row],[Values Col 1]],3)</f>
        <v/>
      </c>
      <c r="I387" s="4" t="s">
        <v>1098</v>
      </c>
      <c r="J387" s="4" t="str">
        <f>MID(Table13[[#This Row],[Function Col]],5,2)</f>
        <v/>
      </c>
      <c r="K387" s="4" t="s">
        <v>1098</v>
      </c>
      <c r="L387" s="4" t="str">
        <f>RIGHT(Table13[[#This Row],[Function Col]],4)</f>
        <v/>
      </c>
      <c r="M387" s="4" t="s">
        <v>1098</v>
      </c>
      <c r="N387" s="4" t="str">
        <f>IF(Table13[[#This Row],[Function Col5]]="","",_xlfn.CONCAT(Table13[[#This Row],[Day Col]],"/",Table13[[#This Row],[Month Col]],"/",Table13[[#This Row],[Year Col]]))</f>
        <v/>
      </c>
      <c r="O387" s="4" t="s">
        <v>1098</v>
      </c>
      <c r="P387" s="4">
        <f>IF(ISNUMBER(Table13[[#This Row],[Claim_Date2]]),Table13[[#This Row],[Claim_Date2]],Table13[[#This Row],[Function Col32]])</f>
        <v>45224</v>
      </c>
      <c r="Q387" s="4">
        <v>45224</v>
      </c>
      <c r="R387" s="1" t="s">
        <v>85</v>
      </c>
      <c r="S387" t="s">
        <v>1085</v>
      </c>
      <c r="T387" s="1" t="s">
        <v>48</v>
      </c>
      <c r="U387" s="1"/>
      <c r="V387" s="1">
        <v>-180</v>
      </c>
      <c r="W387" s="1">
        <f>IF(Table1[[#This Row],[Claim_Amount]]&lt;0,0,Table1[[#This Row],[Claim_Amount]])</f>
        <v>0</v>
      </c>
      <c r="X387" s="1" t="str">
        <f>IF(Table1[[#This Row],[Column1]]=0,"",Table1[[#This Row],[Column1]])</f>
        <v/>
      </c>
      <c r="Y387" s="1" t="s">
        <v>1098</v>
      </c>
      <c r="Z387" s="1">
        <v>2481</v>
      </c>
      <c r="AA387">
        <v>832</v>
      </c>
      <c r="AB387" s="1" t="s">
        <v>42</v>
      </c>
      <c r="AC387" s="1" t="s">
        <v>18</v>
      </c>
      <c r="AD387">
        <v>9</v>
      </c>
      <c r="AE387" s="3" t="s">
        <v>19</v>
      </c>
    </row>
    <row r="388" spans="1:31" ht="15.75" customHeight="1" x14ac:dyDescent="0.35">
      <c r="A388" s="1" t="s">
        <v>55</v>
      </c>
      <c r="B388" t="s">
        <v>1083</v>
      </c>
      <c r="C388" s="1" t="s">
        <v>625</v>
      </c>
      <c r="D388" s="1" t="s">
        <v>626</v>
      </c>
      <c r="E388" s="5">
        <v>45248</v>
      </c>
      <c r="F388" s="4" t="str">
        <f>IF(ISNUMBER(Table13[[#This Row],[Claim_Date2]]),"",Table13[[#This Row],[Claim_Date2]])</f>
        <v/>
      </c>
      <c r="G388" s="4" t="s">
        <v>1098</v>
      </c>
      <c r="H388" s="4" t="str">
        <f>LEFT(Table13[[#This Row],[Values Col 1]],3)</f>
        <v/>
      </c>
      <c r="I388" s="4" t="s">
        <v>1098</v>
      </c>
      <c r="J388" s="4" t="str">
        <f>MID(Table13[[#This Row],[Function Col]],5,2)</f>
        <v/>
      </c>
      <c r="K388" s="4" t="s">
        <v>1098</v>
      </c>
      <c r="L388" s="4" t="str">
        <f>RIGHT(Table13[[#This Row],[Function Col]],4)</f>
        <v/>
      </c>
      <c r="M388" s="4" t="s">
        <v>1098</v>
      </c>
      <c r="N388" s="4" t="str">
        <f>IF(Table13[[#This Row],[Function Col5]]="","",_xlfn.CONCAT(Table13[[#This Row],[Day Col]],"/",Table13[[#This Row],[Month Col]],"/",Table13[[#This Row],[Year Col]]))</f>
        <v/>
      </c>
      <c r="O388" s="4" t="s">
        <v>1098</v>
      </c>
      <c r="P388" s="4">
        <f>IF(ISNUMBER(Table13[[#This Row],[Claim_Date2]]),Table13[[#This Row],[Claim_Date2]],Table13[[#This Row],[Function Col32]])</f>
        <v>45248</v>
      </c>
      <c r="Q388" s="4">
        <v>45248</v>
      </c>
      <c r="R388" s="1" t="s">
        <v>16</v>
      </c>
      <c r="S388" s="1" t="s">
        <v>23</v>
      </c>
      <c r="T388" s="1" t="s">
        <v>61</v>
      </c>
      <c r="U388" s="1"/>
      <c r="W388">
        <f>IF(Table1[[#This Row],[Claim_Amount]]&lt;0,0,Table1[[#This Row],[Claim_Amount]])</f>
        <v>0</v>
      </c>
      <c r="X388" t="str">
        <f>IF(Table1[[#This Row],[Column1]]=0,"",Table1[[#This Row],[Column1]])</f>
        <v/>
      </c>
      <c r="Y388" t="s">
        <v>1098</v>
      </c>
      <c r="Z388">
        <v>2481</v>
      </c>
      <c r="AA388">
        <v>832</v>
      </c>
      <c r="AB388" s="1" t="s">
        <v>42</v>
      </c>
      <c r="AC388" s="1" t="s">
        <v>18</v>
      </c>
      <c r="AD388">
        <v>9</v>
      </c>
      <c r="AE388" s="3" t="s">
        <v>1097</v>
      </c>
    </row>
    <row r="389" spans="1:31" ht="15.75" customHeight="1" x14ac:dyDescent="0.35">
      <c r="A389" s="1" t="s">
        <v>108</v>
      </c>
      <c r="B389" s="1" t="s">
        <v>627</v>
      </c>
      <c r="C389" t="s">
        <v>1084</v>
      </c>
      <c r="D389" s="1" t="s">
        <v>628</v>
      </c>
      <c r="E389" s="5" t="s">
        <v>628</v>
      </c>
      <c r="F389" s="4" t="str">
        <f>IF(ISNUMBER(Table13[[#This Row],[Claim_Date2]]),"",Table13[[#This Row],[Claim_Date2]])</f>
        <v>May 31 2023</v>
      </c>
      <c r="G389" s="4" t="s">
        <v>628</v>
      </c>
      <c r="H389" s="4" t="str">
        <f>LEFT(Table13[[#This Row],[Values Col 1]],3)</f>
        <v>May</v>
      </c>
      <c r="I389" s="4" t="s">
        <v>1110</v>
      </c>
      <c r="J389" s="4" t="str">
        <f>MID(Table13[[#This Row],[Function Col]],5,2)</f>
        <v>31</v>
      </c>
      <c r="K389" s="4" t="s">
        <v>1133</v>
      </c>
      <c r="L389" s="4" t="str">
        <f>RIGHT(Table13[[#This Row],[Function Col]],4)</f>
        <v>2023</v>
      </c>
      <c r="M389" s="4" t="s">
        <v>1146</v>
      </c>
      <c r="N389" s="4" t="str">
        <f>IF(Table13[[#This Row],[Function Col5]]="","",_xlfn.CONCAT(Table13[[#This Row],[Day Col]],"/",Table13[[#This Row],[Month Col]],"/",Table13[[#This Row],[Year Col]]))</f>
        <v>31/May/2023</v>
      </c>
      <c r="O389" s="4" t="s">
        <v>1259</v>
      </c>
      <c r="P389" s="4" t="str">
        <f>IF(ISNUMBER(Table13[[#This Row],[Claim_Date2]]),Table13[[#This Row],[Claim_Date2]],Table13[[#This Row],[Function Col32]])</f>
        <v>31/May/2023</v>
      </c>
      <c r="Q389" s="4">
        <v>45077</v>
      </c>
      <c r="R389" s="1" t="s">
        <v>77</v>
      </c>
      <c r="S389" s="1" t="s">
        <v>53</v>
      </c>
      <c r="T389" s="1" t="s">
        <v>54</v>
      </c>
      <c r="U389" s="1"/>
      <c r="V389" s="1">
        <v>1345.24</v>
      </c>
      <c r="W389" s="1">
        <f>IF(Table1[[#This Row],[Claim_Amount]]&lt;0,0,Table1[[#This Row],[Claim_Amount]])</f>
        <v>1345.24</v>
      </c>
      <c r="X389" s="1">
        <f>IF(Table1[[#This Row],[Column1]]=0,"",Table1[[#This Row],[Column1]])</f>
        <v>1345.24</v>
      </c>
      <c r="Y389" s="1">
        <v>1345.24</v>
      </c>
      <c r="Z389" s="1">
        <v>1345.24</v>
      </c>
      <c r="AA389" s="1">
        <v>4765.2700000000004</v>
      </c>
      <c r="AB389" s="1" t="s">
        <v>25</v>
      </c>
      <c r="AC389" s="1" t="s">
        <v>26</v>
      </c>
      <c r="AD389">
        <v>9</v>
      </c>
      <c r="AE389" s="3" t="s">
        <v>27</v>
      </c>
    </row>
    <row r="390" spans="1:31" ht="15.75" customHeight="1" x14ac:dyDescent="0.35">
      <c r="A390" s="1" t="s">
        <v>33</v>
      </c>
      <c r="B390" t="s">
        <v>1083</v>
      </c>
      <c r="C390" s="1" t="s">
        <v>469</v>
      </c>
      <c r="D390" s="1" t="s">
        <v>629</v>
      </c>
      <c r="E390" s="5">
        <v>45212</v>
      </c>
      <c r="F390" s="4" t="str">
        <f>IF(ISNUMBER(Table13[[#This Row],[Claim_Date2]]),"",Table13[[#This Row],[Claim_Date2]])</f>
        <v/>
      </c>
      <c r="G390" s="4" t="s">
        <v>1098</v>
      </c>
      <c r="H390" s="4" t="str">
        <f>LEFT(Table13[[#This Row],[Values Col 1]],3)</f>
        <v/>
      </c>
      <c r="I390" s="4" t="s">
        <v>1098</v>
      </c>
      <c r="J390" s="4" t="str">
        <f>MID(Table13[[#This Row],[Function Col]],5,2)</f>
        <v/>
      </c>
      <c r="K390" s="4" t="s">
        <v>1098</v>
      </c>
      <c r="L390" s="4" t="str">
        <f>RIGHT(Table13[[#This Row],[Function Col]],4)</f>
        <v/>
      </c>
      <c r="M390" s="4" t="s">
        <v>1098</v>
      </c>
      <c r="N390" s="4" t="str">
        <f>IF(Table13[[#This Row],[Function Col5]]="","",_xlfn.CONCAT(Table13[[#This Row],[Day Col]],"/",Table13[[#This Row],[Month Col]],"/",Table13[[#This Row],[Year Col]]))</f>
        <v/>
      </c>
      <c r="O390" s="4" t="s">
        <v>1098</v>
      </c>
      <c r="P390" s="4">
        <f>IF(ISNUMBER(Table13[[#This Row],[Claim_Date2]]),Table13[[#This Row],[Claim_Date2]],Table13[[#This Row],[Function Col32]])</f>
        <v>45212</v>
      </c>
      <c r="Q390" s="4">
        <v>45212</v>
      </c>
      <c r="R390" s="1" t="s">
        <v>16</v>
      </c>
      <c r="S390" s="1" t="s">
        <v>93</v>
      </c>
      <c r="T390" s="1" t="s">
        <v>48</v>
      </c>
      <c r="U390" s="1"/>
      <c r="V390" s="1">
        <v>-89</v>
      </c>
      <c r="W390" s="1">
        <f>IF(Table1[[#This Row],[Claim_Amount]]&lt;0,0,Table1[[#This Row],[Claim_Amount]])</f>
        <v>0</v>
      </c>
      <c r="X390" s="1" t="str">
        <f>IF(Table1[[#This Row],[Column1]]=0,"",Table1[[#This Row],[Column1]])</f>
        <v/>
      </c>
      <c r="Y390" s="1" t="s">
        <v>1098</v>
      </c>
      <c r="Z390" s="1">
        <v>2481</v>
      </c>
      <c r="AA390" s="1">
        <v>2462.9</v>
      </c>
      <c r="AB390" s="1" t="s">
        <v>1091</v>
      </c>
      <c r="AC390" s="1" t="s">
        <v>1093</v>
      </c>
      <c r="AD390">
        <v>9</v>
      </c>
      <c r="AE390" s="3" t="s">
        <v>1097</v>
      </c>
    </row>
    <row r="391" spans="1:31" ht="15.75" customHeight="1" x14ac:dyDescent="0.35">
      <c r="A391" s="1" t="s">
        <v>209</v>
      </c>
      <c r="B391" t="s">
        <v>1083</v>
      </c>
      <c r="C391" s="1" t="s">
        <v>39</v>
      </c>
      <c r="D391" s="1" t="s">
        <v>630</v>
      </c>
      <c r="E391" s="5">
        <v>44955</v>
      </c>
      <c r="F391" s="4" t="str">
        <f>IF(ISNUMBER(Table13[[#This Row],[Claim_Date2]]),"",Table13[[#This Row],[Claim_Date2]])</f>
        <v/>
      </c>
      <c r="G391" s="4" t="s">
        <v>1098</v>
      </c>
      <c r="H391" s="4" t="str">
        <f>LEFT(Table13[[#This Row],[Values Col 1]],3)</f>
        <v/>
      </c>
      <c r="I391" s="4" t="s">
        <v>1098</v>
      </c>
      <c r="J391" s="4" t="str">
        <f>MID(Table13[[#This Row],[Function Col]],5,2)</f>
        <v/>
      </c>
      <c r="K391" s="4" t="s">
        <v>1098</v>
      </c>
      <c r="L391" s="4" t="str">
        <f>RIGHT(Table13[[#This Row],[Function Col]],4)</f>
        <v/>
      </c>
      <c r="M391" s="4" t="s">
        <v>1098</v>
      </c>
      <c r="N391" s="4" t="str">
        <f>IF(Table13[[#This Row],[Function Col5]]="","",_xlfn.CONCAT(Table13[[#This Row],[Day Col]],"/",Table13[[#This Row],[Month Col]],"/",Table13[[#This Row],[Year Col]]))</f>
        <v/>
      </c>
      <c r="O391" s="4" t="s">
        <v>1098</v>
      </c>
      <c r="P391" s="4">
        <f>IF(ISNUMBER(Table13[[#This Row],[Claim_Date2]]),Table13[[#This Row],[Claim_Date2]],Table13[[#This Row],[Function Col32]])</f>
        <v>44955</v>
      </c>
      <c r="Q391" s="4">
        <v>44955</v>
      </c>
      <c r="R391" s="1" t="s">
        <v>77</v>
      </c>
      <c r="S391" s="1" t="s">
        <v>47</v>
      </c>
      <c r="T391" s="1" t="s">
        <v>48</v>
      </c>
      <c r="U391" s="1"/>
      <c r="W391">
        <f>IF(Table1[[#This Row],[Claim_Amount]]&lt;0,0,Table1[[#This Row],[Claim_Amount]])</f>
        <v>0</v>
      </c>
      <c r="X391" t="str">
        <f>IF(Table1[[#This Row],[Column1]]=0,"",Table1[[#This Row],[Column1]])</f>
        <v/>
      </c>
      <c r="Y391" t="s">
        <v>1098</v>
      </c>
      <c r="Z391">
        <v>2481</v>
      </c>
      <c r="AA391" s="1">
        <v>1636.39</v>
      </c>
      <c r="AB391" s="1" t="s">
        <v>1091</v>
      </c>
      <c r="AC391" s="1" t="s">
        <v>26</v>
      </c>
      <c r="AD391">
        <v>9</v>
      </c>
      <c r="AE391" s="3" t="s">
        <v>27</v>
      </c>
    </row>
    <row r="392" spans="1:31" ht="15.75" customHeight="1" x14ac:dyDescent="0.35">
      <c r="A392" s="1" t="s">
        <v>148</v>
      </c>
      <c r="B392" s="1" t="s">
        <v>631</v>
      </c>
      <c r="C392" t="s">
        <v>1084</v>
      </c>
      <c r="D392" s="1" t="s">
        <v>264</v>
      </c>
      <c r="E392" s="5">
        <v>44976</v>
      </c>
      <c r="F392" s="4" t="str">
        <f>IF(ISNUMBER(Table13[[#This Row],[Claim_Date2]]),"",Table13[[#This Row],[Claim_Date2]])</f>
        <v/>
      </c>
      <c r="G392" s="4" t="s">
        <v>1098</v>
      </c>
      <c r="H392" s="4" t="str">
        <f>LEFT(Table13[[#This Row],[Values Col 1]],3)</f>
        <v/>
      </c>
      <c r="I392" s="4" t="s">
        <v>1098</v>
      </c>
      <c r="J392" s="4" t="str">
        <f>MID(Table13[[#This Row],[Function Col]],5,2)</f>
        <v/>
      </c>
      <c r="K392" s="4" t="s">
        <v>1098</v>
      </c>
      <c r="L392" s="4" t="str">
        <f>RIGHT(Table13[[#This Row],[Function Col]],4)</f>
        <v/>
      </c>
      <c r="M392" s="4" t="s">
        <v>1098</v>
      </c>
      <c r="N392" s="4" t="str">
        <f>IF(Table13[[#This Row],[Function Col5]]="","",_xlfn.CONCAT(Table13[[#This Row],[Day Col]],"/",Table13[[#This Row],[Month Col]],"/",Table13[[#This Row],[Year Col]]))</f>
        <v/>
      </c>
      <c r="O392" s="4" t="s">
        <v>1098</v>
      </c>
      <c r="P392" s="4">
        <f>IF(ISNUMBER(Table13[[#This Row],[Claim_Date2]]),Table13[[#This Row],[Claim_Date2]],Table13[[#This Row],[Function Col32]])</f>
        <v>44976</v>
      </c>
      <c r="Q392" s="4">
        <v>44976</v>
      </c>
      <c r="R392" s="1" t="s">
        <v>92</v>
      </c>
      <c r="S392" s="1" t="s">
        <v>53</v>
      </c>
      <c r="T392" s="1" t="s">
        <v>41</v>
      </c>
      <c r="U392" s="1"/>
      <c r="W392">
        <f>IF(Table1[[#This Row],[Claim_Amount]]&lt;0,0,Table1[[#This Row],[Claim_Amount]])</f>
        <v>0</v>
      </c>
      <c r="X392" t="str">
        <f>IF(Table1[[#This Row],[Column1]]=0,"",Table1[[#This Row],[Column1]])</f>
        <v/>
      </c>
      <c r="Y392" t="s">
        <v>1098</v>
      </c>
      <c r="Z392">
        <v>2481</v>
      </c>
      <c r="AA392">
        <v>832</v>
      </c>
      <c r="AB392" s="1" t="s">
        <v>1091</v>
      </c>
      <c r="AC392" s="1" t="s">
        <v>26</v>
      </c>
      <c r="AD392">
        <v>9</v>
      </c>
      <c r="AE392" s="3" t="s">
        <v>19</v>
      </c>
    </row>
    <row r="393" spans="1:31" ht="15.75" customHeight="1" x14ac:dyDescent="0.35">
      <c r="A393" s="1" t="s">
        <v>192</v>
      </c>
      <c r="B393" t="s">
        <v>1083</v>
      </c>
      <c r="C393" s="1" t="s">
        <v>632</v>
      </c>
      <c r="D393" s="1" t="s">
        <v>633</v>
      </c>
      <c r="E393" s="5">
        <v>45093</v>
      </c>
      <c r="F393" s="4" t="str">
        <f>IF(ISNUMBER(Table13[[#This Row],[Claim_Date2]]),"",Table13[[#This Row],[Claim_Date2]])</f>
        <v/>
      </c>
      <c r="G393" s="4" t="s">
        <v>1098</v>
      </c>
      <c r="H393" s="4" t="str">
        <f>LEFT(Table13[[#This Row],[Values Col 1]],3)</f>
        <v/>
      </c>
      <c r="I393" s="4" t="s">
        <v>1098</v>
      </c>
      <c r="J393" s="4" t="str">
        <f>MID(Table13[[#This Row],[Function Col]],5,2)</f>
        <v/>
      </c>
      <c r="K393" s="4" t="s">
        <v>1098</v>
      </c>
      <c r="L393" s="4" t="str">
        <f>RIGHT(Table13[[#This Row],[Function Col]],4)</f>
        <v/>
      </c>
      <c r="M393" s="4" t="s">
        <v>1098</v>
      </c>
      <c r="N393" s="4" t="str">
        <f>IF(Table13[[#This Row],[Function Col5]]="","",_xlfn.CONCAT(Table13[[#This Row],[Day Col]],"/",Table13[[#This Row],[Month Col]],"/",Table13[[#This Row],[Year Col]]))</f>
        <v/>
      </c>
      <c r="O393" s="4" t="s">
        <v>1098</v>
      </c>
      <c r="P393" s="4">
        <f>IF(ISNUMBER(Table13[[#This Row],[Claim_Date2]]),Table13[[#This Row],[Claim_Date2]],Table13[[#This Row],[Function Col32]])</f>
        <v>45093</v>
      </c>
      <c r="Q393" s="4">
        <v>45093</v>
      </c>
      <c r="R393" s="1" t="s">
        <v>16</v>
      </c>
      <c r="S393" s="1" t="s">
        <v>53</v>
      </c>
      <c r="T393" s="1" t="s">
        <v>54</v>
      </c>
      <c r="U393" s="1"/>
      <c r="W393">
        <f>IF(Table1[[#This Row],[Claim_Amount]]&lt;0,0,Table1[[#This Row],[Claim_Amount]])</f>
        <v>0</v>
      </c>
      <c r="X393" t="str">
        <f>IF(Table1[[#This Row],[Column1]]=0,"",Table1[[#This Row],[Column1]])</f>
        <v/>
      </c>
      <c r="Y393" t="s">
        <v>1098</v>
      </c>
      <c r="Z393">
        <v>2481</v>
      </c>
      <c r="AA393">
        <v>832</v>
      </c>
      <c r="AB393" s="1" t="s">
        <v>1091</v>
      </c>
      <c r="AC393" s="1" t="s">
        <v>26</v>
      </c>
      <c r="AD393">
        <v>9</v>
      </c>
      <c r="AE393" s="3" t="s">
        <v>1097</v>
      </c>
    </row>
    <row r="394" spans="1:31" ht="15.75" customHeight="1" x14ac:dyDescent="0.35">
      <c r="A394" s="1" t="s">
        <v>33</v>
      </c>
      <c r="B394" t="s">
        <v>1083</v>
      </c>
      <c r="C394" t="s">
        <v>1084</v>
      </c>
      <c r="D394" s="1" t="s">
        <v>144</v>
      </c>
      <c r="E394" s="5">
        <v>44978</v>
      </c>
      <c r="F394" s="4" t="str">
        <f>IF(ISNUMBER(Table13[[#This Row],[Claim_Date2]]),"",Table13[[#This Row],[Claim_Date2]])</f>
        <v/>
      </c>
      <c r="G394" s="4" t="s">
        <v>1098</v>
      </c>
      <c r="H394" s="4" t="str">
        <f>LEFT(Table13[[#This Row],[Values Col 1]],3)</f>
        <v/>
      </c>
      <c r="I394" s="4" t="s">
        <v>1098</v>
      </c>
      <c r="J394" s="4" t="str">
        <f>MID(Table13[[#This Row],[Function Col]],5,2)</f>
        <v/>
      </c>
      <c r="K394" s="4" t="s">
        <v>1098</v>
      </c>
      <c r="L394" s="4" t="str">
        <f>RIGHT(Table13[[#This Row],[Function Col]],4)</f>
        <v/>
      </c>
      <c r="M394" s="4" t="s">
        <v>1098</v>
      </c>
      <c r="N394" s="4" t="str">
        <f>IF(Table13[[#This Row],[Function Col5]]="","",_xlfn.CONCAT(Table13[[#This Row],[Day Col]],"/",Table13[[#This Row],[Month Col]],"/",Table13[[#This Row],[Year Col]]))</f>
        <v/>
      </c>
      <c r="O394" s="4" t="s">
        <v>1098</v>
      </c>
      <c r="P394" s="4">
        <f>IF(ISNUMBER(Table13[[#This Row],[Claim_Date2]]),Table13[[#This Row],[Claim_Date2]],Table13[[#This Row],[Function Col32]])</f>
        <v>44978</v>
      </c>
      <c r="Q394" s="4">
        <v>44978</v>
      </c>
      <c r="R394" s="1" t="s">
        <v>92</v>
      </c>
      <c r="S394" s="1" t="s">
        <v>53</v>
      </c>
      <c r="T394" s="1" t="s">
        <v>54</v>
      </c>
      <c r="U394" s="1"/>
      <c r="W394">
        <f>IF(Table1[[#This Row],[Claim_Amount]]&lt;0,0,Table1[[#This Row],[Claim_Amount]])</f>
        <v>0</v>
      </c>
      <c r="X394" t="str">
        <f>IF(Table1[[#This Row],[Column1]]=0,"",Table1[[#This Row],[Column1]])</f>
        <v/>
      </c>
      <c r="Y394" t="s">
        <v>1098</v>
      </c>
      <c r="Z394">
        <v>2481</v>
      </c>
      <c r="AA394">
        <v>832</v>
      </c>
      <c r="AB394" s="1" t="s">
        <v>42</v>
      </c>
      <c r="AC394" s="1" t="s">
        <v>1093</v>
      </c>
      <c r="AD394">
        <v>9</v>
      </c>
      <c r="AE394" s="3" t="s">
        <v>19</v>
      </c>
    </row>
    <row r="395" spans="1:31" ht="15.75" customHeight="1" x14ac:dyDescent="0.35">
      <c r="A395" s="1" t="s">
        <v>73</v>
      </c>
      <c r="B395" t="s">
        <v>1083</v>
      </c>
      <c r="C395" s="1" t="s">
        <v>45</v>
      </c>
      <c r="D395" s="1" t="s">
        <v>388</v>
      </c>
      <c r="E395" s="5">
        <v>45079</v>
      </c>
      <c r="F395" s="4" t="str">
        <f>IF(ISNUMBER(Table13[[#This Row],[Claim_Date2]]),"",Table13[[#This Row],[Claim_Date2]])</f>
        <v/>
      </c>
      <c r="G395" s="4" t="s">
        <v>1098</v>
      </c>
      <c r="H395" s="4" t="str">
        <f>LEFT(Table13[[#This Row],[Values Col 1]],3)</f>
        <v/>
      </c>
      <c r="I395" s="4" t="s">
        <v>1098</v>
      </c>
      <c r="J395" s="4" t="str">
        <f>MID(Table13[[#This Row],[Function Col]],5,2)</f>
        <v/>
      </c>
      <c r="K395" s="4" t="s">
        <v>1098</v>
      </c>
      <c r="L395" s="4" t="str">
        <f>RIGHT(Table13[[#This Row],[Function Col]],4)</f>
        <v/>
      </c>
      <c r="M395" s="4" t="s">
        <v>1098</v>
      </c>
      <c r="N395" s="4" t="str">
        <f>IF(Table13[[#This Row],[Function Col5]]="","",_xlfn.CONCAT(Table13[[#This Row],[Day Col]],"/",Table13[[#This Row],[Month Col]],"/",Table13[[#This Row],[Year Col]]))</f>
        <v/>
      </c>
      <c r="O395" s="4" t="s">
        <v>1098</v>
      </c>
      <c r="P395" s="4">
        <f>IF(ISNUMBER(Table13[[#This Row],[Claim_Date2]]),Table13[[#This Row],[Claim_Date2]],Table13[[#This Row],[Function Col32]])</f>
        <v>45079</v>
      </c>
      <c r="Q395" s="4">
        <v>45079</v>
      </c>
      <c r="R395" s="1" t="s">
        <v>30</v>
      </c>
      <c r="S395" t="s">
        <v>1085</v>
      </c>
      <c r="T395" s="1" t="s">
        <v>61</v>
      </c>
      <c r="U395" s="1"/>
      <c r="V395" s="1">
        <v>3602.65</v>
      </c>
      <c r="W395" s="1">
        <f>IF(Table1[[#This Row],[Claim_Amount]]&lt;0,0,Table1[[#This Row],[Claim_Amount]])</f>
        <v>3602.65</v>
      </c>
      <c r="X395" s="1">
        <f>IF(Table1[[#This Row],[Column1]]=0,"",Table1[[#This Row],[Column1]])</f>
        <v>3602.65</v>
      </c>
      <c r="Y395" s="1">
        <v>3602.65</v>
      </c>
      <c r="Z395" s="1">
        <v>3602.65</v>
      </c>
      <c r="AA395">
        <v>832</v>
      </c>
      <c r="AB395" s="1" t="s">
        <v>25</v>
      </c>
      <c r="AC395" s="1" t="s">
        <v>57</v>
      </c>
      <c r="AD395">
        <v>9</v>
      </c>
      <c r="AE395" s="3" t="s">
        <v>37</v>
      </c>
    </row>
    <row r="396" spans="1:31" ht="15.75" customHeight="1" x14ac:dyDescent="0.35">
      <c r="A396" s="1" t="s">
        <v>62</v>
      </c>
      <c r="B396" t="s">
        <v>1083</v>
      </c>
      <c r="C396" t="s">
        <v>1084</v>
      </c>
      <c r="D396" s="1" t="s">
        <v>634</v>
      </c>
      <c r="E396" s="5" t="s">
        <v>634</v>
      </c>
      <c r="F396" s="4" t="str">
        <f>IF(ISNUMBER(Table13[[#This Row],[Claim_Date2]]),"",Table13[[#This Row],[Claim_Date2]])</f>
        <v>Aug 10 2023</v>
      </c>
      <c r="G396" s="4" t="s">
        <v>634</v>
      </c>
      <c r="H396" s="4" t="str">
        <f>LEFT(Table13[[#This Row],[Values Col 1]],3)</f>
        <v>Aug</v>
      </c>
      <c r="I396" s="4" t="s">
        <v>1106</v>
      </c>
      <c r="J396" s="4" t="str">
        <f>MID(Table13[[#This Row],[Function Col]],5,2)</f>
        <v>10</v>
      </c>
      <c r="K396" s="4" t="s">
        <v>1128</v>
      </c>
      <c r="L396" s="4" t="str">
        <f>RIGHT(Table13[[#This Row],[Function Col]],4)</f>
        <v>2023</v>
      </c>
      <c r="M396" s="4" t="s">
        <v>1146</v>
      </c>
      <c r="N396" s="4" t="str">
        <f>IF(Table13[[#This Row],[Function Col5]]="","",_xlfn.CONCAT(Table13[[#This Row],[Day Col]],"/",Table13[[#This Row],[Month Col]],"/",Table13[[#This Row],[Year Col]]))</f>
        <v>10/Aug/2023</v>
      </c>
      <c r="O396" s="4" t="s">
        <v>1260</v>
      </c>
      <c r="P396" s="4" t="str">
        <f>IF(ISNUMBER(Table13[[#This Row],[Claim_Date2]]),Table13[[#This Row],[Claim_Date2]],Table13[[#This Row],[Function Col32]])</f>
        <v>10/Aug/2023</v>
      </c>
      <c r="Q396" s="4">
        <v>45148</v>
      </c>
      <c r="R396" s="1" t="s">
        <v>30</v>
      </c>
      <c r="S396" s="1" t="s">
        <v>31</v>
      </c>
      <c r="T396" s="1" t="s">
        <v>24</v>
      </c>
      <c r="U396" s="1"/>
      <c r="V396" s="1">
        <v>-74</v>
      </c>
      <c r="W396" s="1">
        <f>IF(Table1[[#This Row],[Claim_Amount]]&lt;0,0,Table1[[#This Row],[Claim_Amount]])</f>
        <v>0</v>
      </c>
      <c r="X396" s="1" t="str">
        <f>IF(Table1[[#This Row],[Column1]]=0,"",Table1[[#This Row],[Column1]])</f>
        <v/>
      </c>
      <c r="Y396" s="1" t="s">
        <v>1098</v>
      </c>
      <c r="Z396" s="1">
        <v>2481</v>
      </c>
      <c r="AA396">
        <v>832</v>
      </c>
      <c r="AB396" s="1" t="s">
        <v>17</v>
      </c>
      <c r="AC396" s="1" t="s">
        <v>26</v>
      </c>
      <c r="AD396">
        <v>9</v>
      </c>
      <c r="AE396" s="3" t="s">
        <v>1097</v>
      </c>
    </row>
    <row r="397" spans="1:31" ht="15.75" customHeight="1" x14ac:dyDescent="0.35">
      <c r="A397" s="1" t="s">
        <v>102</v>
      </c>
      <c r="B397" t="s">
        <v>1083</v>
      </c>
      <c r="C397" t="s">
        <v>1084</v>
      </c>
      <c r="D397" s="1" t="s">
        <v>635</v>
      </c>
      <c r="E397" s="5" t="s">
        <v>635</v>
      </c>
      <c r="F397" s="4" t="str">
        <f>IF(ISNUMBER(Table13[[#This Row],[Claim_Date2]]),"",Table13[[#This Row],[Claim_Date2]])</f>
        <v>Sep 30 2023</v>
      </c>
      <c r="G397" s="4" t="s">
        <v>635</v>
      </c>
      <c r="H397" s="4" t="str">
        <f>LEFT(Table13[[#This Row],[Values Col 1]],3)</f>
        <v>Sep</v>
      </c>
      <c r="I397" s="4" t="s">
        <v>1102</v>
      </c>
      <c r="J397" s="4" t="str">
        <f>MID(Table13[[#This Row],[Function Col]],5,2)</f>
        <v>30</v>
      </c>
      <c r="K397" s="4" t="s">
        <v>1126</v>
      </c>
      <c r="L397" s="4" t="str">
        <f>RIGHT(Table13[[#This Row],[Function Col]],4)</f>
        <v>2023</v>
      </c>
      <c r="M397" s="4" t="s">
        <v>1146</v>
      </c>
      <c r="N397" s="4" t="str">
        <f>IF(Table13[[#This Row],[Function Col5]]="","",_xlfn.CONCAT(Table13[[#This Row],[Day Col]],"/",Table13[[#This Row],[Month Col]],"/",Table13[[#This Row],[Year Col]]))</f>
        <v>30/Sep/2023</v>
      </c>
      <c r="O397" s="4" t="s">
        <v>1261</v>
      </c>
      <c r="P397" s="4" t="str">
        <f>IF(ISNUMBER(Table13[[#This Row],[Claim_Date2]]),Table13[[#This Row],[Claim_Date2]],Table13[[#This Row],[Function Col32]])</f>
        <v>30/Sep/2023</v>
      </c>
      <c r="Q397" s="4">
        <v>45199</v>
      </c>
      <c r="R397" s="1" t="s">
        <v>85</v>
      </c>
      <c r="S397" s="1" t="s">
        <v>53</v>
      </c>
      <c r="T397" s="1" t="s">
        <v>54</v>
      </c>
      <c r="U397" s="1"/>
      <c r="W397">
        <f>IF(Table1[[#This Row],[Claim_Amount]]&lt;0,0,Table1[[#This Row],[Claim_Amount]])</f>
        <v>0</v>
      </c>
      <c r="X397" t="str">
        <f>IF(Table1[[#This Row],[Column1]]=0,"",Table1[[#This Row],[Column1]])</f>
        <v/>
      </c>
      <c r="Y397" t="s">
        <v>1098</v>
      </c>
      <c r="Z397">
        <v>2481</v>
      </c>
      <c r="AA397" s="1">
        <v>1853.16</v>
      </c>
      <c r="AB397" s="1" t="s">
        <v>17</v>
      </c>
      <c r="AC397" s="1" t="s">
        <v>18</v>
      </c>
      <c r="AD397">
        <v>9</v>
      </c>
      <c r="AE397" s="3" t="s">
        <v>27</v>
      </c>
    </row>
    <row r="398" spans="1:31" ht="15.75" customHeight="1" x14ac:dyDescent="0.35">
      <c r="A398" s="1" t="s">
        <v>62</v>
      </c>
      <c r="B398" t="s">
        <v>1083</v>
      </c>
      <c r="C398" s="1" t="s">
        <v>636</v>
      </c>
      <c r="D398" s="1" t="s">
        <v>248</v>
      </c>
      <c r="E398" s="5" t="s">
        <v>248</v>
      </c>
      <c r="F398" s="4" t="str">
        <f>IF(ISNUMBER(Table13[[#This Row],[Claim_Date2]]),"",Table13[[#This Row],[Claim_Date2]])</f>
        <v>May 27 2023</v>
      </c>
      <c r="G398" s="4" t="s">
        <v>248</v>
      </c>
      <c r="H398" s="4" t="str">
        <f>LEFT(Table13[[#This Row],[Values Col 1]],3)</f>
        <v>May</v>
      </c>
      <c r="I398" s="4" t="s">
        <v>1110</v>
      </c>
      <c r="J398" s="4" t="str">
        <f>MID(Table13[[#This Row],[Function Col]],5,2)</f>
        <v>27</v>
      </c>
      <c r="K398" s="4" t="s">
        <v>1124</v>
      </c>
      <c r="L398" s="4" t="str">
        <f>RIGHT(Table13[[#This Row],[Function Col]],4)</f>
        <v>2023</v>
      </c>
      <c r="M398" s="4" t="s">
        <v>1146</v>
      </c>
      <c r="N398" s="4" t="str">
        <f>IF(Table13[[#This Row],[Function Col5]]="","",_xlfn.CONCAT(Table13[[#This Row],[Day Col]],"/",Table13[[#This Row],[Month Col]],"/",Table13[[#This Row],[Year Col]]))</f>
        <v>27/May/2023</v>
      </c>
      <c r="O398" s="4" t="s">
        <v>1179</v>
      </c>
      <c r="P398" s="4" t="str">
        <f>IF(ISNUMBER(Table13[[#This Row],[Claim_Date2]]),Table13[[#This Row],[Claim_Date2]],Table13[[#This Row],[Function Col32]])</f>
        <v>27/May/2023</v>
      </c>
      <c r="Q398" s="4">
        <v>45073</v>
      </c>
      <c r="R398" s="1" t="s">
        <v>85</v>
      </c>
      <c r="S398" s="1" t="s">
        <v>31</v>
      </c>
      <c r="T398" t="s">
        <v>1086</v>
      </c>
      <c r="W398">
        <f>IF(Table1[[#This Row],[Claim_Amount]]&lt;0,0,Table1[[#This Row],[Claim_Amount]])</f>
        <v>0</v>
      </c>
      <c r="X398" t="str">
        <f>IF(Table1[[#This Row],[Column1]]=0,"",Table1[[#This Row],[Column1]])</f>
        <v/>
      </c>
      <c r="Y398" t="s">
        <v>1098</v>
      </c>
      <c r="Z398">
        <v>2481</v>
      </c>
      <c r="AA398" s="1">
        <v>612.11</v>
      </c>
      <c r="AB398" s="1" t="s">
        <v>25</v>
      </c>
      <c r="AC398" s="1" t="s">
        <v>18</v>
      </c>
      <c r="AD398">
        <v>9</v>
      </c>
      <c r="AE398" s="3" t="s">
        <v>37</v>
      </c>
    </row>
    <row r="399" spans="1:31" ht="15.75" customHeight="1" x14ac:dyDescent="0.35">
      <c r="A399" s="1" t="s">
        <v>117</v>
      </c>
      <c r="B399" t="s">
        <v>1083</v>
      </c>
      <c r="C399" s="1" t="s">
        <v>75</v>
      </c>
      <c r="D399" s="1" t="s">
        <v>637</v>
      </c>
      <c r="E399" s="5">
        <v>45030</v>
      </c>
      <c r="F399" s="4" t="str">
        <f>IF(ISNUMBER(Table13[[#This Row],[Claim_Date2]]),"",Table13[[#This Row],[Claim_Date2]])</f>
        <v/>
      </c>
      <c r="G399" s="4" t="s">
        <v>1098</v>
      </c>
      <c r="H399" s="4" t="str">
        <f>LEFT(Table13[[#This Row],[Values Col 1]],3)</f>
        <v/>
      </c>
      <c r="I399" s="4" t="s">
        <v>1098</v>
      </c>
      <c r="J399" s="4" t="str">
        <f>MID(Table13[[#This Row],[Function Col]],5,2)</f>
        <v/>
      </c>
      <c r="K399" s="4" t="s">
        <v>1098</v>
      </c>
      <c r="L399" s="4" t="str">
        <f>RIGHT(Table13[[#This Row],[Function Col]],4)</f>
        <v/>
      </c>
      <c r="M399" s="4" t="s">
        <v>1098</v>
      </c>
      <c r="N399" s="4" t="str">
        <f>IF(Table13[[#This Row],[Function Col5]]="","",_xlfn.CONCAT(Table13[[#This Row],[Day Col]],"/",Table13[[#This Row],[Month Col]],"/",Table13[[#This Row],[Year Col]]))</f>
        <v/>
      </c>
      <c r="O399" s="4" t="s">
        <v>1098</v>
      </c>
      <c r="P399" s="4">
        <f>IF(ISNUMBER(Table13[[#This Row],[Claim_Date2]]),Table13[[#This Row],[Claim_Date2]],Table13[[#This Row],[Function Col32]])</f>
        <v>45030</v>
      </c>
      <c r="Q399" s="4">
        <v>45030</v>
      </c>
      <c r="R399" s="1" t="s">
        <v>16</v>
      </c>
      <c r="S399" s="1" t="s">
        <v>31</v>
      </c>
      <c r="T399" s="1" t="s">
        <v>41</v>
      </c>
      <c r="U399" s="1"/>
      <c r="V399" s="1">
        <v>3310.42</v>
      </c>
      <c r="W399" s="1">
        <f>IF(Table1[[#This Row],[Claim_Amount]]&lt;0,0,Table1[[#This Row],[Claim_Amount]])</f>
        <v>3310.42</v>
      </c>
      <c r="X399" s="1">
        <f>IF(Table1[[#This Row],[Column1]]=0,"",Table1[[#This Row],[Column1]])</f>
        <v>3310.42</v>
      </c>
      <c r="Y399" s="1">
        <v>3310.42</v>
      </c>
      <c r="Z399" s="1">
        <v>3310.42</v>
      </c>
      <c r="AA399">
        <v>832</v>
      </c>
      <c r="AB399" s="1" t="s">
        <v>25</v>
      </c>
      <c r="AC399" s="1" t="s">
        <v>26</v>
      </c>
      <c r="AD399" s="1">
        <v>55</v>
      </c>
      <c r="AE399" s="3" t="s">
        <v>27</v>
      </c>
    </row>
    <row r="400" spans="1:31" ht="15.75" customHeight="1" x14ac:dyDescent="0.35">
      <c r="A400" s="1" t="s">
        <v>154</v>
      </c>
      <c r="B400" s="1" t="s">
        <v>638</v>
      </c>
      <c r="C400" t="s">
        <v>1084</v>
      </c>
      <c r="D400" s="1" t="s">
        <v>639</v>
      </c>
      <c r="E400" s="5">
        <v>45263</v>
      </c>
      <c r="F400" s="4" t="str">
        <f>IF(ISNUMBER(Table13[[#This Row],[Claim_Date2]]),"",Table13[[#This Row],[Claim_Date2]])</f>
        <v/>
      </c>
      <c r="G400" s="4" t="s">
        <v>1098</v>
      </c>
      <c r="H400" s="4" t="str">
        <f>LEFT(Table13[[#This Row],[Values Col 1]],3)</f>
        <v/>
      </c>
      <c r="I400" s="4" t="s">
        <v>1098</v>
      </c>
      <c r="J400" s="4" t="str">
        <f>MID(Table13[[#This Row],[Function Col]],5,2)</f>
        <v/>
      </c>
      <c r="K400" s="4" t="s">
        <v>1098</v>
      </c>
      <c r="L400" s="4" t="str">
        <f>RIGHT(Table13[[#This Row],[Function Col]],4)</f>
        <v/>
      </c>
      <c r="M400" s="4" t="s">
        <v>1098</v>
      </c>
      <c r="N400" s="4" t="str">
        <f>IF(Table13[[#This Row],[Function Col5]]="","",_xlfn.CONCAT(Table13[[#This Row],[Day Col]],"/",Table13[[#This Row],[Month Col]],"/",Table13[[#This Row],[Year Col]]))</f>
        <v/>
      </c>
      <c r="O400" s="4" t="s">
        <v>1098</v>
      </c>
      <c r="P400" s="4">
        <f>IF(ISNUMBER(Table13[[#This Row],[Claim_Date2]]),Table13[[#This Row],[Claim_Date2]],Table13[[#This Row],[Function Col32]])</f>
        <v>45263</v>
      </c>
      <c r="Q400" s="4">
        <v>45263</v>
      </c>
      <c r="R400" s="1" t="s">
        <v>85</v>
      </c>
      <c r="S400" t="s">
        <v>1085</v>
      </c>
      <c r="T400" s="1" t="s">
        <v>24</v>
      </c>
      <c r="U400" s="1"/>
      <c r="V400" s="1">
        <v>1218.4000000000001</v>
      </c>
      <c r="W400" s="1">
        <f>IF(Table1[[#This Row],[Claim_Amount]]&lt;0,0,Table1[[#This Row],[Claim_Amount]])</f>
        <v>1218.4000000000001</v>
      </c>
      <c r="X400" s="1">
        <f>IF(Table1[[#This Row],[Column1]]=0,"",Table1[[#This Row],[Column1]])</f>
        <v>1218.4000000000001</v>
      </c>
      <c r="Y400" s="1">
        <v>1218.4000000000001</v>
      </c>
      <c r="Z400" s="1">
        <v>1218.4000000000001</v>
      </c>
      <c r="AA400">
        <v>832</v>
      </c>
      <c r="AB400" s="1" t="s">
        <v>1091</v>
      </c>
      <c r="AC400" s="1" t="s">
        <v>32</v>
      </c>
      <c r="AD400" s="1">
        <v>31</v>
      </c>
      <c r="AE400" s="3" t="s">
        <v>65</v>
      </c>
    </row>
    <row r="401" spans="1:31" ht="15.75" customHeight="1" x14ac:dyDescent="0.35">
      <c r="A401" s="1" t="s">
        <v>154</v>
      </c>
      <c r="B401" t="s">
        <v>1083</v>
      </c>
      <c r="C401" t="s">
        <v>1084</v>
      </c>
      <c r="D401" s="1" t="s">
        <v>640</v>
      </c>
      <c r="E401" s="5">
        <v>45047</v>
      </c>
      <c r="F401" s="4" t="str">
        <f>IF(ISNUMBER(Table13[[#This Row],[Claim_Date2]]),"",Table13[[#This Row],[Claim_Date2]])</f>
        <v/>
      </c>
      <c r="G401" s="4" t="s">
        <v>1098</v>
      </c>
      <c r="H401" s="4" t="str">
        <f>LEFT(Table13[[#This Row],[Values Col 1]],3)</f>
        <v/>
      </c>
      <c r="I401" s="4" t="s">
        <v>1098</v>
      </c>
      <c r="J401" s="4" t="str">
        <f>MID(Table13[[#This Row],[Function Col]],5,2)</f>
        <v/>
      </c>
      <c r="K401" s="4" t="s">
        <v>1098</v>
      </c>
      <c r="L401" s="4" t="str">
        <f>RIGHT(Table13[[#This Row],[Function Col]],4)</f>
        <v/>
      </c>
      <c r="M401" s="4" t="s">
        <v>1098</v>
      </c>
      <c r="N401" s="4" t="str">
        <f>IF(Table13[[#This Row],[Function Col5]]="","",_xlfn.CONCAT(Table13[[#This Row],[Day Col]],"/",Table13[[#This Row],[Month Col]],"/",Table13[[#This Row],[Year Col]]))</f>
        <v/>
      </c>
      <c r="O401" s="4" t="s">
        <v>1098</v>
      </c>
      <c r="P401" s="4">
        <f>IF(ISNUMBER(Table13[[#This Row],[Claim_Date2]]),Table13[[#This Row],[Claim_Date2]],Table13[[#This Row],[Function Col32]])</f>
        <v>45047</v>
      </c>
      <c r="Q401" s="4">
        <v>45047</v>
      </c>
      <c r="R401" s="1" t="s">
        <v>16</v>
      </c>
      <c r="S401" s="1" t="s">
        <v>93</v>
      </c>
      <c r="T401" s="1" t="s">
        <v>24</v>
      </c>
      <c r="U401" s="1"/>
      <c r="V401" s="1">
        <v>-122</v>
      </c>
      <c r="W401" s="1">
        <f>IF(Table1[[#This Row],[Claim_Amount]]&lt;0,0,Table1[[#This Row],[Claim_Amount]])</f>
        <v>0</v>
      </c>
      <c r="X401" s="1" t="str">
        <f>IF(Table1[[#This Row],[Column1]]=0,"",Table1[[#This Row],[Column1]])</f>
        <v/>
      </c>
      <c r="Y401" s="1" t="s">
        <v>1098</v>
      </c>
      <c r="Z401" s="1">
        <v>2481</v>
      </c>
      <c r="AA401">
        <v>832</v>
      </c>
      <c r="AB401" s="1" t="s">
        <v>25</v>
      </c>
      <c r="AC401" s="1" t="s">
        <v>1093</v>
      </c>
      <c r="AD401">
        <v>9</v>
      </c>
      <c r="AE401" s="3" t="s">
        <v>19</v>
      </c>
    </row>
    <row r="402" spans="1:31" ht="15.75" customHeight="1" x14ac:dyDescent="0.35">
      <c r="A402" s="1" t="s">
        <v>58</v>
      </c>
      <c r="B402" t="s">
        <v>1083</v>
      </c>
      <c r="C402" s="1" t="s">
        <v>458</v>
      </c>
      <c r="D402" s="1" t="s">
        <v>641</v>
      </c>
      <c r="E402" s="5">
        <v>45001</v>
      </c>
      <c r="F402" s="4" t="str">
        <f>IF(ISNUMBER(Table13[[#This Row],[Claim_Date2]]),"",Table13[[#This Row],[Claim_Date2]])</f>
        <v/>
      </c>
      <c r="G402" s="4" t="s">
        <v>1098</v>
      </c>
      <c r="H402" s="4" t="str">
        <f>LEFT(Table13[[#This Row],[Values Col 1]],3)</f>
        <v/>
      </c>
      <c r="I402" s="4" t="s">
        <v>1098</v>
      </c>
      <c r="J402" s="4" t="str">
        <f>MID(Table13[[#This Row],[Function Col]],5,2)</f>
        <v/>
      </c>
      <c r="K402" s="4" t="s">
        <v>1098</v>
      </c>
      <c r="L402" s="4" t="str">
        <f>RIGHT(Table13[[#This Row],[Function Col]],4)</f>
        <v/>
      </c>
      <c r="M402" s="4" t="s">
        <v>1098</v>
      </c>
      <c r="N402" s="4" t="str">
        <f>IF(Table13[[#This Row],[Function Col5]]="","",_xlfn.CONCAT(Table13[[#This Row],[Day Col]],"/",Table13[[#This Row],[Month Col]],"/",Table13[[#This Row],[Year Col]]))</f>
        <v/>
      </c>
      <c r="O402" s="4" t="s">
        <v>1098</v>
      </c>
      <c r="P402" s="4">
        <f>IF(ISNUMBER(Table13[[#This Row],[Claim_Date2]]),Table13[[#This Row],[Claim_Date2]],Table13[[#This Row],[Function Col32]])</f>
        <v>45001</v>
      </c>
      <c r="Q402" s="4">
        <v>45001</v>
      </c>
      <c r="R402" s="1" t="s">
        <v>16</v>
      </c>
      <c r="S402" s="1" t="s">
        <v>31</v>
      </c>
      <c r="T402" s="1" t="s">
        <v>41</v>
      </c>
      <c r="U402" s="1"/>
      <c r="V402" s="1">
        <v>154.32</v>
      </c>
      <c r="W402" s="1">
        <f>IF(Table1[[#This Row],[Claim_Amount]]&lt;0,0,Table1[[#This Row],[Claim_Amount]])</f>
        <v>154.32</v>
      </c>
      <c r="X402" s="1">
        <f>IF(Table1[[#This Row],[Column1]]=0,"",Table1[[#This Row],[Column1]])</f>
        <v>154.32</v>
      </c>
      <c r="Y402" s="1">
        <v>154.32</v>
      </c>
      <c r="Z402" s="1">
        <v>154.32</v>
      </c>
      <c r="AA402">
        <v>832</v>
      </c>
      <c r="AB402" s="1" t="s">
        <v>25</v>
      </c>
      <c r="AC402" s="1" t="s">
        <v>18</v>
      </c>
      <c r="AD402">
        <v>9</v>
      </c>
      <c r="AE402" s="3" t="s">
        <v>37</v>
      </c>
    </row>
    <row r="403" spans="1:31" ht="15.75" customHeight="1" x14ac:dyDescent="0.35">
      <c r="A403" s="1" t="s">
        <v>192</v>
      </c>
      <c r="B403" t="s">
        <v>1083</v>
      </c>
      <c r="C403" s="1" t="s">
        <v>356</v>
      </c>
      <c r="D403" s="1" t="s">
        <v>549</v>
      </c>
      <c r="E403" s="5">
        <v>45048</v>
      </c>
      <c r="F403" s="4" t="str">
        <f>IF(ISNUMBER(Table13[[#This Row],[Claim_Date2]]),"",Table13[[#This Row],[Claim_Date2]])</f>
        <v/>
      </c>
      <c r="G403" s="4" t="s">
        <v>1098</v>
      </c>
      <c r="H403" s="4" t="str">
        <f>LEFT(Table13[[#This Row],[Values Col 1]],3)</f>
        <v/>
      </c>
      <c r="I403" s="4" t="s">
        <v>1098</v>
      </c>
      <c r="J403" s="4" t="str">
        <f>MID(Table13[[#This Row],[Function Col]],5,2)</f>
        <v/>
      </c>
      <c r="K403" s="4" t="s">
        <v>1098</v>
      </c>
      <c r="L403" s="4" t="str">
        <f>RIGHT(Table13[[#This Row],[Function Col]],4)</f>
        <v/>
      </c>
      <c r="M403" s="4" t="s">
        <v>1098</v>
      </c>
      <c r="N403" s="4" t="str">
        <f>IF(Table13[[#This Row],[Function Col5]]="","",_xlfn.CONCAT(Table13[[#This Row],[Day Col]],"/",Table13[[#This Row],[Month Col]],"/",Table13[[#This Row],[Year Col]]))</f>
        <v/>
      </c>
      <c r="O403" s="4" t="s">
        <v>1098</v>
      </c>
      <c r="P403" s="4">
        <f>IF(ISNUMBER(Table13[[#This Row],[Claim_Date2]]),Table13[[#This Row],[Claim_Date2]],Table13[[#This Row],[Function Col32]])</f>
        <v>45048</v>
      </c>
      <c r="Q403" s="4">
        <v>45048</v>
      </c>
      <c r="R403" s="1" t="s">
        <v>16</v>
      </c>
      <c r="S403" s="1" t="s">
        <v>53</v>
      </c>
      <c r="T403" s="1" t="s">
        <v>41</v>
      </c>
      <c r="U403" s="1"/>
      <c r="W403">
        <f>IF(Table1[[#This Row],[Claim_Amount]]&lt;0,0,Table1[[#This Row],[Claim_Amount]])</f>
        <v>0</v>
      </c>
      <c r="X403" t="str">
        <f>IF(Table1[[#This Row],[Column1]]=0,"",Table1[[#This Row],[Column1]])</f>
        <v/>
      </c>
      <c r="Y403" t="s">
        <v>1098</v>
      </c>
      <c r="Z403">
        <v>2481</v>
      </c>
      <c r="AA403" s="1">
        <v>1091.4100000000001</v>
      </c>
      <c r="AB403" s="1" t="s">
        <v>25</v>
      </c>
      <c r="AC403" s="1" t="s">
        <v>32</v>
      </c>
      <c r="AD403">
        <v>9</v>
      </c>
      <c r="AE403" s="3" t="s">
        <v>37</v>
      </c>
    </row>
    <row r="404" spans="1:31" ht="15.75" customHeight="1" x14ac:dyDescent="0.35">
      <c r="A404" s="1" t="s">
        <v>179</v>
      </c>
      <c r="B404" t="s">
        <v>1083</v>
      </c>
      <c r="C404" t="s">
        <v>1084</v>
      </c>
      <c r="D404" s="1" t="s">
        <v>412</v>
      </c>
      <c r="E404" s="5" t="s">
        <v>412</v>
      </c>
      <c r="F404" s="4" t="str">
        <f>IF(ISNUMBER(Table13[[#This Row],[Claim_Date2]]),"",Table13[[#This Row],[Claim_Date2]])</f>
        <v>Jun 20 2023</v>
      </c>
      <c r="G404" s="4" t="s">
        <v>412</v>
      </c>
      <c r="H404" s="4" t="str">
        <f>LEFT(Table13[[#This Row],[Values Col 1]],3)</f>
        <v>Jun</v>
      </c>
      <c r="I404" s="4" t="s">
        <v>1108</v>
      </c>
      <c r="J404" s="4" t="str">
        <f>MID(Table13[[#This Row],[Function Col]],5,2)</f>
        <v>20</v>
      </c>
      <c r="K404" s="4" t="s">
        <v>1118</v>
      </c>
      <c r="L404" s="4" t="str">
        <f>RIGHT(Table13[[#This Row],[Function Col]],4)</f>
        <v>2023</v>
      </c>
      <c r="M404" s="4" t="s">
        <v>1146</v>
      </c>
      <c r="N404" s="4" t="str">
        <f>IF(Table13[[#This Row],[Function Col5]]="","",_xlfn.CONCAT(Table13[[#This Row],[Day Col]],"/",Table13[[#This Row],[Month Col]],"/",Table13[[#This Row],[Year Col]]))</f>
        <v>20/Jun/2023</v>
      </c>
      <c r="O404" s="4" t="s">
        <v>1215</v>
      </c>
      <c r="P404" s="4" t="str">
        <f>IF(ISNUMBER(Table13[[#This Row],[Claim_Date2]]),Table13[[#This Row],[Claim_Date2]],Table13[[#This Row],[Function Col32]])</f>
        <v>20/Jun/2023</v>
      </c>
      <c r="Q404" s="4">
        <v>45097</v>
      </c>
      <c r="R404" s="1" t="s">
        <v>77</v>
      </c>
      <c r="S404" s="1" t="s">
        <v>23</v>
      </c>
      <c r="T404" s="1" t="s">
        <v>24</v>
      </c>
      <c r="U404" s="1"/>
      <c r="V404" s="1">
        <v>3507.49</v>
      </c>
      <c r="W404" s="1">
        <f>IF(Table1[[#This Row],[Claim_Amount]]&lt;0,0,Table1[[#This Row],[Claim_Amount]])</f>
        <v>3507.49</v>
      </c>
      <c r="X404" s="1">
        <f>IF(Table1[[#This Row],[Column1]]=0,"",Table1[[#This Row],[Column1]])</f>
        <v>3507.49</v>
      </c>
      <c r="Y404" s="1">
        <v>3507.49</v>
      </c>
      <c r="Z404" s="1">
        <v>3507.49</v>
      </c>
      <c r="AA404">
        <v>832</v>
      </c>
      <c r="AB404" s="1" t="s">
        <v>1091</v>
      </c>
      <c r="AC404" s="1" t="s">
        <v>32</v>
      </c>
      <c r="AD404">
        <v>9</v>
      </c>
      <c r="AE404" s="3" t="s">
        <v>19</v>
      </c>
    </row>
    <row r="405" spans="1:31" ht="15.75" customHeight="1" x14ac:dyDescent="0.35">
      <c r="A405" s="1" t="s">
        <v>231</v>
      </c>
      <c r="B405" t="s">
        <v>1083</v>
      </c>
      <c r="C405" s="1" t="s">
        <v>336</v>
      </c>
      <c r="D405" s="1" t="s">
        <v>565</v>
      </c>
      <c r="E405" s="5">
        <v>45249</v>
      </c>
      <c r="F405" s="4" t="str">
        <f>IF(ISNUMBER(Table13[[#This Row],[Claim_Date2]]),"",Table13[[#This Row],[Claim_Date2]])</f>
        <v/>
      </c>
      <c r="G405" s="4" t="s">
        <v>1098</v>
      </c>
      <c r="H405" s="4" t="str">
        <f>LEFT(Table13[[#This Row],[Values Col 1]],3)</f>
        <v/>
      </c>
      <c r="I405" s="4" t="s">
        <v>1098</v>
      </c>
      <c r="J405" s="4" t="str">
        <f>MID(Table13[[#This Row],[Function Col]],5,2)</f>
        <v/>
      </c>
      <c r="K405" s="4" t="s">
        <v>1098</v>
      </c>
      <c r="L405" s="4" t="str">
        <f>RIGHT(Table13[[#This Row],[Function Col]],4)</f>
        <v/>
      </c>
      <c r="M405" s="4" t="s">
        <v>1098</v>
      </c>
      <c r="N405" s="4" t="str">
        <f>IF(Table13[[#This Row],[Function Col5]]="","",_xlfn.CONCAT(Table13[[#This Row],[Day Col]],"/",Table13[[#This Row],[Month Col]],"/",Table13[[#This Row],[Year Col]]))</f>
        <v/>
      </c>
      <c r="O405" s="4" t="s">
        <v>1098</v>
      </c>
      <c r="P405" s="4">
        <f>IF(ISNUMBER(Table13[[#This Row],[Claim_Date2]]),Table13[[#This Row],[Claim_Date2]],Table13[[#This Row],[Function Col32]])</f>
        <v>45249</v>
      </c>
      <c r="Q405" s="4">
        <v>45249</v>
      </c>
      <c r="R405" s="1" t="s">
        <v>16</v>
      </c>
      <c r="S405" s="1" t="s">
        <v>53</v>
      </c>
      <c r="T405" s="1" t="s">
        <v>24</v>
      </c>
      <c r="U405" s="1"/>
      <c r="V405" s="1">
        <v>3160.07</v>
      </c>
      <c r="W405" s="1">
        <f>IF(Table1[[#This Row],[Claim_Amount]]&lt;0,0,Table1[[#This Row],[Claim_Amount]])</f>
        <v>3160.07</v>
      </c>
      <c r="X405" s="1">
        <f>IF(Table1[[#This Row],[Column1]]=0,"",Table1[[#This Row],[Column1]])</f>
        <v>3160.07</v>
      </c>
      <c r="Y405" s="1">
        <v>3160.07</v>
      </c>
      <c r="Z405" s="1">
        <v>3160.07</v>
      </c>
      <c r="AA405" s="1">
        <v>598.6</v>
      </c>
      <c r="AB405" s="1" t="s">
        <v>1091</v>
      </c>
      <c r="AC405" s="1" t="s">
        <v>18</v>
      </c>
      <c r="AD405">
        <v>9</v>
      </c>
      <c r="AE405" s="3" t="s">
        <v>37</v>
      </c>
    </row>
    <row r="406" spans="1:31" ht="15.75" customHeight="1" x14ac:dyDescent="0.35">
      <c r="A406" s="1" t="s">
        <v>179</v>
      </c>
      <c r="B406" t="s">
        <v>1083</v>
      </c>
      <c r="C406" s="1" t="s">
        <v>642</v>
      </c>
      <c r="D406" s="1" t="s">
        <v>643</v>
      </c>
      <c r="E406" s="5" t="s">
        <v>643</v>
      </c>
      <c r="F406" s="4" t="str">
        <f>IF(ISNUMBER(Table13[[#This Row],[Claim_Date2]]),"",Table13[[#This Row],[Claim_Date2]])</f>
        <v>Dec 18 2023</v>
      </c>
      <c r="G406" s="4" t="s">
        <v>643</v>
      </c>
      <c r="H406" s="4" t="str">
        <f>LEFT(Table13[[#This Row],[Values Col 1]],3)</f>
        <v>Dec</v>
      </c>
      <c r="I406" s="4" t="s">
        <v>1111</v>
      </c>
      <c r="J406" s="4" t="str">
        <f>MID(Table13[[#This Row],[Function Col]],5,2)</f>
        <v>18</v>
      </c>
      <c r="K406" s="4" t="s">
        <v>1129</v>
      </c>
      <c r="L406" s="4" t="str">
        <f>RIGHT(Table13[[#This Row],[Function Col]],4)</f>
        <v>2023</v>
      </c>
      <c r="M406" s="4" t="s">
        <v>1146</v>
      </c>
      <c r="N406" s="4" t="str">
        <f>IF(Table13[[#This Row],[Function Col5]]="","",_xlfn.CONCAT(Table13[[#This Row],[Day Col]],"/",Table13[[#This Row],[Month Col]],"/",Table13[[#This Row],[Year Col]]))</f>
        <v>18/Dec/2023</v>
      </c>
      <c r="O406" s="4" t="s">
        <v>1262</v>
      </c>
      <c r="P406" s="4" t="str">
        <f>IF(ISNUMBER(Table13[[#This Row],[Claim_Date2]]),Table13[[#This Row],[Claim_Date2]],Table13[[#This Row],[Function Col32]])</f>
        <v>18/Dec/2023</v>
      </c>
      <c r="Q406" s="4">
        <v>45278</v>
      </c>
      <c r="R406" s="1" t="s">
        <v>85</v>
      </c>
      <c r="S406" s="1" t="s">
        <v>31</v>
      </c>
      <c r="T406" s="1" t="s">
        <v>41</v>
      </c>
      <c r="U406" s="1"/>
      <c r="W406">
        <f>IF(Table1[[#This Row],[Claim_Amount]]&lt;0,0,Table1[[#This Row],[Claim_Amount]])</f>
        <v>0</v>
      </c>
      <c r="X406" t="str">
        <f>IF(Table1[[#This Row],[Column1]]=0,"",Table1[[#This Row],[Column1]])</f>
        <v/>
      </c>
      <c r="Y406" t="s">
        <v>1098</v>
      </c>
      <c r="Z406">
        <v>2481</v>
      </c>
      <c r="AA406">
        <v>832</v>
      </c>
      <c r="AB406" s="1" t="s">
        <v>1091</v>
      </c>
      <c r="AC406" s="1" t="s">
        <v>18</v>
      </c>
      <c r="AD406" s="1">
        <v>1</v>
      </c>
      <c r="AE406" s="3" t="s">
        <v>1097</v>
      </c>
    </row>
    <row r="407" spans="1:31" ht="15.75" customHeight="1" x14ac:dyDescent="0.35">
      <c r="A407" s="1" t="s">
        <v>43</v>
      </c>
      <c r="B407" t="s">
        <v>1083</v>
      </c>
      <c r="C407" s="1" t="s">
        <v>644</v>
      </c>
      <c r="D407" s="1" t="s">
        <v>457</v>
      </c>
      <c r="E407" s="5" t="s">
        <v>457</v>
      </c>
      <c r="F407" s="4" t="str">
        <f>IF(ISNUMBER(Table13[[#This Row],[Claim_Date2]]),"",Table13[[#This Row],[Claim_Date2]])</f>
        <v>May 15 2023</v>
      </c>
      <c r="G407" s="4" t="s">
        <v>457</v>
      </c>
      <c r="H407" s="4" t="str">
        <f>LEFT(Table13[[#This Row],[Values Col 1]],3)</f>
        <v>May</v>
      </c>
      <c r="I407" s="4" t="s">
        <v>1110</v>
      </c>
      <c r="J407" s="4" t="str">
        <f>MID(Table13[[#This Row],[Function Col]],5,2)</f>
        <v>15</v>
      </c>
      <c r="K407" s="4" t="s">
        <v>1116</v>
      </c>
      <c r="L407" s="4" t="str">
        <f>RIGHT(Table13[[#This Row],[Function Col]],4)</f>
        <v>2023</v>
      </c>
      <c r="M407" s="4" t="s">
        <v>1146</v>
      </c>
      <c r="N407" s="4" t="str">
        <f>IF(Table13[[#This Row],[Function Col5]]="","",_xlfn.CONCAT(Table13[[#This Row],[Day Col]],"/",Table13[[#This Row],[Month Col]],"/",Table13[[#This Row],[Year Col]]))</f>
        <v>15/May/2023</v>
      </c>
      <c r="O407" s="4" t="s">
        <v>1227</v>
      </c>
      <c r="P407" s="4" t="str">
        <f>IF(ISNUMBER(Table13[[#This Row],[Claim_Date2]]),Table13[[#This Row],[Claim_Date2]],Table13[[#This Row],[Function Col32]])</f>
        <v>15/May/2023</v>
      </c>
      <c r="Q407" s="4">
        <v>45061</v>
      </c>
      <c r="R407" s="1" t="s">
        <v>85</v>
      </c>
      <c r="S407" s="1" t="s">
        <v>93</v>
      </c>
      <c r="T407" s="1" t="s">
        <v>61</v>
      </c>
      <c r="U407" s="1"/>
      <c r="W407">
        <f>IF(Table1[[#This Row],[Claim_Amount]]&lt;0,0,Table1[[#This Row],[Claim_Amount]])</f>
        <v>0</v>
      </c>
      <c r="X407" t="str">
        <f>IF(Table1[[#This Row],[Column1]]=0,"",Table1[[#This Row],[Column1]])</f>
        <v/>
      </c>
      <c r="Y407" t="s">
        <v>1098</v>
      </c>
      <c r="Z407">
        <v>2481</v>
      </c>
      <c r="AA407">
        <v>832</v>
      </c>
      <c r="AB407" s="1" t="s">
        <v>17</v>
      </c>
      <c r="AC407" s="1" t="s">
        <v>57</v>
      </c>
      <c r="AD407" s="1">
        <v>7</v>
      </c>
      <c r="AE407" s="3" t="s">
        <v>1097</v>
      </c>
    </row>
    <row r="408" spans="1:31" ht="15.75" customHeight="1" x14ac:dyDescent="0.35">
      <c r="A408" s="1" t="s">
        <v>62</v>
      </c>
      <c r="B408" t="s">
        <v>1083</v>
      </c>
      <c r="C408" t="s">
        <v>1084</v>
      </c>
      <c r="D408" s="1" t="s">
        <v>645</v>
      </c>
      <c r="E408" s="5">
        <v>44987</v>
      </c>
      <c r="F408" s="4" t="str">
        <f>IF(ISNUMBER(Table13[[#This Row],[Claim_Date2]]),"",Table13[[#This Row],[Claim_Date2]])</f>
        <v/>
      </c>
      <c r="G408" s="4" t="s">
        <v>1098</v>
      </c>
      <c r="H408" s="4" t="str">
        <f>LEFT(Table13[[#This Row],[Values Col 1]],3)</f>
        <v/>
      </c>
      <c r="I408" s="4" t="s">
        <v>1098</v>
      </c>
      <c r="J408" s="4" t="str">
        <f>MID(Table13[[#This Row],[Function Col]],5,2)</f>
        <v/>
      </c>
      <c r="K408" s="4" t="s">
        <v>1098</v>
      </c>
      <c r="L408" s="4" t="str">
        <f>RIGHT(Table13[[#This Row],[Function Col]],4)</f>
        <v/>
      </c>
      <c r="M408" s="4" t="s">
        <v>1098</v>
      </c>
      <c r="N408" s="4" t="str">
        <f>IF(Table13[[#This Row],[Function Col5]]="","",_xlfn.CONCAT(Table13[[#This Row],[Day Col]],"/",Table13[[#This Row],[Month Col]],"/",Table13[[#This Row],[Year Col]]))</f>
        <v/>
      </c>
      <c r="O408" s="4" t="s">
        <v>1098</v>
      </c>
      <c r="P408" s="4">
        <f>IF(ISNUMBER(Table13[[#This Row],[Claim_Date2]]),Table13[[#This Row],[Claim_Date2]],Table13[[#This Row],[Function Col32]])</f>
        <v>44987</v>
      </c>
      <c r="Q408" s="4">
        <v>44987</v>
      </c>
      <c r="R408" s="1" t="s">
        <v>85</v>
      </c>
      <c r="S408" s="1" t="s">
        <v>31</v>
      </c>
      <c r="T408" s="1" t="s">
        <v>41</v>
      </c>
      <c r="U408" s="1"/>
      <c r="W408">
        <f>IF(Table1[[#This Row],[Claim_Amount]]&lt;0,0,Table1[[#This Row],[Claim_Amount]])</f>
        <v>0</v>
      </c>
      <c r="X408" t="str">
        <f>IF(Table1[[#This Row],[Column1]]=0,"",Table1[[#This Row],[Column1]])</f>
        <v/>
      </c>
      <c r="Y408" t="s">
        <v>1098</v>
      </c>
      <c r="Z408">
        <v>2481</v>
      </c>
      <c r="AA408" s="1">
        <v>2184.98</v>
      </c>
      <c r="AB408" s="1" t="s">
        <v>1091</v>
      </c>
      <c r="AC408" s="1" t="s">
        <v>18</v>
      </c>
      <c r="AD408">
        <v>9</v>
      </c>
      <c r="AE408" s="3" t="s">
        <v>65</v>
      </c>
    </row>
    <row r="409" spans="1:31" ht="15.75" customHeight="1" x14ac:dyDescent="0.35">
      <c r="A409" s="1" t="s">
        <v>70</v>
      </c>
      <c r="B409" t="s">
        <v>1083</v>
      </c>
      <c r="C409" s="1" t="s">
        <v>119</v>
      </c>
      <c r="D409" s="1" t="s">
        <v>646</v>
      </c>
      <c r="E409" s="5" t="s">
        <v>646</v>
      </c>
      <c r="F409" s="4" t="str">
        <f>IF(ISNUMBER(Table13[[#This Row],[Claim_Date2]]),"",Table13[[#This Row],[Claim_Date2]])</f>
        <v>May 01 2023</v>
      </c>
      <c r="G409" s="4" t="s">
        <v>646</v>
      </c>
      <c r="H409" s="4" t="str">
        <f>LEFT(Table13[[#This Row],[Values Col 1]],3)</f>
        <v>May</v>
      </c>
      <c r="I409" s="4" t="s">
        <v>1110</v>
      </c>
      <c r="J409" s="4" t="str">
        <f>MID(Table13[[#This Row],[Function Col]],5,2)</f>
        <v>01</v>
      </c>
      <c r="K409" s="4" t="s">
        <v>1138</v>
      </c>
      <c r="L409" s="4" t="str">
        <f>RIGHT(Table13[[#This Row],[Function Col]],4)</f>
        <v>2023</v>
      </c>
      <c r="M409" s="4" t="s">
        <v>1146</v>
      </c>
      <c r="N409" s="4" t="str">
        <f>IF(Table13[[#This Row],[Function Col5]]="","",_xlfn.CONCAT(Table13[[#This Row],[Day Col]],"/",Table13[[#This Row],[Month Col]],"/",Table13[[#This Row],[Year Col]]))</f>
        <v>01/May/2023</v>
      </c>
      <c r="O409" s="4" t="s">
        <v>1263</v>
      </c>
      <c r="P409" s="4" t="str">
        <f>IF(ISNUMBER(Table13[[#This Row],[Claim_Date2]]),Table13[[#This Row],[Claim_Date2]],Table13[[#This Row],[Function Col32]])</f>
        <v>01/May/2023</v>
      </c>
      <c r="Q409" s="4">
        <v>45047</v>
      </c>
      <c r="R409" s="1" t="s">
        <v>77</v>
      </c>
      <c r="S409" s="1" t="s">
        <v>93</v>
      </c>
      <c r="T409" s="1" t="s">
        <v>41</v>
      </c>
      <c r="U409" s="1"/>
      <c r="V409" s="1">
        <v>-175</v>
      </c>
      <c r="W409" s="1">
        <f>IF(Table1[[#This Row],[Claim_Amount]]&lt;0,0,Table1[[#This Row],[Claim_Amount]])</f>
        <v>0</v>
      </c>
      <c r="X409" s="1" t="str">
        <f>IF(Table1[[#This Row],[Column1]]=0,"",Table1[[#This Row],[Column1]])</f>
        <v/>
      </c>
      <c r="Y409" s="1" t="s">
        <v>1098</v>
      </c>
      <c r="Z409" s="1">
        <v>2481</v>
      </c>
      <c r="AA409">
        <v>832</v>
      </c>
      <c r="AB409" s="1" t="s">
        <v>17</v>
      </c>
      <c r="AC409" s="1" t="s">
        <v>32</v>
      </c>
      <c r="AD409">
        <v>9</v>
      </c>
      <c r="AE409" s="3" t="s">
        <v>65</v>
      </c>
    </row>
    <row r="410" spans="1:31" ht="15.75" customHeight="1" x14ac:dyDescent="0.35">
      <c r="A410" s="1" t="s">
        <v>137</v>
      </c>
      <c r="B410" t="s">
        <v>1083</v>
      </c>
      <c r="C410" t="s">
        <v>1084</v>
      </c>
      <c r="D410" s="1" t="s">
        <v>256</v>
      </c>
      <c r="E410" s="5">
        <v>44964</v>
      </c>
      <c r="F410" s="4" t="str">
        <f>IF(ISNUMBER(Table13[[#This Row],[Claim_Date2]]),"",Table13[[#This Row],[Claim_Date2]])</f>
        <v/>
      </c>
      <c r="G410" s="4" t="s">
        <v>1098</v>
      </c>
      <c r="H410" s="4" t="str">
        <f>LEFT(Table13[[#This Row],[Values Col 1]],3)</f>
        <v/>
      </c>
      <c r="I410" s="4" t="s">
        <v>1098</v>
      </c>
      <c r="J410" s="4" t="str">
        <f>MID(Table13[[#This Row],[Function Col]],5,2)</f>
        <v/>
      </c>
      <c r="K410" s="4" t="s">
        <v>1098</v>
      </c>
      <c r="L410" s="4" t="str">
        <f>RIGHT(Table13[[#This Row],[Function Col]],4)</f>
        <v/>
      </c>
      <c r="M410" s="4" t="s">
        <v>1098</v>
      </c>
      <c r="N410" s="4" t="str">
        <f>IF(Table13[[#This Row],[Function Col5]]="","",_xlfn.CONCAT(Table13[[#This Row],[Day Col]],"/",Table13[[#This Row],[Month Col]],"/",Table13[[#This Row],[Year Col]]))</f>
        <v/>
      </c>
      <c r="O410" s="4" t="s">
        <v>1098</v>
      </c>
      <c r="P410" s="4">
        <f>IF(ISNUMBER(Table13[[#This Row],[Claim_Date2]]),Table13[[#This Row],[Claim_Date2]],Table13[[#This Row],[Function Col32]])</f>
        <v>44964</v>
      </c>
      <c r="Q410" s="4">
        <v>44964</v>
      </c>
      <c r="R410" s="1" t="s">
        <v>16</v>
      </c>
      <c r="S410" s="1" t="s">
        <v>31</v>
      </c>
      <c r="T410" s="1" t="s">
        <v>24</v>
      </c>
      <c r="U410" s="1"/>
      <c r="V410" s="1">
        <v>2381.12</v>
      </c>
      <c r="W410" s="1">
        <f>IF(Table1[[#This Row],[Claim_Amount]]&lt;0,0,Table1[[#This Row],[Claim_Amount]])</f>
        <v>2381.12</v>
      </c>
      <c r="X410" s="1">
        <f>IF(Table1[[#This Row],[Column1]]=0,"",Table1[[#This Row],[Column1]])</f>
        <v>2381.12</v>
      </c>
      <c r="Y410" s="1">
        <v>2381.12</v>
      </c>
      <c r="Z410" s="1">
        <v>2381.12</v>
      </c>
      <c r="AA410">
        <v>832</v>
      </c>
      <c r="AB410" s="1" t="s">
        <v>1091</v>
      </c>
      <c r="AC410" s="1" t="s">
        <v>1093</v>
      </c>
      <c r="AD410">
        <v>9</v>
      </c>
      <c r="AE410" s="3" t="s">
        <v>27</v>
      </c>
    </row>
    <row r="411" spans="1:31" ht="15.75" customHeight="1" x14ac:dyDescent="0.35">
      <c r="A411" s="1" t="s">
        <v>277</v>
      </c>
      <c r="B411" s="1" t="s">
        <v>647</v>
      </c>
      <c r="C411" s="1" t="s">
        <v>221</v>
      </c>
      <c r="D411" s="1" t="s">
        <v>648</v>
      </c>
      <c r="E411" s="5">
        <v>45013</v>
      </c>
      <c r="F411" s="4" t="str">
        <f>IF(ISNUMBER(Table13[[#This Row],[Claim_Date2]]),"",Table13[[#This Row],[Claim_Date2]])</f>
        <v/>
      </c>
      <c r="G411" s="4" t="s">
        <v>1098</v>
      </c>
      <c r="H411" s="4" t="str">
        <f>LEFT(Table13[[#This Row],[Values Col 1]],3)</f>
        <v/>
      </c>
      <c r="I411" s="4" t="s">
        <v>1098</v>
      </c>
      <c r="J411" s="4" t="str">
        <f>MID(Table13[[#This Row],[Function Col]],5,2)</f>
        <v/>
      </c>
      <c r="K411" s="4" t="s">
        <v>1098</v>
      </c>
      <c r="L411" s="4" t="str">
        <f>RIGHT(Table13[[#This Row],[Function Col]],4)</f>
        <v/>
      </c>
      <c r="M411" s="4" t="s">
        <v>1098</v>
      </c>
      <c r="N411" s="4" t="str">
        <f>IF(Table13[[#This Row],[Function Col5]]="","",_xlfn.CONCAT(Table13[[#This Row],[Day Col]],"/",Table13[[#This Row],[Month Col]],"/",Table13[[#This Row],[Year Col]]))</f>
        <v/>
      </c>
      <c r="O411" s="4" t="s">
        <v>1098</v>
      </c>
      <c r="P411" s="4">
        <f>IF(ISNUMBER(Table13[[#This Row],[Claim_Date2]]),Table13[[#This Row],[Claim_Date2]],Table13[[#This Row],[Function Col32]])</f>
        <v>45013</v>
      </c>
      <c r="Q411" s="4">
        <v>45013</v>
      </c>
      <c r="R411" s="1" t="s">
        <v>92</v>
      </c>
      <c r="S411" s="1" t="s">
        <v>53</v>
      </c>
      <c r="T411" s="1" t="s">
        <v>24</v>
      </c>
      <c r="U411" s="1"/>
      <c r="V411" s="1">
        <v>-191</v>
      </c>
      <c r="W411" s="1">
        <f>IF(Table1[[#This Row],[Claim_Amount]]&lt;0,0,Table1[[#This Row],[Claim_Amount]])</f>
        <v>0</v>
      </c>
      <c r="X411" s="1" t="str">
        <f>IF(Table1[[#This Row],[Column1]]=0,"",Table1[[#This Row],[Column1]])</f>
        <v/>
      </c>
      <c r="Y411" s="1" t="s">
        <v>1098</v>
      </c>
      <c r="Z411" s="1">
        <v>2481</v>
      </c>
      <c r="AA411" s="1">
        <v>751.89</v>
      </c>
      <c r="AB411" s="1" t="s">
        <v>42</v>
      </c>
      <c r="AC411" s="1" t="s">
        <v>26</v>
      </c>
      <c r="AD411">
        <v>9</v>
      </c>
      <c r="AE411" s="3" t="s">
        <v>27</v>
      </c>
    </row>
    <row r="412" spans="1:31" ht="15.75" customHeight="1" x14ac:dyDescent="0.35">
      <c r="A412" s="1" t="s">
        <v>148</v>
      </c>
      <c r="B412" t="s">
        <v>1083</v>
      </c>
      <c r="C412" t="s">
        <v>1084</v>
      </c>
      <c r="D412" s="1" t="s">
        <v>81</v>
      </c>
      <c r="E412" s="5">
        <v>45062</v>
      </c>
      <c r="F412" s="4" t="str">
        <f>IF(ISNUMBER(Table13[[#This Row],[Claim_Date2]]),"",Table13[[#This Row],[Claim_Date2]])</f>
        <v/>
      </c>
      <c r="G412" s="4" t="s">
        <v>1098</v>
      </c>
      <c r="H412" s="4" t="str">
        <f>LEFT(Table13[[#This Row],[Values Col 1]],3)</f>
        <v/>
      </c>
      <c r="I412" s="4" t="s">
        <v>1098</v>
      </c>
      <c r="J412" s="4" t="str">
        <f>MID(Table13[[#This Row],[Function Col]],5,2)</f>
        <v/>
      </c>
      <c r="K412" s="4" t="s">
        <v>1098</v>
      </c>
      <c r="L412" s="4" t="str">
        <f>RIGHT(Table13[[#This Row],[Function Col]],4)</f>
        <v/>
      </c>
      <c r="M412" s="4" t="s">
        <v>1098</v>
      </c>
      <c r="N412" s="4" t="str">
        <f>IF(Table13[[#This Row],[Function Col5]]="","",_xlfn.CONCAT(Table13[[#This Row],[Day Col]],"/",Table13[[#This Row],[Month Col]],"/",Table13[[#This Row],[Year Col]]))</f>
        <v/>
      </c>
      <c r="O412" s="4" t="s">
        <v>1098</v>
      </c>
      <c r="P412" s="4">
        <f>IF(ISNUMBER(Table13[[#This Row],[Claim_Date2]]),Table13[[#This Row],[Claim_Date2]],Table13[[#This Row],[Function Col32]])</f>
        <v>45062</v>
      </c>
      <c r="Q412" s="4">
        <v>45062</v>
      </c>
      <c r="R412" s="1" t="s">
        <v>77</v>
      </c>
      <c r="S412" s="1" t="s">
        <v>93</v>
      </c>
      <c r="T412" s="1" t="s">
        <v>41</v>
      </c>
      <c r="U412" s="1"/>
      <c r="W412">
        <f>IF(Table1[[#This Row],[Claim_Amount]]&lt;0,0,Table1[[#This Row],[Claim_Amount]])</f>
        <v>0</v>
      </c>
      <c r="X412" t="str">
        <f>IF(Table1[[#This Row],[Column1]]=0,"",Table1[[#This Row],[Column1]])</f>
        <v/>
      </c>
      <c r="Y412" t="s">
        <v>1098</v>
      </c>
      <c r="Z412">
        <v>2481</v>
      </c>
      <c r="AA412">
        <v>832</v>
      </c>
      <c r="AB412" s="1" t="s">
        <v>25</v>
      </c>
      <c r="AC412" s="1" t="s">
        <v>26</v>
      </c>
      <c r="AD412" s="1">
        <v>12</v>
      </c>
      <c r="AE412" s="3" t="s">
        <v>19</v>
      </c>
    </row>
    <row r="413" spans="1:31" ht="15.75" customHeight="1" x14ac:dyDescent="0.35">
      <c r="A413" s="1" t="s">
        <v>198</v>
      </c>
      <c r="B413" s="1" t="s">
        <v>600</v>
      </c>
      <c r="C413" t="s">
        <v>1084</v>
      </c>
      <c r="D413" s="1" t="s">
        <v>649</v>
      </c>
      <c r="E413" s="5">
        <v>45288</v>
      </c>
      <c r="F413" s="4" t="str">
        <f>IF(ISNUMBER(Table13[[#This Row],[Claim_Date2]]),"",Table13[[#This Row],[Claim_Date2]])</f>
        <v/>
      </c>
      <c r="G413" s="4" t="s">
        <v>1098</v>
      </c>
      <c r="H413" s="4" t="str">
        <f>LEFT(Table13[[#This Row],[Values Col 1]],3)</f>
        <v/>
      </c>
      <c r="I413" s="4" t="s">
        <v>1098</v>
      </c>
      <c r="J413" s="4" t="str">
        <f>MID(Table13[[#This Row],[Function Col]],5,2)</f>
        <v/>
      </c>
      <c r="K413" s="4" t="s">
        <v>1098</v>
      </c>
      <c r="L413" s="4" t="str">
        <f>RIGHT(Table13[[#This Row],[Function Col]],4)</f>
        <v/>
      </c>
      <c r="M413" s="4" t="s">
        <v>1098</v>
      </c>
      <c r="N413" s="4" t="str">
        <f>IF(Table13[[#This Row],[Function Col5]]="","",_xlfn.CONCAT(Table13[[#This Row],[Day Col]],"/",Table13[[#This Row],[Month Col]],"/",Table13[[#This Row],[Year Col]]))</f>
        <v/>
      </c>
      <c r="O413" s="4" t="s">
        <v>1098</v>
      </c>
      <c r="P413" s="4">
        <f>IF(ISNUMBER(Table13[[#This Row],[Claim_Date2]]),Table13[[#This Row],[Claim_Date2]],Table13[[#This Row],[Function Col32]])</f>
        <v>45288</v>
      </c>
      <c r="Q413" s="4">
        <v>45288</v>
      </c>
      <c r="R413" s="1" t="s">
        <v>16</v>
      </c>
      <c r="S413" s="1" t="s">
        <v>53</v>
      </c>
      <c r="T413" s="1" t="s">
        <v>61</v>
      </c>
      <c r="U413" s="1"/>
      <c r="V413" s="1">
        <v>-191</v>
      </c>
      <c r="W413" s="1">
        <f>IF(Table1[[#This Row],[Claim_Amount]]&lt;0,0,Table1[[#This Row],[Claim_Amount]])</f>
        <v>0</v>
      </c>
      <c r="X413" s="1" t="str">
        <f>IF(Table1[[#This Row],[Column1]]=0,"",Table1[[#This Row],[Column1]])</f>
        <v/>
      </c>
      <c r="Y413" s="1" t="s">
        <v>1098</v>
      </c>
      <c r="Z413" s="1">
        <v>2481</v>
      </c>
      <c r="AA413" s="1">
        <v>2315.91</v>
      </c>
      <c r="AB413" s="1" t="s">
        <v>17</v>
      </c>
      <c r="AC413" s="1" t="s">
        <v>26</v>
      </c>
      <c r="AD413" s="1">
        <v>22</v>
      </c>
      <c r="AE413" s="3" t="s">
        <v>65</v>
      </c>
    </row>
    <row r="414" spans="1:31" ht="15.75" customHeight="1" x14ac:dyDescent="0.35">
      <c r="A414" s="1" t="s">
        <v>261</v>
      </c>
      <c r="B414" s="1" t="s">
        <v>650</v>
      </c>
      <c r="C414" t="s">
        <v>1084</v>
      </c>
      <c r="D414" s="1" t="s">
        <v>651</v>
      </c>
      <c r="E414" s="5">
        <v>45215</v>
      </c>
      <c r="F414" s="4" t="str">
        <f>IF(ISNUMBER(Table13[[#This Row],[Claim_Date2]]),"",Table13[[#This Row],[Claim_Date2]])</f>
        <v/>
      </c>
      <c r="G414" s="4" t="s">
        <v>1098</v>
      </c>
      <c r="H414" s="4" t="str">
        <f>LEFT(Table13[[#This Row],[Values Col 1]],3)</f>
        <v/>
      </c>
      <c r="I414" s="4" t="s">
        <v>1098</v>
      </c>
      <c r="J414" s="4" t="str">
        <f>MID(Table13[[#This Row],[Function Col]],5,2)</f>
        <v/>
      </c>
      <c r="K414" s="4" t="s">
        <v>1098</v>
      </c>
      <c r="L414" s="4" t="str">
        <f>RIGHT(Table13[[#This Row],[Function Col]],4)</f>
        <v/>
      </c>
      <c r="M414" s="4" t="s">
        <v>1098</v>
      </c>
      <c r="N414" s="4" t="str">
        <f>IF(Table13[[#This Row],[Function Col5]]="","",_xlfn.CONCAT(Table13[[#This Row],[Day Col]],"/",Table13[[#This Row],[Month Col]],"/",Table13[[#This Row],[Year Col]]))</f>
        <v/>
      </c>
      <c r="O414" s="4" t="s">
        <v>1098</v>
      </c>
      <c r="P414" s="4">
        <f>IF(ISNUMBER(Table13[[#This Row],[Claim_Date2]]),Table13[[#This Row],[Claim_Date2]],Table13[[#This Row],[Function Col32]])</f>
        <v>45215</v>
      </c>
      <c r="Q414" s="4">
        <v>45215</v>
      </c>
      <c r="R414" s="1" t="s">
        <v>30</v>
      </c>
      <c r="S414" s="1" t="s">
        <v>23</v>
      </c>
      <c r="T414" s="1" t="s">
        <v>54</v>
      </c>
      <c r="U414" s="1"/>
      <c r="V414" s="1">
        <v>-56</v>
      </c>
      <c r="W414" s="1">
        <f>IF(Table1[[#This Row],[Claim_Amount]]&lt;0,0,Table1[[#This Row],[Claim_Amount]])</f>
        <v>0</v>
      </c>
      <c r="X414" s="1" t="str">
        <f>IF(Table1[[#This Row],[Column1]]=0,"",Table1[[#This Row],[Column1]])</f>
        <v/>
      </c>
      <c r="Y414" s="1" t="s">
        <v>1098</v>
      </c>
      <c r="Z414" s="1">
        <v>2481</v>
      </c>
      <c r="AA414" s="1">
        <v>4606.05</v>
      </c>
      <c r="AB414" s="1" t="s">
        <v>25</v>
      </c>
      <c r="AC414" s="1" t="s">
        <v>26</v>
      </c>
      <c r="AD414">
        <v>9</v>
      </c>
      <c r="AE414" s="3" t="s">
        <v>19</v>
      </c>
    </row>
    <row r="415" spans="1:31" ht="15.75" customHeight="1" x14ac:dyDescent="0.35">
      <c r="A415" s="1" t="s">
        <v>261</v>
      </c>
      <c r="B415" t="s">
        <v>1083</v>
      </c>
      <c r="C415" t="s">
        <v>1084</v>
      </c>
      <c r="D415" s="1" t="s">
        <v>652</v>
      </c>
      <c r="E415" s="5">
        <v>45229</v>
      </c>
      <c r="F415" s="4" t="str">
        <f>IF(ISNUMBER(Table13[[#This Row],[Claim_Date2]]),"",Table13[[#This Row],[Claim_Date2]])</f>
        <v/>
      </c>
      <c r="G415" s="4" t="s">
        <v>1098</v>
      </c>
      <c r="H415" s="4" t="str">
        <f>LEFT(Table13[[#This Row],[Values Col 1]],3)</f>
        <v/>
      </c>
      <c r="I415" s="4" t="s">
        <v>1098</v>
      </c>
      <c r="J415" s="4" t="str">
        <f>MID(Table13[[#This Row],[Function Col]],5,2)</f>
        <v/>
      </c>
      <c r="K415" s="4" t="s">
        <v>1098</v>
      </c>
      <c r="L415" s="4" t="str">
        <f>RIGHT(Table13[[#This Row],[Function Col]],4)</f>
        <v/>
      </c>
      <c r="M415" s="4" t="s">
        <v>1098</v>
      </c>
      <c r="N415" s="4" t="str">
        <f>IF(Table13[[#This Row],[Function Col5]]="","",_xlfn.CONCAT(Table13[[#This Row],[Day Col]],"/",Table13[[#This Row],[Month Col]],"/",Table13[[#This Row],[Year Col]]))</f>
        <v/>
      </c>
      <c r="O415" s="4" t="s">
        <v>1098</v>
      </c>
      <c r="P415" s="4">
        <f>IF(ISNUMBER(Table13[[#This Row],[Claim_Date2]]),Table13[[#This Row],[Claim_Date2]],Table13[[#This Row],[Function Col32]])</f>
        <v>45229</v>
      </c>
      <c r="Q415" s="4">
        <v>45229</v>
      </c>
      <c r="R415" s="1" t="s">
        <v>85</v>
      </c>
      <c r="S415" s="1" t="s">
        <v>23</v>
      </c>
      <c r="T415" s="1" t="s">
        <v>61</v>
      </c>
      <c r="U415" s="1"/>
      <c r="V415" s="1">
        <v>-191</v>
      </c>
      <c r="W415" s="1">
        <f>IF(Table1[[#This Row],[Claim_Amount]]&lt;0,0,Table1[[#This Row],[Claim_Amount]])</f>
        <v>0</v>
      </c>
      <c r="X415" s="1" t="str">
        <f>IF(Table1[[#This Row],[Column1]]=0,"",Table1[[#This Row],[Column1]])</f>
        <v/>
      </c>
      <c r="Y415" s="1" t="s">
        <v>1098</v>
      </c>
      <c r="Z415" s="1">
        <v>2481</v>
      </c>
      <c r="AA415">
        <v>832</v>
      </c>
      <c r="AB415" s="1" t="s">
        <v>1091</v>
      </c>
      <c r="AC415" s="1" t="s">
        <v>26</v>
      </c>
      <c r="AD415" s="1">
        <v>21</v>
      </c>
      <c r="AE415" s="3" t="s">
        <v>1097</v>
      </c>
    </row>
    <row r="416" spans="1:31" ht="15.75" customHeight="1" x14ac:dyDescent="0.35">
      <c r="A416" s="1" t="s">
        <v>215</v>
      </c>
      <c r="B416" t="s">
        <v>1083</v>
      </c>
      <c r="C416" s="1" t="s">
        <v>183</v>
      </c>
      <c r="D416" s="1" t="s">
        <v>653</v>
      </c>
      <c r="E416" s="5">
        <v>44951</v>
      </c>
      <c r="F416" s="4" t="str">
        <f>IF(ISNUMBER(Table13[[#This Row],[Claim_Date2]]),"",Table13[[#This Row],[Claim_Date2]])</f>
        <v/>
      </c>
      <c r="G416" s="4" t="s">
        <v>1098</v>
      </c>
      <c r="H416" s="4" t="str">
        <f>LEFT(Table13[[#This Row],[Values Col 1]],3)</f>
        <v/>
      </c>
      <c r="I416" s="4" t="s">
        <v>1098</v>
      </c>
      <c r="J416" s="4" t="str">
        <f>MID(Table13[[#This Row],[Function Col]],5,2)</f>
        <v/>
      </c>
      <c r="K416" s="4" t="s">
        <v>1098</v>
      </c>
      <c r="L416" s="4" t="str">
        <f>RIGHT(Table13[[#This Row],[Function Col]],4)</f>
        <v/>
      </c>
      <c r="M416" s="4" t="s">
        <v>1098</v>
      </c>
      <c r="N416" s="4" t="str">
        <f>IF(Table13[[#This Row],[Function Col5]]="","",_xlfn.CONCAT(Table13[[#This Row],[Day Col]],"/",Table13[[#This Row],[Month Col]],"/",Table13[[#This Row],[Year Col]]))</f>
        <v/>
      </c>
      <c r="O416" s="4" t="s">
        <v>1098</v>
      </c>
      <c r="P416" s="4">
        <f>IF(ISNUMBER(Table13[[#This Row],[Claim_Date2]]),Table13[[#This Row],[Claim_Date2]],Table13[[#This Row],[Function Col32]])</f>
        <v>44951</v>
      </c>
      <c r="Q416" s="4">
        <v>44951</v>
      </c>
      <c r="R416" s="1" t="s">
        <v>92</v>
      </c>
      <c r="S416" s="1" t="s">
        <v>23</v>
      </c>
      <c r="T416" t="s">
        <v>1086</v>
      </c>
      <c r="V416" s="1">
        <v>-164</v>
      </c>
      <c r="W416" s="1">
        <f>IF(Table1[[#This Row],[Claim_Amount]]&lt;0,0,Table1[[#This Row],[Claim_Amount]])</f>
        <v>0</v>
      </c>
      <c r="X416" s="1" t="str">
        <f>IF(Table1[[#This Row],[Column1]]=0,"",Table1[[#This Row],[Column1]])</f>
        <v/>
      </c>
      <c r="Y416" s="1" t="s">
        <v>1098</v>
      </c>
      <c r="Z416" s="1">
        <v>2481</v>
      </c>
      <c r="AA416">
        <v>832</v>
      </c>
      <c r="AB416" s="1" t="s">
        <v>17</v>
      </c>
      <c r="AC416" s="1" t="s">
        <v>18</v>
      </c>
      <c r="AD416">
        <v>9</v>
      </c>
      <c r="AE416" s="3" t="s">
        <v>19</v>
      </c>
    </row>
    <row r="417" spans="1:31" ht="15.75" customHeight="1" x14ac:dyDescent="0.35">
      <c r="A417" s="1" t="s">
        <v>105</v>
      </c>
      <c r="B417" s="1" t="s">
        <v>654</v>
      </c>
      <c r="C417" t="s">
        <v>1084</v>
      </c>
      <c r="D417" s="1" t="s">
        <v>454</v>
      </c>
      <c r="E417" s="5">
        <v>45072</v>
      </c>
      <c r="F417" s="4" t="str">
        <f>IF(ISNUMBER(Table13[[#This Row],[Claim_Date2]]),"",Table13[[#This Row],[Claim_Date2]])</f>
        <v/>
      </c>
      <c r="G417" s="4" t="s">
        <v>1098</v>
      </c>
      <c r="H417" s="4" t="str">
        <f>LEFT(Table13[[#This Row],[Values Col 1]],3)</f>
        <v/>
      </c>
      <c r="I417" s="4" t="s">
        <v>1098</v>
      </c>
      <c r="J417" s="4" t="str">
        <f>MID(Table13[[#This Row],[Function Col]],5,2)</f>
        <v/>
      </c>
      <c r="K417" s="4" t="s">
        <v>1098</v>
      </c>
      <c r="L417" s="4" t="str">
        <f>RIGHT(Table13[[#This Row],[Function Col]],4)</f>
        <v/>
      </c>
      <c r="M417" s="4" t="s">
        <v>1098</v>
      </c>
      <c r="N417" s="4" t="str">
        <f>IF(Table13[[#This Row],[Function Col5]]="","",_xlfn.CONCAT(Table13[[#This Row],[Day Col]],"/",Table13[[#This Row],[Month Col]],"/",Table13[[#This Row],[Year Col]]))</f>
        <v/>
      </c>
      <c r="O417" s="4" t="s">
        <v>1098</v>
      </c>
      <c r="P417" s="4">
        <f>IF(ISNUMBER(Table13[[#This Row],[Claim_Date2]]),Table13[[#This Row],[Claim_Date2]],Table13[[#This Row],[Function Col32]])</f>
        <v>45072</v>
      </c>
      <c r="Q417" s="4">
        <v>45072</v>
      </c>
      <c r="R417" s="1" t="s">
        <v>16</v>
      </c>
      <c r="S417" s="1" t="s">
        <v>31</v>
      </c>
      <c r="T417" s="1" t="s">
        <v>48</v>
      </c>
      <c r="U417" s="1"/>
      <c r="W417">
        <f>IF(Table1[[#This Row],[Claim_Amount]]&lt;0,0,Table1[[#This Row],[Claim_Amount]])</f>
        <v>0</v>
      </c>
      <c r="X417" t="str">
        <f>IF(Table1[[#This Row],[Column1]]=0,"",Table1[[#This Row],[Column1]])</f>
        <v/>
      </c>
      <c r="Y417" t="s">
        <v>1098</v>
      </c>
      <c r="Z417">
        <v>2481</v>
      </c>
      <c r="AA417">
        <v>832</v>
      </c>
      <c r="AB417" s="1" t="s">
        <v>17</v>
      </c>
      <c r="AC417" s="1" t="s">
        <v>32</v>
      </c>
      <c r="AD417" s="1">
        <v>42</v>
      </c>
      <c r="AE417" s="3" t="s">
        <v>27</v>
      </c>
    </row>
    <row r="418" spans="1:31" ht="15.75" customHeight="1" x14ac:dyDescent="0.35">
      <c r="A418" s="1" t="s">
        <v>163</v>
      </c>
      <c r="B418" t="s">
        <v>1083</v>
      </c>
      <c r="C418" t="s">
        <v>1084</v>
      </c>
      <c r="D418" s="1" t="s">
        <v>655</v>
      </c>
      <c r="E418" s="5" t="s">
        <v>655</v>
      </c>
      <c r="F418" s="4" t="str">
        <f>IF(ISNUMBER(Table13[[#This Row],[Claim_Date2]]),"",Table13[[#This Row],[Claim_Date2]])</f>
        <v>Oct 16 2023</v>
      </c>
      <c r="G418" s="4" t="s">
        <v>655</v>
      </c>
      <c r="H418" s="4" t="str">
        <f>LEFT(Table13[[#This Row],[Values Col 1]],3)</f>
        <v>Oct</v>
      </c>
      <c r="I418" s="4" t="s">
        <v>1103</v>
      </c>
      <c r="J418" s="4" t="str">
        <f>MID(Table13[[#This Row],[Function Col]],5,2)</f>
        <v>16</v>
      </c>
      <c r="K418" s="4" t="s">
        <v>1125</v>
      </c>
      <c r="L418" s="4" t="str">
        <f>RIGHT(Table13[[#This Row],[Function Col]],4)</f>
        <v>2023</v>
      </c>
      <c r="M418" s="4" t="s">
        <v>1146</v>
      </c>
      <c r="N418" s="4" t="str">
        <f>IF(Table13[[#This Row],[Function Col5]]="","",_xlfn.CONCAT(Table13[[#This Row],[Day Col]],"/",Table13[[#This Row],[Month Col]],"/",Table13[[#This Row],[Year Col]]))</f>
        <v>16/Oct/2023</v>
      </c>
      <c r="O418" s="4" t="s">
        <v>1264</v>
      </c>
      <c r="P418" s="4" t="str">
        <f>IF(ISNUMBER(Table13[[#This Row],[Claim_Date2]]),Table13[[#This Row],[Claim_Date2]],Table13[[#This Row],[Function Col32]])</f>
        <v>16/Oct/2023</v>
      </c>
      <c r="Q418" s="4">
        <v>45215</v>
      </c>
      <c r="R418" s="1" t="s">
        <v>77</v>
      </c>
      <c r="S418" s="1" t="s">
        <v>23</v>
      </c>
      <c r="T418" s="1" t="s">
        <v>48</v>
      </c>
      <c r="U418" s="1"/>
      <c r="W418">
        <f>IF(Table1[[#This Row],[Claim_Amount]]&lt;0,0,Table1[[#This Row],[Claim_Amount]])</f>
        <v>0</v>
      </c>
      <c r="X418" t="str">
        <f>IF(Table1[[#This Row],[Column1]]=0,"",Table1[[#This Row],[Column1]])</f>
        <v/>
      </c>
      <c r="Y418" t="s">
        <v>1098</v>
      </c>
      <c r="Z418">
        <v>2481</v>
      </c>
      <c r="AA418">
        <v>832</v>
      </c>
      <c r="AB418" s="1" t="s">
        <v>25</v>
      </c>
      <c r="AC418" s="1" t="s">
        <v>26</v>
      </c>
      <c r="AD418">
        <v>9</v>
      </c>
      <c r="AE418" s="3" t="s">
        <v>37</v>
      </c>
    </row>
    <row r="419" spans="1:31" ht="15.75" customHeight="1" x14ac:dyDescent="0.35">
      <c r="A419" s="1" t="s">
        <v>275</v>
      </c>
      <c r="B419" t="s">
        <v>1083</v>
      </c>
      <c r="C419" s="1" t="s">
        <v>135</v>
      </c>
      <c r="D419" s="1" t="s">
        <v>656</v>
      </c>
      <c r="E419" s="5" t="s">
        <v>656</v>
      </c>
      <c r="F419" s="4" t="str">
        <f>IF(ISNUMBER(Table13[[#This Row],[Claim_Date2]]),"",Table13[[#This Row],[Claim_Date2]])</f>
        <v>Nov 19 2023</v>
      </c>
      <c r="G419" s="4" t="s">
        <v>656</v>
      </c>
      <c r="H419" s="4" t="str">
        <f>LEFT(Table13[[#This Row],[Values Col 1]],3)</f>
        <v>Nov</v>
      </c>
      <c r="I419" s="4" t="s">
        <v>1105</v>
      </c>
      <c r="J419" s="4" t="str">
        <f>MID(Table13[[#This Row],[Function Col]],5,2)</f>
        <v>19</v>
      </c>
      <c r="K419" s="4" t="s">
        <v>1137</v>
      </c>
      <c r="L419" s="4" t="str">
        <f>RIGHT(Table13[[#This Row],[Function Col]],4)</f>
        <v>2023</v>
      </c>
      <c r="M419" s="4" t="s">
        <v>1146</v>
      </c>
      <c r="N419" s="4" t="str">
        <f>IF(Table13[[#This Row],[Function Col5]]="","",_xlfn.CONCAT(Table13[[#This Row],[Day Col]],"/",Table13[[#This Row],[Month Col]],"/",Table13[[#This Row],[Year Col]]))</f>
        <v>19/Nov/2023</v>
      </c>
      <c r="O419" s="4" t="s">
        <v>1265</v>
      </c>
      <c r="P419" s="4" t="str">
        <f>IF(ISNUMBER(Table13[[#This Row],[Claim_Date2]]),Table13[[#This Row],[Claim_Date2]],Table13[[#This Row],[Function Col32]])</f>
        <v>19/Nov/2023</v>
      </c>
      <c r="Q419" s="4">
        <v>45249</v>
      </c>
      <c r="R419" s="1" t="s">
        <v>30</v>
      </c>
      <c r="S419" s="1" t="s">
        <v>23</v>
      </c>
      <c r="T419" s="1" t="s">
        <v>41</v>
      </c>
      <c r="U419" s="1"/>
      <c r="V419" s="1">
        <v>-30</v>
      </c>
      <c r="W419" s="1">
        <f>IF(Table1[[#This Row],[Claim_Amount]]&lt;0,0,Table1[[#This Row],[Claim_Amount]])</f>
        <v>0</v>
      </c>
      <c r="X419" s="1" t="str">
        <f>IF(Table1[[#This Row],[Column1]]=0,"",Table1[[#This Row],[Column1]])</f>
        <v/>
      </c>
      <c r="Y419" s="1" t="s">
        <v>1098</v>
      </c>
      <c r="Z419" s="1">
        <v>2481</v>
      </c>
      <c r="AA419" s="1">
        <v>1536.95</v>
      </c>
      <c r="AB419" s="1" t="s">
        <v>42</v>
      </c>
      <c r="AC419" s="1" t="s">
        <v>18</v>
      </c>
      <c r="AD419">
        <v>9</v>
      </c>
      <c r="AE419" s="3" t="s">
        <v>27</v>
      </c>
    </row>
    <row r="420" spans="1:31" ht="15.75" customHeight="1" x14ac:dyDescent="0.35">
      <c r="A420" s="1" t="s">
        <v>209</v>
      </c>
      <c r="B420" t="s">
        <v>1083</v>
      </c>
      <c r="C420" s="1" t="s">
        <v>68</v>
      </c>
      <c r="D420" s="1" t="s">
        <v>657</v>
      </c>
      <c r="E420" s="5">
        <v>44982</v>
      </c>
      <c r="F420" s="4" t="str">
        <f>IF(ISNUMBER(Table13[[#This Row],[Claim_Date2]]),"",Table13[[#This Row],[Claim_Date2]])</f>
        <v/>
      </c>
      <c r="G420" s="4" t="s">
        <v>1098</v>
      </c>
      <c r="H420" s="4" t="str">
        <f>LEFT(Table13[[#This Row],[Values Col 1]],3)</f>
        <v/>
      </c>
      <c r="I420" s="4" t="s">
        <v>1098</v>
      </c>
      <c r="J420" s="4" t="str">
        <f>MID(Table13[[#This Row],[Function Col]],5,2)</f>
        <v/>
      </c>
      <c r="K420" s="4" t="s">
        <v>1098</v>
      </c>
      <c r="L420" s="4" t="str">
        <f>RIGHT(Table13[[#This Row],[Function Col]],4)</f>
        <v/>
      </c>
      <c r="M420" s="4" t="s">
        <v>1098</v>
      </c>
      <c r="N420" s="4" t="str">
        <f>IF(Table13[[#This Row],[Function Col5]]="","",_xlfn.CONCAT(Table13[[#This Row],[Day Col]],"/",Table13[[#This Row],[Month Col]],"/",Table13[[#This Row],[Year Col]]))</f>
        <v/>
      </c>
      <c r="O420" s="4" t="s">
        <v>1098</v>
      </c>
      <c r="P420" s="4">
        <f>IF(ISNUMBER(Table13[[#This Row],[Claim_Date2]]),Table13[[#This Row],[Claim_Date2]],Table13[[#This Row],[Function Col32]])</f>
        <v>44982</v>
      </c>
      <c r="Q420" s="4">
        <v>44982</v>
      </c>
      <c r="R420" s="1" t="s">
        <v>77</v>
      </c>
      <c r="S420" s="1" t="s">
        <v>23</v>
      </c>
      <c r="T420" s="1" t="s">
        <v>48</v>
      </c>
      <c r="U420" s="1"/>
      <c r="W420">
        <f>IF(Table1[[#This Row],[Claim_Amount]]&lt;0,0,Table1[[#This Row],[Claim_Amount]])</f>
        <v>0</v>
      </c>
      <c r="X420" t="str">
        <f>IF(Table1[[#This Row],[Column1]]=0,"",Table1[[#This Row],[Column1]])</f>
        <v/>
      </c>
      <c r="Y420" t="s">
        <v>1098</v>
      </c>
      <c r="Z420">
        <v>2481</v>
      </c>
      <c r="AA420">
        <v>832</v>
      </c>
      <c r="AB420" s="1" t="s">
        <v>25</v>
      </c>
      <c r="AC420" s="1" t="s">
        <v>57</v>
      </c>
      <c r="AD420" s="1">
        <v>1</v>
      </c>
      <c r="AE420" s="3" t="s">
        <v>37</v>
      </c>
    </row>
    <row r="421" spans="1:31" ht="15.75" customHeight="1" x14ac:dyDescent="0.35">
      <c r="A421" s="1" t="s">
        <v>102</v>
      </c>
      <c r="B421" t="s">
        <v>1083</v>
      </c>
      <c r="C421" s="1" t="s">
        <v>238</v>
      </c>
      <c r="D421" s="1" t="s">
        <v>401</v>
      </c>
      <c r="E421" s="5">
        <v>45287</v>
      </c>
      <c r="F421" s="4" t="str">
        <f>IF(ISNUMBER(Table13[[#This Row],[Claim_Date2]]),"",Table13[[#This Row],[Claim_Date2]])</f>
        <v/>
      </c>
      <c r="G421" s="4" t="s">
        <v>1098</v>
      </c>
      <c r="H421" s="4" t="str">
        <f>LEFT(Table13[[#This Row],[Values Col 1]],3)</f>
        <v/>
      </c>
      <c r="I421" s="4" t="s">
        <v>1098</v>
      </c>
      <c r="J421" s="4" t="str">
        <f>MID(Table13[[#This Row],[Function Col]],5,2)</f>
        <v/>
      </c>
      <c r="K421" s="4" t="s">
        <v>1098</v>
      </c>
      <c r="L421" s="4" t="str">
        <f>RIGHT(Table13[[#This Row],[Function Col]],4)</f>
        <v/>
      </c>
      <c r="M421" s="4" t="s">
        <v>1098</v>
      </c>
      <c r="N421" s="4" t="str">
        <f>IF(Table13[[#This Row],[Function Col5]]="","",_xlfn.CONCAT(Table13[[#This Row],[Day Col]],"/",Table13[[#This Row],[Month Col]],"/",Table13[[#This Row],[Year Col]]))</f>
        <v/>
      </c>
      <c r="O421" s="4" t="s">
        <v>1098</v>
      </c>
      <c r="P421" s="4">
        <f>IF(ISNUMBER(Table13[[#This Row],[Claim_Date2]]),Table13[[#This Row],[Claim_Date2]],Table13[[#This Row],[Function Col32]])</f>
        <v>45287</v>
      </c>
      <c r="Q421" s="4">
        <v>45287</v>
      </c>
      <c r="R421" s="1" t="s">
        <v>30</v>
      </c>
      <c r="S421" t="s">
        <v>1085</v>
      </c>
      <c r="T421" s="1" t="s">
        <v>48</v>
      </c>
      <c r="U421" s="1"/>
      <c r="W421">
        <f>IF(Table1[[#This Row],[Claim_Amount]]&lt;0,0,Table1[[#This Row],[Claim_Amount]])</f>
        <v>0</v>
      </c>
      <c r="X421" t="str">
        <f>IF(Table1[[#This Row],[Column1]]=0,"",Table1[[#This Row],[Column1]])</f>
        <v/>
      </c>
      <c r="Y421" t="s">
        <v>1098</v>
      </c>
      <c r="Z421">
        <v>2481</v>
      </c>
      <c r="AA421" s="1">
        <v>1739.61</v>
      </c>
      <c r="AB421" s="1" t="s">
        <v>17</v>
      </c>
      <c r="AC421" s="1" t="s">
        <v>18</v>
      </c>
      <c r="AD421">
        <v>9</v>
      </c>
      <c r="AE421" s="3" t="s">
        <v>1097</v>
      </c>
    </row>
    <row r="422" spans="1:31" ht="15.75" customHeight="1" x14ac:dyDescent="0.35">
      <c r="A422" s="1" t="s">
        <v>247</v>
      </c>
      <c r="B422" s="1" t="s">
        <v>658</v>
      </c>
      <c r="C422" s="1" t="s">
        <v>100</v>
      </c>
      <c r="D422" s="1" t="s">
        <v>659</v>
      </c>
      <c r="E422" s="5">
        <v>44929</v>
      </c>
      <c r="F422" s="4" t="str">
        <f>IF(ISNUMBER(Table13[[#This Row],[Claim_Date2]]),"",Table13[[#This Row],[Claim_Date2]])</f>
        <v/>
      </c>
      <c r="G422" s="4" t="s">
        <v>1098</v>
      </c>
      <c r="H422" s="4" t="str">
        <f>LEFT(Table13[[#This Row],[Values Col 1]],3)</f>
        <v/>
      </c>
      <c r="I422" s="4" t="s">
        <v>1098</v>
      </c>
      <c r="J422" s="4" t="str">
        <f>MID(Table13[[#This Row],[Function Col]],5,2)</f>
        <v/>
      </c>
      <c r="K422" s="4" t="s">
        <v>1098</v>
      </c>
      <c r="L422" s="4" t="str">
        <f>RIGHT(Table13[[#This Row],[Function Col]],4)</f>
        <v/>
      </c>
      <c r="M422" s="4" t="s">
        <v>1098</v>
      </c>
      <c r="N422" s="4" t="str">
        <f>IF(Table13[[#This Row],[Function Col5]]="","",_xlfn.CONCAT(Table13[[#This Row],[Day Col]],"/",Table13[[#This Row],[Month Col]],"/",Table13[[#This Row],[Year Col]]))</f>
        <v/>
      </c>
      <c r="O422" s="4" t="s">
        <v>1098</v>
      </c>
      <c r="P422" s="4">
        <f>IF(ISNUMBER(Table13[[#This Row],[Claim_Date2]]),Table13[[#This Row],[Claim_Date2]],Table13[[#This Row],[Function Col32]])</f>
        <v>44929</v>
      </c>
      <c r="Q422" s="4">
        <v>44929</v>
      </c>
      <c r="R422" s="1" t="s">
        <v>85</v>
      </c>
      <c r="S422" t="s">
        <v>1085</v>
      </c>
      <c r="T422" s="1" t="s">
        <v>48</v>
      </c>
      <c r="U422" s="1"/>
      <c r="V422" s="1">
        <v>-113</v>
      </c>
      <c r="W422" s="1">
        <f>IF(Table1[[#This Row],[Claim_Amount]]&lt;0,0,Table1[[#This Row],[Claim_Amount]])</f>
        <v>0</v>
      </c>
      <c r="X422" s="1" t="str">
        <f>IF(Table1[[#This Row],[Column1]]=0,"",Table1[[#This Row],[Column1]])</f>
        <v/>
      </c>
      <c r="Y422" s="1" t="s">
        <v>1098</v>
      </c>
      <c r="Z422" s="1">
        <v>2481</v>
      </c>
      <c r="AA422">
        <v>832</v>
      </c>
      <c r="AB422" s="1" t="s">
        <v>42</v>
      </c>
      <c r="AC422" s="1" t="s">
        <v>1093</v>
      </c>
      <c r="AD422">
        <v>9</v>
      </c>
      <c r="AE422" s="3" t="s">
        <v>19</v>
      </c>
    </row>
    <row r="423" spans="1:31" ht="15.75" customHeight="1" x14ac:dyDescent="0.35">
      <c r="A423" s="1" t="s">
        <v>277</v>
      </c>
      <c r="B423" s="1" t="s">
        <v>382</v>
      </c>
      <c r="C423" s="1" t="s">
        <v>395</v>
      </c>
      <c r="D423" s="1" t="s">
        <v>660</v>
      </c>
      <c r="E423" s="5">
        <v>44935</v>
      </c>
      <c r="F423" s="4" t="str">
        <f>IF(ISNUMBER(Table13[[#This Row],[Claim_Date2]]),"",Table13[[#This Row],[Claim_Date2]])</f>
        <v/>
      </c>
      <c r="G423" s="4" t="s">
        <v>1098</v>
      </c>
      <c r="H423" s="4" t="str">
        <f>LEFT(Table13[[#This Row],[Values Col 1]],3)</f>
        <v/>
      </c>
      <c r="I423" s="4" t="s">
        <v>1098</v>
      </c>
      <c r="J423" s="4" t="str">
        <f>MID(Table13[[#This Row],[Function Col]],5,2)</f>
        <v/>
      </c>
      <c r="K423" s="4" t="s">
        <v>1098</v>
      </c>
      <c r="L423" s="4" t="str">
        <f>RIGHT(Table13[[#This Row],[Function Col]],4)</f>
        <v/>
      </c>
      <c r="M423" s="4" t="s">
        <v>1098</v>
      </c>
      <c r="N423" s="4" t="str">
        <f>IF(Table13[[#This Row],[Function Col5]]="","",_xlfn.CONCAT(Table13[[#This Row],[Day Col]],"/",Table13[[#This Row],[Month Col]],"/",Table13[[#This Row],[Year Col]]))</f>
        <v/>
      </c>
      <c r="O423" s="4" t="s">
        <v>1098</v>
      </c>
      <c r="P423" s="4">
        <f>IF(ISNUMBER(Table13[[#This Row],[Claim_Date2]]),Table13[[#This Row],[Claim_Date2]],Table13[[#This Row],[Function Col32]])</f>
        <v>44935</v>
      </c>
      <c r="Q423" s="4">
        <v>44935</v>
      </c>
      <c r="R423" s="1" t="s">
        <v>85</v>
      </c>
      <c r="S423" s="1" t="s">
        <v>53</v>
      </c>
      <c r="T423" t="s">
        <v>1086</v>
      </c>
      <c r="V423" s="1">
        <v>-71</v>
      </c>
      <c r="W423" s="1">
        <f>IF(Table1[[#This Row],[Claim_Amount]]&lt;0,0,Table1[[#This Row],[Claim_Amount]])</f>
        <v>0</v>
      </c>
      <c r="X423" s="1" t="str">
        <f>IF(Table1[[#This Row],[Column1]]=0,"",Table1[[#This Row],[Column1]])</f>
        <v/>
      </c>
      <c r="Y423" s="1" t="s">
        <v>1098</v>
      </c>
      <c r="Z423" s="1">
        <v>2481</v>
      </c>
      <c r="AA423">
        <v>832</v>
      </c>
      <c r="AB423" s="1" t="s">
        <v>17</v>
      </c>
      <c r="AC423" s="1" t="s">
        <v>26</v>
      </c>
      <c r="AD423">
        <v>9</v>
      </c>
      <c r="AE423" s="3" t="s">
        <v>65</v>
      </c>
    </row>
    <row r="424" spans="1:31" ht="15.75" customHeight="1" x14ac:dyDescent="0.35">
      <c r="A424" s="1" t="s">
        <v>285</v>
      </c>
      <c r="B424" s="1" t="s">
        <v>661</v>
      </c>
      <c r="C424" s="1" t="s">
        <v>425</v>
      </c>
      <c r="D424" s="1" t="s">
        <v>662</v>
      </c>
      <c r="E424" s="5">
        <v>45286</v>
      </c>
      <c r="F424" s="4" t="str">
        <f>IF(ISNUMBER(Table13[[#This Row],[Claim_Date2]]),"",Table13[[#This Row],[Claim_Date2]])</f>
        <v/>
      </c>
      <c r="G424" s="4" t="s">
        <v>1098</v>
      </c>
      <c r="H424" s="4" t="str">
        <f>LEFT(Table13[[#This Row],[Values Col 1]],3)</f>
        <v/>
      </c>
      <c r="I424" s="4" t="s">
        <v>1098</v>
      </c>
      <c r="J424" s="4" t="str">
        <f>MID(Table13[[#This Row],[Function Col]],5,2)</f>
        <v/>
      </c>
      <c r="K424" s="4" t="s">
        <v>1098</v>
      </c>
      <c r="L424" s="4" t="str">
        <f>RIGHT(Table13[[#This Row],[Function Col]],4)</f>
        <v/>
      </c>
      <c r="M424" s="4" t="s">
        <v>1098</v>
      </c>
      <c r="N424" s="4" t="str">
        <f>IF(Table13[[#This Row],[Function Col5]]="","",_xlfn.CONCAT(Table13[[#This Row],[Day Col]],"/",Table13[[#This Row],[Month Col]],"/",Table13[[#This Row],[Year Col]]))</f>
        <v/>
      </c>
      <c r="O424" s="4" t="s">
        <v>1098</v>
      </c>
      <c r="P424" s="4">
        <f>IF(ISNUMBER(Table13[[#This Row],[Claim_Date2]]),Table13[[#This Row],[Claim_Date2]],Table13[[#This Row],[Function Col32]])</f>
        <v>45286</v>
      </c>
      <c r="Q424" s="4">
        <v>45286</v>
      </c>
      <c r="R424" s="1" t="s">
        <v>77</v>
      </c>
      <c r="S424" s="1" t="s">
        <v>23</v>
      </c>
      <c r="T424" s="1" t="s">
        <v>48</v>
      </c>
      <c r="U424" s="1"/>
      <c r="W424">
        <f>IF(Table1[[#This Row],[Claim_Amount]]&lt;0,0,Table1[[#This Row],[Claim_Amount]])</f>
        <v>0</v>
      </c>
      <c r="X424" t="str">
        <f>IF(Table1[[#This Row],[Column1]]=0,"",Table1[[#This Row],[Column1]])</f>
        <v/>
      </c>
      <c r="Y424" t="s">
        <v>1098</v>
      </c>
      <c r="Z424">
        <v>2481</v>
      </c>
      <c r="AA424">
        <v>832</v>
      </c>
      <c r="AB424" s="1" t="s">
        <v>25</v>
      </c>
      <c r="AC424" s="1" t="s">
        <v>32</v>
      </c>
      <c r="AD424" s="1">
        <v>9</v>
      </c>
      <c r="AE424" s="3" t="s">
        <v>37</v>
      </c>
    </row>
    <row r="425" spans="1:31" ht="15.75" customHeight="1" x14ac:dyDescent="0.35">
      <c r="A425" s="1" t="s">
        <v>70</v>
      </c>
      <c r="B425" t="s">
        <v>1083</v>
      </c>
      <c r="C425" t="s">
        <v>1084</v>
      </c>
      <c r="D425" s="1" t="s">
        <v>383</v>
      </c>
      <c r="E425" s="5">
        <v>45176</v>
      </c>
      <c r="F425" s="4" t="str">
        <f>IF(ISNUMBER(Table13[[#This Row],[Claim_Date2]]),"",Table13[[#This Row],[Claim_Date2]])</f>
        <v/>
      </c>
      <c r="G425" s="4" t="s">
        <v>1098</v>
      </c>
      <c r="H425" s="4" t="str">
        <f>LEFT(Table13[[#This Row],[Values Col 1]],3)</f>
        <v/>
      </c>
      <c r="I425" s="4" t="s">
        <v>1098</v>
      </c>
      <c r="J425" s="4" t="str">
        <f>MID(Table13[[#This Row],[Function Col]],5,2)</f>
        <v/>
      </c>
      <c r="K425" s="4" t="s">
        <v>1098</v>
      </c>
      <c r="L425" s="4" t="str">
        <f>RIGHT(Table13[[#This Row],[Function Col]],4)</f>
        <v/>
      </c>
      <c r="M425" s="4" t="s">
        <v>1098</v>
      </c>
      <c r="N425" s="4" t="str">
        <f>IF(Table13[[#This Row],[Function Col5]]="","",_xlfn.CONCAT(Table13[[#This Row],[Day Col]],"/",Table13[[#This Row],[Month Col]],"/",Table13[[#This Row],[Year Col]]))</f>
        <v/>
      </c>
      <c r="O425" s="4" t="s">
        <v>1098</v>
      </c>
      <c r="P425" s="4">
        <f>IF(ISNUMBER(Table13[[#This Row],[Claim_Date2]]),Table13[[#This Row],[Claim_Date2]],Table13[[#This Row],[Function Col32]])</f>
        <v>45176</v>
      </c>
      <c r="Q425" s="4">
        <v>45176</v>
      </c>
      <c r="R425" s="1" t="s">
        <v>30</v>
      </c>
      <c r="S425" s="1" t="s">
        <v>47</v>
      </c>
      <c r="T425" t="s">
        <v>1086</v>
      </c>
      <c r="V425" s="1">
        <v>-183</v>
      </c>
      <c r="W425" s="1">
        <f>IF(Table1[[#This Row],[Claim_Amount]]&lt;0,0,Table1[[#This Row],[Claim_Amount]])</f>
        <v>0</v>
      </c>
      <c r="X425" s="1" t="str">
        <f>IF(Table1[[#This Row],[Column1]]=0,"",Table1[[#This Row],[Column1]])</f>
        <v/>
      </c>
      <c r="Y425" s="1" t="s">
        <v>1098</v>
      </c>
      <c r="Z425" s="1">
        <v>2481</v>
      </c>
      <c r="AA425" s="1">
        <v>1197.93</v>
      </c>
      <c r="AB425" s="1" t="s">
        <v>1091</v>
      </c>
      <c r="AC425" s="1" t="s">
        <v>26</v>
      </c>
      <c r="AD425">
        <v>9</v>
      </c>
      <c r="AE425" s="3" t="s">
        <v>27</v>
      </c>
    </row>
    <row r="426" spans="1:31" ht="15.75" customHeight="1" x14ac:dyDescent="0.35">
      <c r="A426" s="1" t="s">
        <v>20</v>
      </c>
      <c r="B426" t="s">
        <v>1083</v>
      </c>
      <c r="C426" t="s">
        <v>1084</v>
      </c>
      <c r="D426" s="1" t="s">
        <v>663</v>
      </c>
      <c r="E426" s="5" t="s">
        <v>663</v>
      </c>
      <c r="F426" s="4" t="str">
        <f>IF(ISNUMBER(Table13[[#This Row],[Claim_Date2]]),"",Table13[[#This Row],[Claim_Date2]])</f>
        <v>Sep 11 2023</v>
      </c>
      <c r="G426" s="4" t="s">
        <v>663</v>
      </c>
      <c r="H426" s="4" t="str">
        <f>LEFT(Table13[[#This Row],[Values Col 1]],3)</f>
        <v>Sep</v>
      </c>
      <c r="I426" s="4" t="s">
        <v>1102</v>
      </c>
      <c r="J426" s="4" t="str">
        <f>MID(Table13[[#This Row],[Function Col]],5,2)</f>
        <v>11</v>
      </c>
      <c r="K426" s="4" t="s">
        <v>1121</v>
      </c>
      <c r="L426" s="4" t="str">
        <f>RIGHT(Table13[[#This Row],[Function Col]],4)</f>
        <v>2023</v>
      </c>
      <c r="M426" s="4" t="s">
        <v>1146</v>
      </c>
      <c r="N426" s="4" t="str">
        <f>IF(Table13[[#This Row],[Function Col5]]="","",_xlfn.CONCAT(Table13[[#This Row],[Day Col]],"/",Table13[[#This Row],[Month Col]],"/",Table13[[#This Row],[Year Col]]))</f>
        <v>11/Sep/2023</v>
      </c>
      <c r="O426" s="4" t="s">
        <v>1266</v>
      </c>
      <c r="P426" s="4" t="str">
        <f>IF(ISNUMBER(Table13[[#This Row],[Claim_Date2]]),Table13[[#This Row],[Claim_Date2]],Table13[[#This Row],[Function Col32]])</f>
        <v>11/Sep/2023</v>
      </c>
      <c r="Q426" s="4">
        <v>45180</v>
      </c>
      <c r="R426" s="1" t="s">
        <v>16</v>
      </c>
      <c r="S426" s="1" t="s">
        <v>31</v>
      </c>
      <c r="T426" s="1" t="s">
        <v>48</v>
      </c>
      <c r="U426" s="1"/>
      <c r="W426">
        <f>IF(Table1[[#This Row],[Claim_Amount]]&lt;0,0,Table1[[#This Row],[Claim_Amount]])</f>
        <v>0</v>
      </c>
      <c r="X426" t="str">
        <f>IF(Table1[[#This Row],[Column1]]=0,"",Table1[[#This Row],[Column1]])</f>
        <v/>
      </c>
      <c r="Y426" t="s">
        <v>1098</v>
      </c>
      <c r="Z426">
        <v>2481</v>
      </c>
      <c r="AA426" s="1">
        <v>1475.65</v>
      </c>
      <c r="AB426" s="1" t="s">
        <v>25</v>
      </c>
      <c r="AC426" s="1" t="s">
        <v>32</v>
      </c>
      <c r="AD426" s="1">
        <v>28</v>
      </c>
      <c r="AE426" s="3" t="s">
        <v>1097</v>
      </c>
    </row>
    <row r="427" spans="1:31" ht="15.75" customHeight="1" x14ac:dyDescent="0.35">
      <c r="A427" s="1" t="s">
        <v>198</v>
      </c>
      <c r="B427" t="s">
        <v>1083</v>
      </c>
      <c r="C427" t="s">
        <v>1084</v>
      </c>
      <c r="D427" s="1" t="s">
        <v>664</v>
      </c>
      <c r="E427" s="5">
        <v>45077</v>
      </c>
      <c r="F427" s="4" t="str">
        <f>IF(ISNUMBER(Table13[[#This Row],[Claim_Date2]]),"",Table13[[#This Row],[Claim_Date2]])</f>
        <v/>
      </c>
      <c r="G427" s="4" t="s">
        <v>1098</v>
      </c>
      <c r="H427" s="4" t="str">
        <f>LEFT(Table13[[#This Row],[Values Col 1]],3)</f>
        <v/>
      </c>
      <c r="I427" s="4" t="s">
        <v>1098</v>
      </c>
      <c r="J427" s="4" t="str">
        <f>MID(Table13[[#This Row],[Function Col]],5,2)</f>
        <v/>
      </c>
      <c r="K427" s="4" t="s">
        <v>1098</v>
      </c>
      <c r="L427" s="4" t="str">
        <f>RIGHT(Table13[[#This Row],[Function Col]],4)</f>
        <v/>
      </c>
      <c r="M427" s="4" t="s">
        <v>1098</v>
      </c>
      <c r="N427" s="4" t="str">
        <f>IF(Table13[[#This Row],[Function Col5]]="","",_xlfn.CONCAT(Table13[[#This Row],[Day Col]],"/",Table13[[#This Row],[Month Col]],"/",Table13[[#This Row],[Year Col]]))</f>
        <v/>
      </c>
      <c r="O427" s="4" t="s">
        <v>1098</v>
      </c>
      <c r="P427" s="4">
        <f>IF(ISNUMBER(Table13[[#This Row],[Claim_Date2]]),Table13[[#This Row],[Claim_Date2]],Table13[[#This Row],[Function Col32]])</f>
        <v>45077</v>
      </c>
      <c r="Q427" s="4">
        <v>45077</v>
      </c>
      <c r="R427" s="1" t="s">
        <v>77</v>
      </c>
      <c r="S427" t="s">
        <v>1085</v>
      </c>
      <c r="T427" t="s">
        <v>1086</v>
      </c>
      <c r="W427">
        <f>IF(Table1[[#This Row],[Claim_Amount]]&lt;0,0,Table1[[#This Row],[Claim_Amount]])</f>
        <v>0</v>
      </c>
      <c r="X427" t="str">
        <f>IF(Table1[[#This Row],[Column1]]=0,"",Table1[[#This Row],[Column1]])</f>
        <v/>
      </c>
      <c r="Y427" t="s">
        <v>1098</v>
      </c>
      <c r="Z427">
        <v>2481</v>
      </c>
      <c r="AA427">
        <v>832</v>
      </c>
      <c r="AB427" s="1" t="s">
        <v>25</v>
      </c>
      <c r="AC427" s="1" t="s">
        <v>1093</v>
      </c>
      <c r="AD427" s="1">
        <v>8</v>
      </c>
      <c r="AE427" s="3" t="s">
        <v>65</v>
      </c>
    </row>
    <row r="428" spans="1:31" ht="15.75" customHeight="1" x14ac:dyDescent="0.35">
      <c r="A428" s="1" t="s">
        <v>132</v>
      </c>
      <c r="B428" t="s">
        <v>1083</v>
      </c>
      <c r="C428" t="s">
        <v>1084</v>
      </c>
      <c r="D428" s="1" t="s">
        <v>380</v>
      </c>
      <c r="E428" s="5">
        <v>45179</v>
      </c>
      <c r="F428" s="4" t="str">
        <f>IF(ISNUMBER(Table13[[#This Row],[Claim_Date2]]),"",Table13[[#This Row],[Claim_Date2]])</f>
        <v/>
      </c>
      <c r="G428" s="4" t="s">
        <v>1098</v>
      </c>
      <c r="H428" s="4" t="str">
        <f>LEFT(Table13[[#This Row],[Values Col 1]],3)</f>
        <v/>
      </c>
      <c r="I428" s="4" t="s">
        <v>1098</v>
      </c>
      <c r="J428" s="4" t="str">
        <f>MID(Table13[[#This Row],[Function Col]],5,2)</f>
        <v/>
      </c>
      <c r="K428" s="4" t="s">
        <v>1098</v>
      </c>
      <c r="L428" s="4" t="str">
        <f>RIGHT(Table13[[#This Row],[Function Col]],4)</f>
        <v/>
      </c>
      <c r="M428" s="4" t="s">
        <v>1098</v>
      </c>
      <c r="N428" s="4" t="str">
        <f>IF(Table13[[#This Row],[Function Col5]]="","",_xlfn.CONCAT(Table13[[#This Row],[Day Col]],"/",Table13[[#This Row],[Month Col]],"/",Table13[[#This Row],[Year Col]]))</f>
        <v/>
      </c>
      <c r="O428" s="4" t="s">
        <v>1098</v>
      </c>
      <c r="P428" s="4">
        <f>IF(ISNUMBER(Table13[[#This Row],[Claim_Date2]]),Table13[[#This Row],[Claim_Date2]],Table13[[#This Row],[Function Col32]])</f>
        <v>45179</v>
      </c>
      <c r="Q428" s="4">
        <v>45179</v>
      </c>
      <c r="R428" s="1" t="s">
        <v>30</v>
      </c>
      <c r="S428" s="1" t="s">
        <v>23</v>
      </c>
      <c r="T428" s="1" t="s">
        <v>61</v>
      </c>
      <c r="U428" s="1"/>
      <c r="W428">
        <f>IF(Table1[[#This Row],[Claim_Amount]]&lt;0,0,Table1[[#This Row],[Claim_Amount]])</f>
        <v>0</v>
      </c>
      <c r="X428" t="str">
        <f>IF(Table1[[#This Row],[Column1]]=0,"",Table1[[#This Row],[Column1]])</f>
        <v/>
      </c>
      <c r="Y428" t="s">
        <v>1098</v>
      </c>
      <c r="Z428">
        <v>2481</v>
      </c>
      <c r="AA428" s="1">
        <v>3400.79</v>
      </c>
      <c r="AB428" s="1" t="s">
        <v>1091</v>
      </c>
      <c r="AC428" s="1" t="s">
        <v>26</v>
      </c>
      <c r="AD428" s="1">
        <v>51</v>
      </c>
      <c r="AE428" s="3" t="s">
        <v>27</v>
      </c>
    </row>
    <row r="429" spans="1:31" ht="15.75" customHeight="1" x14ac:dyDescent="0.35">
      <c r="A429" s="1" t="s">
        <v>62</v>
      </c>
      <c r="B429" t="s">
        <v>1083</v>
      </c>
      <c r="C429" s="1" t="s">
        <v>644</v>
      </c>
      <c r="D429" s="1" t="s">
        <v>665</v>
      </c>
      <c r="E429" s="5">
        <v>45041</v>
      </c>
      <c r="F429" s="4" t="str">
        <f>IF(ISNUMBER(Table13[[#This Row],[Claim_Date2]]),"",Table13[[#This Row],[Claim_Date2]])</f>
        <v/>
      </c>
      <c r="G429" s="4" t="s">
        <v>1098</v>
      </c>
      <c r="H429" s="4" t="str">
        <f>LEFT(Table13[[#This Row],[Values Col 1]],3)</f>
        <v/>
      </c>
      <c r="I429" s="4" t="s">
        <v>1098</v>
      </c>
      <c r="J429" s="4" t="str">
        <f>MID(Table13[[#This Row],[Function Col]],5,2)</f>
        <v/>
      </c>
      <c r="K429" s="4" t="s">
        <v>1098</v>
      </c>
      <c r="L429" s="4" t="str">
        <f>RIGHT(Table13[[#This Row],[Function Col]],4)</f>
        <v/>
      </c>
      <c r="M429" s="4" t="s">
        <v>1098</v>
      </c>
      <c r="N429" s="4" t="str">
        <f>IF(Table13[[#This Row],[Function Col5]]="","",_xlfn.CONCAT(Table13[[#This Row],[Day Col]],"/",Table13[[#This Row],[Month Col]],"/",Table13[[#This Row],[Year Col]]))</f>
        <v/>
      </c>
      <c r="O429" s="4" t="s">
        <v>1098</v>
      </c>
      <c r="P429" s="4">
        <f>IF(ISNUMBER(Table13[[#This Row],[Claim_Date2]]),Table13[[#This Row],[Claim_Date2]],Table13[[#This Row],[Function Col32]])</f>
        <v>45041</v>
      </c>
      <c r="Q429" s="4">
        <v>45041</v>
      </c>
      <c r="R429" s="1" t="s">
        <v>92</v>
      </c>
      <c r="S429" s="1" t="s">
        <v>31</v>
      </c>
      <c r="T429" s="1" t="s">
        <v>61</v>
      </c>
      <c r="U429" s="1"/>
      <c r="W429">
        <f>IF(Table1[[#This Row],[Claim_Amount]]&lt;0,0,Table1[[#This Row],[Claim_Amount]])</f>
        <v>0</v>
      </c>
      <c r="X429" t="str">
        <f>IF(Table1[[#This Row],[Column1]]=0,"",Table1[[#This Row],[Column1]])</f>
        <v/>
      </c>
      <c r="Y429" t="s">
        <v>1098</v>
      </c>
      <c r="Z429">
        <v>2481</v>
      </c>
      <c r="AA429">
        <v>832</v>
      </c>
      <c r="AB429" s="1" t="s">
        <v>1091</v>
      </c>
      <c r="AC429" s="1" t="s">
        <v>57</v>
      </c>
      <c r="AD429" s="1">
        <v>42</v>
      </c>
      <c r="AE429" s="3" t="s">
        <v>19</v>
      </c>
    </row>
    <row r="430" spans="1:31" ht="15.75" customHeight="1" x14ac:dyDescent="0.35">
      <c r="A430" s="1" t="s">
        <v>215</v>
      </c>
      <c r="B430" s="1" t="s">
        <v>44</v>
      </c>
      <c r="C430" s="1" t="s">
        <v>479</v>
      </c>
      <c r="D430" s="1" t="s">
        <v>595</v>
      </c>
      <c r="E430" s="5">
        <v>45214</v>
      </c>
      <c r="F430" s="4" t="str">
        <f>IF(ISNUMBER(Table13[[#This Row],[Claim_Date2]]),"",Table13[[#This Row],[Claim_Date2]])</f>
        <v/>
      </c>
      <c r="G430" s="4" t="s">
        <v>1098</v>
      </c>
      <c r="H430" s="4" t="str">
        <f>LEFT(Table13[[#This Row],[Values Col 1]],3)</f>
        <v/>
      </c>
      <c r="I430" s="4" t="s">
        <v>1098</v>
      </c>
      <c r="J430" s="4" t="str">
        <f>MID(Table13[[#This Row],[Function Col]],5,2)</f>
        <v/>
      </c>
      <c r="K430" s="4" t="s">
        <v>1098</v>
      </c>
      <c r="L430" s="4" t="str">
        <f>RIGHT(Table13[[#This Row],[Function Col]],4)</f>
        <v/>
      </c>
      <c r="M430" s="4" t="s">
        <v>1098</v>
      </c>
      <c r="N430" s="4" t="str">
        <f>IF(Table13[[#This Row],[Function Col5]]="","",_xlfn.CONCAT(Table13[[#This Row],[Day Col]],"/",Table13[[#This Row],[Month Col]],"/",Table13[[#This Row],[Year Col]]))</f>
        <v/>
      </c>
      <c r="O430" s="4" t="s">
        <v>1098</v>
      </c>
      <c r="P430" s="4">
        <f>IF(ISNUMBER(Table13[[#This Row],[Claim_Date2]]),Table13[[#This Row],[Claim_Date2]],Table13[[#This Row],[Function Col32]])</f>
        <v>45214</v>
      </c>
      <c r="Q430" s="4">
        <v>45214</v>
      </c>
      <c r="R430" s="1" t="s">
        <v>85</v>
      </c>
      <c r="S430" t="s">
        <v>1085</v>
      </c>
      <c r="T430" s="1" t="s">
        <v>61</v>
      </c>
      <c r="U430" s="1"/>
      <c r="W430">
        <f>IF(Table1[[#This Row],[Claim_Amount]]&lt;0,0,Table1[[#This Row],[Claim_Amount]])</f>
        <v>0</v>
      </c>
      <c r="X430" t="str">
        <f>IF(Table1[[#This Row],[Column1]]=0,"",Table1[[#This Row],[Column1]])</f>
        <v/>
      </c>
      <c r="Y430" t="s">
        <v>1098</v>
      </c>
      <c r="Z430">
        <v>2481</v>
      </c>
      <c r="AA430">
        <v>832</v>
      </c>
      <c r="AB430" s="1" t="s">
        <v>25</v>
      </c>
      <c r="AC430" s="1" t="s">
        <v>57</v>
      </c>
      <c r="AD430">
        <v>9</v>
      </c>
      <c r="AE430" s="3" t="s">
        <v>19</v>
      </c>
    </row>
    <row r="431" spans="1:31" ht="15.75" customHeight="1" x14ac:dyDescent="0.35">
      <c r="A431" s="1" t="s">
        <v>50</v>
      </c>
      <c r="B431" t="s">
        <v>1083</v>
      </c>
      <c r="C431" s="1" t="s">
        <v>666</v>
      </c>
      <c r="D431" s="1" t="s">
        <v>512</v>
      </c>
      <c r="E431" s="5">
        <v>45030</v>
      </c>
      <c r="F431" s="4" t="str">
        <f>IF(ISNUMBER(Table13[[#This Row],[Claim_Date2]]),"",Table13[[#This Row],[Claim_Date2]])</f>
        <v/>
      </c>
      <c r="G431" s="4" t="s">
        <v>1098</v>
      </c>
      <c r="H431" s="4" t="str">
        <f>LEFT(Table13[[#This Row],[Values Col 1]],3)</f>
        <v/>
      </c>
      <c r="I431" s="4" t="s">
        <v>1098</v>
      </c>
      <c r="J431" s="4" t="str">
        <f>MID(Table13[[#This Row],[Function Col]],5,2)</f>
        <v/>
      </c>
      <c r="K431" s="4" t="s">
        <v>1098</v>
      </c>
      <c r="L431" s="4" t="str">
        <f>RIGHT(Table13[[#This Row],[Function Col]],4)</f>
        <v/>
      </c>
      <c r="M431" s="4" t="s">
        <v>1098</v>
      </c>
      <c r="N431" s="4" t="str">
        <f>IF(Table13[[#This Row],[Function Col5]]="","",_xlfn.CONCAT(Table13[[#This Row],[Day Col]],"/",Table13[[#This Row],[Month Col]],"/",Table13[[#This Row],[Year Col]]))</f>
        <v/>
      </c>
      <c r="O431" s="4" t="s">
        <v>1098</v>
      </c>
      <c r="P431" s="4">
        <f>IF(ISNUMBER(Table13[[#This Row],[Claim_Date2]]),Table13[[#This Row],[Claim_Date2]],Table13[[#This Row],[Function Col32]])</f>
        <v>45030</v>
      </c>
      <c r="Q431" s="4">
        <v>45030</v>
      </c>
      <c r="R431" s="1" t="s">
        <v>85</v>
      </c>
      <c r="S431" s="1" t="s">
        <v>23</v>
      </c>
      <c r="T431" s="1" t="s">
        <v>24</v>
      </c>
      <c r="U431" s="1"/>
      <c r="W431">
        <f>IF(Table1[[#This Row],[Claim_Amount]]&lt;0,0,Table1[[#This Row],[Claim_Amount]])</f>
        <v>0</v>
      </c>
      <c r="X431" t="str">
        <f>IF(Table1[[#This Row],[Column1]]=0,"",Table1[[#This Row],[Column1]])</f>
        <v/>
      </c>
      <c r="Y431" t="s">
        <v>1098</v>
      </c>
      <c r="Z431">
        <v>2481</v>
      </c>
      <c r="AA431" s="1">
        <v>1469.45</v>
      </c>
      <c r="AB431" s="1" t="s">
        <v>25</v>
      </c>
      <c r="AC431" s="1" t="s">
        <v>32</v>
      </c>
      <c r="AD431">
        <v>9</v>
      </c>
      <c r="AE431" s="3" t="s">
        <v>37</v>
      </c>
    </row>
    <row r="432" spans="1:31" ht="15.75" customHeight="1" x14ac:dyDescent="0.35">
      <c r="A432" s="1" t="s">
        <v>242</v>
      </c>
      <c r="B432" t="s">
        <v>1083</v>
      </c>
      <c r="C432" s="1" t="s">
        <v>455</v>
      </c>
      <c r="D432" s="1" t="s">
        <v>667</v>
      </c>
      <c r="E432" s="5">
        <v>45198</v>
      </c>
      <c r="F432" s="4" t="str">
        <f>IF(ISNUMBER(Table13[[#This Row],[Claim_Date2]]),"",Table13[[#This Row],[Claim_Date2]])</f>
        <v/>
      </c>
      <c r="G432" s="4" t="s">
        <v>1098</v>
      </c>
      <c r="H432" s="4" t="str">
        <f>LEFT(Table13[[#This Row],[Values Col 1]],3)</f>
        <v/>
      </c>
      <c r="I432" s="4" t="s">
        <v>1098</v>
      </c>
      <c r="J432" s="4" t="str">
        <f>MID(Table13[[#This Row],[Function Col]],5,2)</f>
        <v/>
      </c>
      <c r="K432" s="4" t="s">
        <v>1098</v>
      </c>
      <c r="L432" s="4" t="str">
        <f>RIGHT(Table13[[#This Row],[Function Col]],4)</f>
        <v/>
      </c>
      <c r="M432" s="4" t="s">
        <v>1098</v>
      </c>
      <c r="N432" s="4" t="str">
        <f>IF(Table13[[#This Row],[Function Col5]]="","",_xlfn.CONCAT(Table13[[#This Row],[Day Col]],"/",Table13[[#This Row],[Month Col]],"/",Table13[[#This Row],[Year Col]]))</f>
        <v/>
      </c>
      <c r="O432" s="4" t="s">
        <v>1098</v>
      </c>
      <c r="P432" s="4">
        <f>IF(ISNUMBER(Table13[[#This Row],[Claim_Date2]]),Table13[[#This Row],[Claim_Date2]],Table13[[#This Row],[Function Col32]])</f>
        <v>45198</v>
      </c>
      <c r="Q432" s="4">
        <v>45198</v>
      </c>
      <c r="R432" s="1" t="s">
        <v>85</v>
      </c>
      <c r="S432" s="1" t="s">
        <v>53</v>
      </c>
      <c r="T432" s="1" t="s">
        <v>48</v>
      </c>
      <c r="U432" s="1"/>
      <c r="W432">
        <f>IF(Table1[[#This Row],[Claim_Amount]]&lt;0,0,Table1[[#This Row],[Claim_Amount]])</f>
        <v>0</v>
      </c>
      <c r="X432" t="str">
        <f>IF(Table1[[#This Row],[Column1]]=0,"",Table1[[#This Row],[Column1]])</f>
        <v/>
      </c>
      <c r="Y432" t="s">
        <v>1098</v>
      </c>
      <c r="Z432">
        <v>2481</v>
      </c>
      <c r="AA432">
        <v>832</v>
      </c>
      <c r="AB432" s="1" t="s">
        <v>17</v>
      </c>
      <c r="AC432" s="1" t="s">
        <v>26</v>
      </c>
      <c r="AD432">
        <v>9</v>
      </c>
      <c r="AE432" s="3" t="s">
        <v>19</v>
      </c>
    </row>
    <row r="433" spans="1:31" ht="15.75" customHeight="1" x14ac:dyDescent="0.35">
      <c r="A433" s="1" t="s">
        <v>96</v>
      </c>
      <c r="B433" t="s">
        <v>1083</v>
      </c>
      <c r="C433" s="1" t="s">
        <v>442</v>
      </c>
      <c r="D433" s="1" t="s">
        <v>668</v>
      </c>
      <c r="E433" s="5">
        <v>45149</v>
      </c>
      <c r="F433" s="4" t="str">
        <f>IF(ISNUMBER(Table13[[#This Row],[Claim_Date2]]),"",Table13[[#This Row],[Claim_Date2]])</f>
        <v/>
      </c>
      <c r="G433" s="4" t="s">
        <v>1098</v>
      </c>
      <c r="H433" s="4" t="str">
        <f>LEFT(Table13[[#This Row],[Values Col 1]],3)</f>
        <v/>
      </c>
      <c r="I433" s="4" t="s">
        <v>1098</v>
      </c>
      <c r="J433" s="4" t="str">
        <f>MID(Table13[[#This Row],[Function Col]],5,2)</f>
        <v/>
      </c>
      <c r="K433" s="4" t="s">
        <v>1098</v>
      </c>
      <c r="L433" s="4" t="str">
        <f>RIGHT(Table13[[#This Row],[Function Col]],4)</f>
        <v/>
      </c>
      <c r="M433" s="4" t="s">
        <v>1098</v>
      </c>
      <c r="N433" s="4" t="str">
        <f>IF(Table13[[#This Row],[Function Col5]]="","",_xlfn.CONCAT(Table13[[#This Row],[Day Col]],"/",Table13[[#This Row],[Month Col]],"/",Table13[[#This Row],[Year Col]]))</f>
        <v/>
      </c>
      <c r="O433" s="4" t="s">
        <v>1098</v>
      </c>
      <c r="P433" s="4">
        <f>IF(ISNUMBER(Table13[[#This Row],[Claim_Date2]]),Table13[[#This Row],[Claim_Date2]],Table13[[#This Row],[Function Col32]])</f>
        <v>45149</v>
      </c>
      <c r="Q433" s="4">
        <v>45149</v>
      </c>
      <c r="R433" s="1" t="s">
        <v>16</v>
      </c>
      <c r="S433" t="s">
        <v>1085</v>
      </c>
      <c r="T433" s="1" t="s">
        <v>24</v>
      </c>
      <c r="U433" s="1"/>
      <c r="W433">
        <f>IF(Table1[[#This Row],[Claim_Amount]]&lt;0,0,Table1[[#This Row],[Claim_Amount]])</f>
        <v>0</v>
      </c>
      <c r="X433" t="str">
        <f>IF(Table1[[#This Row],[Column1]]=0,"",Table1[[#This Row],[Column1]])</f>
        <v/>
      </c>
      <c r="Y433" t="s">
        <v>1098</v>
      </c>
      <c r="Z433">
        <v>2481</v>
      </c>
      <c r="AA433">
        <v>832</v>
      </c>
      <c r="AB433" s="1" t="s">
        <v>1091</v>
      </c>
      <c r="AC433" s="1" t="s">
        <v>32</v>
      </c>
      <c r="AD433">
        <v>9</v>
      </c>
      <c r="AE433" s="3" t="s">
        <v>27</v>
      </c>
    </row>
    <row r="434" spans="1:31" ht="15.75" customHeight="1" x14ac:dyDescent="0.35">
      <c r="A434" s="1" t="s">
        <v>28</v>
      </c>
      <c r="B434" t="s">
        <v>1083</v>
      </c>
      <c r="C434" s="1" t="s">
        <v>530</v>
      </c>
      <c r="D434" s="1" t="s">
        <v>669</v>
      </c>
      <c r="E434" s="5" t="s">
        <v>669</v>
      </c>
      <c r="F434" s="4" t="str">
        <f>IF(ISNUMBER(Table13[[#This Row],[Claim_Date2]]),"",Table13[[#This Row],[Claim_Date2]])</f>
        <v>Aug 17 2023</v>
      </c>
      <c r="G434" s="4" t="s">
        <v>669</v>
      </c>
      <c r="H434" s="4" t="str">
        <f>LEFT(Table13[[#This Row],[Values Col 1]],3)</f>
        <v>Aug</v>
      </c>
      <c r="I434" s="4" t="s">
        <v>1106</v>
      </c>
      <c r="J434" s="4" t="str">
        <f>MID(Table13[[#This Row],[Function Col]],5,2)</f>
        <v>17</v>
      </c>
      <c r="K434" s="4" t="s">
        <v>1140</v>
      </c>
      <c r="L434" s="4" t="str">
        <f>RIGHT(Table13[[#This Row],[Function Col]],4)</f>
        <v>2023</v>
      </c>
      <c r="M434" s="4" t="s">
        <v>1146</v>
      </c>
      <c r="N434" s="4" t="str">
        <f>IF(Table13[[#This Row],[Function Col5]]="","",_xlfn.CONCAT(Table13[[#This Row],[Day Col]],"/",Table13[[#This Row],[Month Col]],"/",Table13[[#This Row],[Year Col]]))</f>
        <v>17/Aug/2023</v>
      </c>
      <c r="O434" s="4" t="s">
        <v>1267</v>
      </c>
      <c r="P434" s="4" t="str">
        <f>IF(ISNUMBER(Table13[[#This Row],[Claim_Date2]]),Table13[[#This Row],[Claim_Date2]],Table13[[#This Row],[Function Col32]])</f>
        <v>17/Aug/2023</v>
      </c>
      <c r="Q434" s="4">
        <v>45155</v>
      </c>
      <c r="R434" s="1" t="s">
        <v>85</v>
      </c>
      <c r="S434" s="1" t="s">
        <v>47</v>
      </c>
      <c r="T434" s="1" t="s">
        <v>54</v>
      </c>
      <c r="U434" s="1"/>
      <c r="V434" s="1">
        <v>-176</v>
      </c>
      <c r="W434" s="1">
        <f>IF(Table1[[#This Row],[Claim_Amount]]&lt;0,0,Table1[[#This Row],[Claim_Amount]])</f>
        <v>0</v>
      </c>
      <c r="X434" s="1" t="str">
        <f>IF(Table1[[#This Row],[Column1]]=0,"",Table1[[#This Row],[Column1]])</f>
        <v/>
      </c>
      <c r="Y434" s="1" t="s">
        <v>1098</v>
      </c>
      <c r="Z434" s="1">
        <v>2481</v>
      </c>
      <c r="AA434">
        <v>832</v>
      </c>
      <c r="AB434" s="1" t="s">
        <v>25</v>
      </c>
      <c r="AC434" s="1" t="s">
        <v>18</v>
      </c>
      <c r="AD434">
        <v>9</v>
      </c>
      <c r="AE434" s="3" t="s">
        <v>19</v>
      </c>
    </row>
    <row r="435" spans="1:31" ht="15.75" customHeight="1" x14ac:dyDescent="0.35">
      <c r="A435" s="1" t="s">
        <v>166</v>
      </c>
      <c r="B435" t="s">
        <v>1083</v>
      </c>
      <c r="C435" s="1" t="s">
        <v>447</v>
      </c>
      <c r="D435" s="1" t="s">
        <v>670</v>
      </c>
      <c r="E435" s="5">
        <v>45193</v>
      </c>
      <c r="F435" s="4" t="str">
        <f>IF(ISNUMBER(Table13[[#This Row],[Claim_Date2]]),"",Table13[[#This Row],[Claim_Date2]])</f>
        <v/>
      </c>
      <c r="G435" s="4" t="s">
        <v>1098</v>
      </c>
      <c r="H435" s="4" t="str">
        <f>LEFT(Table13[[#This Row],[Values Col 1]],3)</f>
        <v/>
      </c>
      <c r="I435" s="4" t="s">
        <v>1098</v>
      </c>
      <c r="J435" s="4" t="str">
        <f>MID(Table13[[#This Row],[Function Col]],5,2)</f>
        <v/>
      </c>
      <c r="K435" s="4" t="s">
        <v>1098</v>
      </c>
      <c r="L435" s="4" t="str">
        <f>RIGHT(Table13[[#This Row],[Function Col]],4)</f>
        <v/>
      </c>
      <c r="M435" s="4" t="s">
        <v>1098</v>
      </c>
      <c r="N435" s="4" t="str">
        <f>IF(Table13[[#This Row],[Function Col5]]="","",_xlfn.CONCAT(Table13[[#This Row],[Day Col]],"/",Table13[[#This Row],[Month Col]],"/",Table13[[#This Row],[Year Col]]))</f>
        <v/>
      </c>
      <c r="O435" s="4" t="s">
        <v>1098</v>
      </c>
      <c r="P435" s="4">
        <f>IF(ISNUMBER(Table13[[#This Row],[Claim_Date2]]),Table13[[#This Row],[Claim_Date2]],Table13[[#This Row],[Function Col32]])</f>
        <v>45193</v>
      </c>
      <c r="Q435" s="4">
        <v>45193</v>
      </c>
      <c r="R435" s="1" t="s">
        <v>16</v>
      </c>
      <c r="S435" s="1" t="s">
        <v>47</v>
      </c>
      <c r="T435" s="1" t="s">
        <v>54</v>
      </c>
      <c r="U435" s="1"/>
      <c r="W435">
        <f>IF(Table1[[#This Row],[Claim_Amount]]&lt;0,0,Table1[[#This Row],[Claim_Amount]])</f>
        <v>0</v>
      </c>
      <c r="X435" t="str">
        <f>IF(Table1[[#This Row],[Column1]]=0,"",Table1[[#This Row],[Column1]])</f>
        <v/>
      </c>
      <c r="Y435" t="s">
        <v>1098</v>
      </c>
      <c r="Z435">
        <v>2481</v>
      </c>
      <c r="AA435">
        <v>832</v>
      </c>
      <c r="AB435" s="1" t="s">
        <v>1091</v>
      </c>
      <c r="AC435" s="1" t="s">
        <v>32</v>
      </c>
      <c r="AD435">
        <v>9</v>
      </c>
      <c r="AE435" s="3" t="s">
        <v>37</v>
      </c>
    </row>
    <row r="436" spans="1:31" ht="15.75" customHeight="1" x14ac:dyDescent="0.35">
      <c r="A436" s="1" t="s">
        <v>163</v>
      </c>
      <c r="B436" t="s">
        <v>1083</v>
      </c>
      <c r="C436" t="s">
        <v>1084</v>
      </c>
      <c r="D436" s="1" t="s">
        <v>214</v>
      </c>
      <c r="E436" s="5">
        <v>45248</v>
      </c>
      <c r="F436" s="4" t="str">
        <f>IF(ISNUMBER(Table13[[#This Row],[Claim_Date2]]),"",Table13[[#This Row],[Claim_Date2]])</f>
        <v/>
      </c>
      <c r="G436" s="4" t="s">
        <v>1098</v>
      </c>
      <c r="H436" s="4" t="str">
        <f>LEFT(Table13[[#This Row],[Values Col 1]],3)</f>
        <v/>
      </c>
      <c r="I436" s="4" t="s">
        <v>1098</v>
      </c>
      <c r="J436" s="4" t="str">
        <f>MID(Table13[[#This Row],[Function Col]],5,2)</f>
        <v/>
      </c>
      <c r="K436" s="4" t="s">
        <v>1098</v>
      </c>
      <c r="L436" s="4" t="str">
        <f>RIGHT(Table13[[#This Row],[Function Col]],4)</f>
        <v/>
      </c>
      <c r="M436" s="4" t="s">
        <v>1098</v>
      </c>
      <c r="N436" s="4" t="str">
        <f>IF(Table13[[#This Row],[Function Col5]]="","",_xlfn.CONCAT(Table13[[#This Row],[Day Col]],"/",Table13[[#This Row],[Month Col]],"/",Table13[[#This Row],[Year Col]]))</f>
        <v/>
      </c>
      <c r="O436" s="4" t="s">
        <v>1098</v>
      </c>
      <c r="P436" s="4">
        <f>IF(ISNUMBER(Table13[[#This Row],[Claim_Date2]]),Table13[[#This Row],[Claim_Date2]],Table13[[#This Row],[Function Col32]])</f>
        <v>45248</v>
      </c>
      <c r="Q436" s="4">
        <v>45248</v>
      </c>
      <c r="R436" s="1" t="s">
        <v>16</v>
      </c>
      <c r="S436" s="1" t="s">
        <v>23</v>
      </c>
      <c r="T436" t="s">
        <v>1086</v>
      </c>
      <c r="W436">
        <f>IF(Table1[[#This Row],[Claim_Amount]]&lt;0,0,Table1[[#This Row],[Claim_Amount]])</f>
        <v>0</v>
      </c>
      <c r="X436" t="str">
        <f>IF(Table1[[#This Row],[Column1]]=0,"",Table1[[#This Row],[Column1]])</f>
        <v/>
      </c>
      <c r="Y436" t="s">
        <v>1098</v>
      </c>
      <c r="Z436">
        <v>2481</v>
      </c>
      <c r="AA436" s="1">
        <v>2883.55</v>
      </c>
      <c r="AB436" s="1" t="s">
        <v>25</v>
      </c>
      <c r="AC436" s="1" t="s">
        <v>32</v>
      </c>
      <c r="AD436">
        <v>9</v>
      </c>
      <c r="AE436" s="3" t="s">
        <v>1097</v>
      </c>
    </row>
    <row r="437" spans="1:31" ht="15.75" customHeight="1" x14ac:dyDescent="0.35">
      <c r="A437" s="1" t="s">
        <v>209</v>
      </c>
      <c r="B437" t="s">
        <v>1083</v>
      </c>
      <c r="C437" s="1" t="s">
        <v>158</v>
      </c>
      <c r="D437" s="1" t="s">
        <v>478</v>
      </c>
      <c r="E437" s="5" t="s">
        <v>478</v>
      </c>
      <c r="F437" s="4" t="str">
        <f>IF(ISNUMBER(Table13[[#This Row],[Claim_Date2]]),"",Table13[[#This Row],[Claim_Date2]])</f>
        <v>May 26 2023</v>
      </c>
      <c r="G437" s="4" t="s">
        <v>478</v>
      </c>
      <c r="H437" s="4" t="str">
        <f>LEFT(Table13[[#This Row],[Values Col 1]],3)</f>
        <v>May</v>
      </c>
      <c r="I437" s="4" t="s">
        <v>1110</v>
      </c>
      <c r="J437" s="4" t="str">
        <f>MID(Table13[[#This Row],[Function Col]],5,2)</f>
        <v>26</v>
      </c>
      <c r="K437" s="4" t="s">
        <v>1117</v>
      </c>
      <c r="L437" s="4" t="str">
        <f>RIGHT(Table13[[#This Row],[Function Col]],4)</f>
        <v>2023</v>
      </c>
      <c r="M437" s="4" t="s">
        <v>1146</v>
      </c>
      <c r="N437" s="4" t="str">
        <f>IF(Table13[[#This Row],[Function Col5]]="","",_xlfn.CONCAT(Table13[[#This Row],[Day Col]],"/",Table13[[#This Row],[Month Col]],"/",Table13[[#This Row],[Year Col]]))</f>
        <v>26/May/2023</v>
      </c>
      <c r="O437" s="4" t="s">
        <v>1231</v>
      </c>
      <c r="P437" s="4" t="str">
        <f>IF(ISNUMBER(Table13[[#This Row],[Claim_Date2]]),Table13[[#This Row],[Claim_Date2]],Table13[[#This Row],[Function Col32]])</f>
        <v>26/May/2023</v>
      </c>
      <c r="Q437" s="4">
        <v>45072</v>
      </c>
      <c r="R437" s="1" t="s">
        <v>85</v>
      </c>
      <c r="S437" t="s">
        <v>1085</v>
      </c>
      <c r="T437" s="1" t="s">
        <v>54</v>
      </c>
      <c r="U437" s="1"/>
      <c r="V437" s="1">
        <v>-192</v>
      </c>
      <c r="W437" s="1">
        <f>IF(Table1[[#This Row],[Claim_Amount]]&lt;0,0,Table1[[#This Row],[Claim_Amount]])</f>
        <v>0</v>
      </c>
      <c r="X437" s="1" t="str">
        <f>IF(Table1[[#This Row],[Column1]]=0,"",Table1[[#This Row],[Column1]])</f>
        <v/>
      </c>
      <c r="Y437" s="1" t="s">
        <v>1098</v>
      </c>
      <c r="Z437" s="1">
        <v>2481</v>
      </c>
      <c r="AA437" s="1">
        <v>2622.35</v>
      </c>
      <c r="AB437" s="1" t="s">
        <v>25</v>
      </c>
      <c r="AC437" s="1" t="s">
        <v>32</v>
      </c>
      <c r="AD437">
        <v>9</v>
      </c>
      <c r="AE437" s="3" t="s">
        <v>65</v>
      </c>
    </row>
    <row r="438" spans="1:31" ht="15.75" customHeight="1" x14ac:dyDescent="0.35">
      <c r="A438" s="1" t="s">
        <v>202</v>
      </c>
      <c r="B438" t="s">
        <v>1083</v>
      </c>
      <c r="C438" s="1" t="s">
        <v>574</v>
      </c>
      <c r="D438" s="1" t="s">
        <v>671</v>
      </c>
      <c r="E438" s="5">
        <v>45291</v>
      </c>
      <c r="F438" s="4" t="str">
        <f>IF(ISNUMBER(Table13[[#This Row],[Claim_Date2]]),"",Table13[[#This Row],[Claim_Date2]])</f>
        <v/>
      </c>
      <c r="G438" s="4" t="s">
        <v>1098</v>
      </c>
      <c r="H438" s="4" t="str">
        <f>LEFT(Table13[[#This Row],[Values Col 1]],3)</f>
        <v/>
      </c>
      <c r="I438" s="4" t="s">
        <v>1098</v>
      </c>
      <c r="J438" s="4" t="str">
        <f>MID(Table13[[#This Row],[Function Col]],5,2)</f>
        <v/>
      </c>
      <c r="K438" s="4" t="s">
        <v>1098</v>
      </c>
      <c r="L438" s="4" t="str">
        <f>RIGHT(Table13[[#This Row],[Function Col]],4)</f>
        <v/>
      </c>
      <c r="M438" s="4" t="s">
        <v>1098</v>
      </c>
      <c r="N438" s="4" t="str">
        <f>IF(Table13[[#This Row],[Function Col5]]="","",_xlfn.CONCAT(Table13[[#This Row],[Day Col]],"/",Table13[[#This Row],[Month Col]],"/",Table13[[#This Row],[Year Col]]))</f>
        <v/>
      </c>
      <c r="O438" s="4" t="s">
        <v>1098</v>
      </c>
      <c r="P438" s="4">
        <f>IF(ISNUMBER(Table13[[#This Row],[Claim_Date2]]),Table13[[#This Row],[Claim_Date2]],Table13[[#This Row],[Function Col32]])</f>
        <v>45291</v>
      </c>
      <c r="Q438" s="4">
        <v>45291</v>
      </c>
      <c r="R438" s="1" t="s">
        <v>16</v>
      </c>
      <c r="S438" s="1" t="s">
        <v>23</v>
      </c>
      <c r="T438" s="1" t="s">
        <v>48</v>
      </c>
      <c r="U438" s="1"/>
      <c r="W438">
        <f>IF(Table1[[#This Row],[Claim_Amount]]&lt;0,0,Table1[[#This Row],[Claim_Amount]])</f>
        <v>0</v>
      </c>
      <c r="X438" t="str">
        <f>IF(Table1[[#This Row],[Column1]]=0,"",Table1[[#This Row],[Column1]])</f>
        <v/>
      </c>
      <c r="Y438" t="s">
        <v>1098</v>
      </c>
      <c r="Z438">
        <v>2481</v>
      </c>
      <c r="AA438">
        <v>832</v>
      </c>
      <c r="AB438" s="1" t="s">
        <v>1091</v>
      </c>
      <c r="AC438" s="1" t="s">
        <v>1093</v>
      </c>
      <c r="AD438">
        <v>9</v>
      </c>
      <c r="AE438" s="3" t="s">
        <v>1097</v>
      </c>
    </row>
    <row r="439" spans="1:31" ht="15.75" customHeight="1" x14ac:dyDescent="0.35">
      <c r="A439" s="1" t="s">
        <v>202</v>
      </c>
      <c r="B439" t="s">
        <v>1083</v>
      </c>
      <c r="C439" t="s">
        <v>1084</v>
      </c>
      <c r="D439" s="1" t="s">
        <v>672</v>
      </c>
      <c r="E439" s="5" t="s">
        <v>672</v>
      </c>
      <c r="F439" s="4" t="str">
        <f>IF(ISNUMBER(Table13[[#This Row],[Claim_Date2]]),"",Table13[[#This Row],[Claim_Date2]])</f>
        <v>Aug 14 2023</v>
      </c>
      <c r="G439" s="4" t="s">
        <v>672</v>
      </c>
      <c r="H439" s="4" t="str">
        <f>LEFT(Table13[[#This Row],[Values Col 1]],3)</f>
        <v>Aug</v>
      </c>
      <c r="I439" s="4" t="s">
        <v>1106</v>
      </c>
      <c r="J439" s="4" t="str">
        <f>MID(Table13[[#This Row],[Function Col]],5,2)</f>
        <v>14</v>
      </c>
      <c r="K439" s="4" t="s">
        <v>1131</v>
      </c>
      <c r="L439" s="4" t="str">
        <f>RIGHT(Table13[[#This Row],[Function Col]],4)</f>
        <v>2023</v>
      </c>
      <c r="M439" s="4" t="s">
        <v>1146</v>
      </c>
      <c r="N439" s="4" t="str">
        <f>IF(Table13[[#This Row],[Function Col5]]="","",_xlfn.CONCAT(Table13[[#This Row],[Day Col]],"/",Table13[[#This Row],[Month Col]],"/",Table13[[#This Row],[Year Col]]))</f>
        <v>14/Aug/2023</v>
      </c>
      <c r="O439" s="4" t="s">
        <v>1268</v>
      </c>
      <c r="P439" s="4" t="str">
        <f>IF(ISNUMBER(Table13[[#This Row],[Claim_Date2]]),Table13[[#This Row],[Claim_Date2]],Table13[[#This Row],[Function Col32]])</f>
        <v>14/Aug/2023</v>
      </c>
      <c r="Q439" s="4">
        <v>45152</v>
      </c>
      <c r="R439" s="1" t="s">
        <v>77</v>
      </c>
      <c r="S439" t="s">
        <v>1085</v>
      </c>
      <c r="T439" s="1" t="s">
        <v>48</v>
      </c>
      <c r="U439" s="1"/>
      <c r="W439">
        <f>IF(Table1[[#This Row],[Claim_Amount]]&lt;0,0,Table1[[#This Row],[Claim_Amount]])</f>
        <v>0</v>
      </c>
      <c r="X439" t="str">
        <f>IF(Table1[[#This Row],[Column1]]=0,"",Table1[[#This Row],[Column1]])</f>
        <v/>
      </c>
      <c r="Y439" t="s">
        <v>1098</v>
      </c>
      <c r="Z439">
        <v>2481</v>
      </c>
      <c r="AA439">
        <v>832</v>
      </c>
      <c r="AB439" s="1" t="s">
        <v>17</v>
      </c>
      <c r="AC439" s="1" t="s">
        <v>57</v>
      </c>
      <c r="AD439">
        <v>9</v>
      </c>
      <c r="AE439" s="3" t="s">
        <v>19</v>
      </c>
    </row>
    <row r="440" spans="1:31" ht="15.75" customHeight="1" x14ac:dyDescent="0.35">
      <c r="A440" s="1" t="s">
        <v>321</v>
      </c>
      <c r="B440" t="s">
        <v>1083</v>
      </c>
      <c r="C440" s="1" t="s">
        <v>458</v>
      </c>
      <c r="D440" s="1" t="s">
        <v>673</v>
      </c>
      <c r="E440" s="5">
        <v>45007</v>
      </c>
      <c r="F440" s="4" t="str">
        <f>IF(ISNUMBER(Table13[[#This Row],[Claim_Date2]]),"",Table13[[#This Row],[Claim_Date2]])</f>
        <v/>
      </c>
      <c r="G440" s="4" t="s">
        <v>1098</v>
      </c>
      <c r="H440" s="4" t="str">
        <f>LEFT(Table13[[#This Row],[Values Col 1]],3)</f>
        <v/>
      </c>
      <c r="I440" s="4" t="s">
        <v>1098</v>
      </c>
      <c r="J440" s="4" t="str">
        <f>MID(Table13[[#This Row],[Function Col]],5,2)</f>
        <v/>
      </c>
      <c r="K440" s="4" t="s">
        <v>1098</v>
      </c>
      <c r="L440" s="4" t="str">
        <f>RIGHT(Table13[[#This Row],[Function Col]],4)</f>
        <v/>
      </c>
      <c r="M440" s="4" t="s">
        <v>1098</v>
      </c>
      <c r="N440" s="4" t="str">
        <f>IF(Table13[[#This Row],[Function Col5]]="","",_xlfn.CONCAT(Table13[[#This Row],[Day Col]],"/",Table13[[#This Row],[Month Col]],"/",Table13[[#This Row],[Year Col]]))</f>
        <v/>
      </c>
      <c r="O440" s="4" t="s">
        <v>1098</v>
      </c>
      <c r="P440" s="4">
        <f>IF(ISNUMBER(Table13[[#This Row],[Claim_Date2]]),Table13[[#This Row],[Claim_Date2]],Table13[[#This Row],[Function Col32]])</f>
        <v>45007</v>
      </c>
      <c r="Q440" s="4">
        <v>45007</v>
      </c>
      <c r="R440" s="1" t="s">
        <v>30</v>
      </c>
      <c r="S440" s="1" t="s">
        <v>53</v>
      </c>
      <c r="T440" s="1" t="s">
        <v>61</v>
      </c>
      <c r="U440" s="1"/>
      <c r="W440">
        <f>IF(Table1[[#This Row],[Claim_Amount]]&lt;0,0,Table1[[#This Row],[Claim_Amount]])</f>
        <v>0</v>
      </c>
      <c r="X440" t="str">
        <f>IF(Table1[[#This Row],[Column1]]=0,"",Table1[[#This Row],[Column1]])</f>
        <v/>
      </c>
      <c r="Y440" t="s">
        <v>1098</v>
      </c>
      <c r="Z440">
        <v>2481</v>
      </c>
      <c r="AA440" s="1">
        <v>249.4</v>
      </c>
      <c r="AB440" s="1" t="s">
        <v>25</v>
      </c>
      <c r="AC440" s="1" t="s">
        <v>32</v>
      </c>
      <c r="AD440">
        <v>9</v>
      </c>
      <c r="AE440" s="3" t="s">
        <v>27</v>
      </c>
    </row>
    <row r="441" spans="1:31" ht="15.75" customHeight="1" x14ac:dyDescent="0.35">
      <c r="A441" s="1" t="s">
        <v>261</v>
      </c>
      <c r="B441" s="1" t="s">
        <v>674</v>
      </c>
      <c r="C441" s="1" t="s">
        <v>119</v>
      </c>
      <c r="D441" s="1" t="s">
        <v>675</v>
      </c>
      <c r="E441" s="5">
        <v>45142</v>
      </c>
      <c r="F441" s="4" t="str">
        <f>IF(ISNUMBER(Table13[[#This Row],[Claim_Date2]]),"",Table13[[#This Row],[Claim_Date2]])</f>
        <v/>
      </c>
      <c r="G441" s="4" t="s">
        <v>1098</v>
      </c>
      <c r="H441" s="4" t="str">
        <f>LEFT(Table13[[#This Row],[Values Col 1]],3)</f>
        <v/>
      </c>
      <c r="I441" s="4" t="s">
        <v>1098</v>
      </c>
      <c r="J441" s="4" t="str">
        <f>MID(Table13[[#This Row],[Function Col]],5,2)</f>
        <v/>
      </c>
      <c r="K441" s="4" t="s">
        <v>1098</v>
      </c>
      <c r="L441" s="4" t="str">
        <f>RIGHT(Table13[[#This Row],[Function Col]],4)</f>
        <v/>
      </c>
      <c r="M441" s="4" t="s">
        <v>1098</v>
      </c>
      <c r="N441" s="4" t="str">
        <f>IF(Table13[[#This Row],[Function Col5]]="","",_xlfn.CONCAT(Table13[[#This Row],[Day Col]],"/",Table13[[#This Row],[Month Col]],"/",Table13[[#This Row],[Year Col]]))</f>
        <v/>
      </c>
      <c r="O441" s="4" t="s">
        <v>1098</v>
      </c>
      <c r="P441" s="4">
        <f>IF(ISNUMBER(Table13[[#This Row],[Claim_Date2]]),Table13[[#This Row],[Claim_Date2]],Table13[[#This Row],[Function Col32]])</f>
        <v>45142</v>
      </c>
      <c r="Q441" s="4">
        <v>45142</v>
      </c>
      <c r="R441" s="1" t="s">
        <v>92</v>
      </c>
      <c r="S441" s="1" t="s">
        <v>93</v>
      </c>
      <c r="T441" s="1" t="s">
        <v>24</v>
      </c>
      <c r="U441" s="1"/>
      <c r="V441" s="1">
        <v>4104.67</v>
      </c>
      <c r="W441" s="1">
        <f>IF(Table1[[#This Row],[Claim_Amount]]&lt;0,0,Table1[[#This Row],[Claim_Amount]])</f>
        <v>4104.67</v>
      </c>
      <c r="X441" s="1">
        <f>IF(Table1[[#This Row],[Column1]]=0,"",Table1[[#This Row],[Column1]])</f>
        <v>4104.67</v>
      </c>
      <c r="Y441" s="1">
        <v>4104.67</v>
      </c>
      <c r="Z441" s="1">
        <v>4104.67</v>
      </c>
      <c r="AA441">
        <v>832</v>
      </c>
      <c r="AB441" s="1" t="s">
        <v>25</v>
      </c>
      <c r="AC441" s="1" t="s">
        <v>26</v>
      </c>
      <c r="AD441">
        <v>9</v>
      </c>
      <c r="AE441" s="3" t="s">
        <v>1097</v>
      </c>
    </row>
    <row r="442" spans="1:31" ht="15.75" customHeight="1" x14ac:dyDescent="0.35">
      <c r="A442" s="1" t="s">
        <v>192</v>
      </c>
      <c r="B442" t="s">
        <v>1083</v>
      </c>
      <c r="C442" t="s">
        <v>1084</v>
      </c>
      <c r="D442" s="1" t="s">
        <v>676</v>
      </c>
      <c r="E442" s="5">
        <v>45170</v>
      </c>
      <c r="F442" s="4" t="str">
        <f>IF(ISNUMBER(Table13[[#This Row],[Claim_Date2]]),"",Table13[[#This Row],[Claim_Date2]])</f>
        <v/>
      </c>
      <c r="G442" s="4" t="s">
        <v>1098</v>
      </c>
      <c r="H442" s="4" t="str">
        <f>LEFT(Table13[[#This Row],[Values Col 1]],3)</f>
        <v/>
      </c>
      <c r="I442" s="4" t="s">
        <v>1098</v>
      </c>
      <c r="J442" s="4" t="str">
        <f>MID(Table13[[#This Row],[Function Col]],5,2)</f>
        <v/>
      </c>
      <c r="K442" s="4" t="s">
        <v>1098</v>
      </c>
      <c r="L442" s="4" t="str">
        <f>RIGHT(Table13[[#This Row],[Function Col]],4)</f>
        <v/>
      </c>
      <c r="M442" s="4" t="s">
        <v>1098</v>
      </c>
      <c r="N442" s="4" t="str">
        <f>IF(Table13[[#This Row],[Function Col5]]="","",_xlfn.CONCAT(Table13[[#This Row],[Day Col]],"/",Table13[[#This Row],[Month Col]],"/",Table13[[#This Row],[Year Col]]))</f>
        <v/>
      </c>
      <c r="O442" s="4" t="s">
        <v>1098</v>
      </c>
      <c r="P442" s="4">
        <f>IF(ISNUMBER(Table13[[#This Row],[Claim_Date2]]),Table13[[#This Row],[Claim_Date2]],Table13[[#This Row],[Function Col32]])</f>
        <v>45170</v>
      </c>
      <c r="Q442" s="4">
        <v>45170</v>
      </c>
      <c r="R442" s="1" t="s">
        <v>30</v>
      </c>
      <c r="S442" t="s">
        <v>1085</v>
      </c>
      <c r="T442" s="1" t="s">
        <v>48</v>
      </c>
      <c r="U442" s="1"/>
      <c r="V442" s="1">
        <v>-180</v>
      </c>
      <c r="W442" s="1">
        <f>IF(Table1[[#This Row],[Claim_Amount]]&lt;0,0,Table1[[#This Row],[Claim_Amount]])</f>
        <v>0</v>
      </c>
      <c r="X442" s="1" t="str">
        <f>IF(Table1[[#This Row],[Column1]]=0,"",Table1[[#This Row],[Column1]])</f>
        <v/>
      </c>
      <c r="Y442" s="1" t="s">
        <v>1098</v>
      </c>
      <c r="Z442" s="1">
        <v>2481</v>
      </c>
      <c r="AA442">
        <v>832</v>
      </c>
      <c r="AB442" s="1" t="s">
        <v>42</v>
      </c>
      <c r="AC442" s="1" t="s">
        <v>26</v>
      </c>
      <c r="AD442">
        <v>9</v>
      </c>
      <c r="AE442" s="3" t="s">
        <v>1097</v>
      </c>
    </row>
    <row r="443" spans="1:31" ht="15.75" customHeight="1" x14ac:dyDescent="0.35">
      <c r="A443" s="1" t="s">
        <v>70</v>
      </c>
      <c r="B443" s="1" t="s">
        <v>677</v>
      </c>
      <c r="C443" t="s">
        <v>1084</v>
      </c>
      <c r="D443" s="1" t="s">
        <v>678</v>
      </c>
      <c r="E443" s="5">
        <v>44950</v>
      </c>
      <c r="F443" s="4" t="str">
        <f>IF(ISNUMBER(Table13[[#This Row],[Claim_Date2]]),"",Table13[[#This Row],[Claim_Date2]])</f>
        <v/>
      </c>
      <c r="G443" s="4" t="s">
        <v>1098</v>
      </c>
      <c r="H443" s="4" t="str">
        <f>LEFT(Table13[[#This Row],[Values Col 1]],3)</f>
        <v/>
      </c>
      <c r="I443" s="4" t="s">
        <v>1098</v>
      </c>
      <c r="J443" s="4" t="str">
        <f>MID(Table13[[#This Row],[Function Col]],5,2)</f>
        <v/>
      </c>
      <c r="K443" s="4" t="s">
        <v>1098</v>
      </c>
      <c r="L443" s="4" t="str">
        <f>RIGHT(Table13[[#This Row],[Function Col]],4)</f>
        <v/>
      </c>
      <c r="M443" s="4" t="s">
        <v>1098</v>
      </c>
      <c r="N443" s="4" t="str">
        <f>IF(Table13[[#This Row],[Function Col5]]="","",_xlfn.CONCAT(Table13[[#This Row],[Day Col]],"/",Table13[[#This Row],[Month Col]],"/",Table13[[#This Row],[Year Col]]))</f>
        <v/>
      </c>
      <c r="O443" s="4" t="s">
        <v>1098</v>
      </c>
      <c r="P443" s="4">
        <f>IF(ISNUMBER(Table13[[#This Row],[Claim_Date2]]),Table13[[#This Row],[Claim_Date2]],Table13[[#This Row],[Function Col32]])</f>
        <v>44950</v>
      </c>
      <c r="Q443" s="4">
        <v>44950</v>
      </c>
      <c r="R443" s="1" t="s">
        <v>16</v>
      </c>
      <c r="S443" s="1" t="s">
        <v>31</v>
      </c>
      <c r="T443" t="s">
        <v>1086</v>
      </c>
      <c r="V443" s="1">
        <v>488.22</v>
      </c>
      <c r="W443" s="1">
        <f>IF(Table1[[#This Row],[Claim_Amount]]&lt;0,0,Table1[[#This Row],[Claim_Amount]])</f>
        <v>488.22</v>
      </c>
      <c r="X443" s="1">
        <f>IF(Table1[[#This Row],[Column1]]=0,"",Table1[[#This Row],[Column1]])</f>
        <v>488.22</v>
      </c>
      <c r="Y443" s="1">
        <v>488.22</v>
      </c>
      <c r="Z443" s="1">
        <v>488.22</v>
      </c>
      <c r="AA443">
        <v>832</v>
      </c>
      <c r="AB443" s="1" t="s">
        <v>42</v>
      </c>
      <c r="AC443" s="1" t="s">
        <v>57</v>
      </c>
      <c r="AD443" s="1">
        <v>41</v>
      </c>
      <c r="AE443" s="3" t="s">
        <v>1097</v>
      </c>
    </row>
    <row r="444" spans="1:31" ht="15.75" customHeight="1" x14ac:dyDescent="0.35">
      <c r="A444" s="1" t="s">
        <v>96</v>
      </c>
      <c r="B444" t="s">
        <v>1083</v>
      </c>
      <c r="C444" s="1" t="s">
        <v>174</v>
      </c>
      <c r="D444" s="1" t="s">
        <v>679</v>
      </c>
      <c r="E444" s="5">
        <v>45194</v>
      </c>
      <c r="F444" s="4" t="str">
        <f>IF(ISNUMBER(Table13[[#This Row],[Claim_Date2]]),"",Table13[[#This Row],[Claim_Date2]])</f>
        <v/>
      </c>
      <c r="G444" s="4" t="s">
        <v>1098</v>
      </c>
      <c r="H444" s="4" t="str">
        <f>LEFT(Table13[[#This Row],[Values Col 1]],3)</f>
        <v/>
      </c>
      <c r="I444" s="4" t="s">
        <v>1098</v>
      </c>
      <c r="J444" s="4" t="str">
        <f>MID(Table13[[#This Row],[Function Col]],5,2)</f>
        <v/>
      </c>
      <c r="K444" s="4" t="s">
        <v>1098</v>
      </c>
      <c r="L444" s="4" t="str">
        <f>RIGHT(Table13[[#This Row],[Function Col]],4)</f>
        <v/>
      </c>
      <c r="M444" s="4" t="s">
        <v>1098</v>
      </c>
      <c r="N444" s="4" t="str">
        <f>IF(Table13[[#This Row],[Function Col5]]="","",_xlfn.CONCAT(Table13[[#This Row],[Day Col]],"/",Table13[[#This Row],[Month Col]],"/",Table13[[#This Row],[Year Col]]))</f>
        <v/>
      </c>
      <c r="O444" s="4" t="s">
        <v>1098</v>
      </c>
      <c r="P444" s="4">
        <f>IF(ISNUMBER(Table13[[#This Row],[Claim_Date2]]),Table13[[#This Row],[Claim_Date2]],Table13[[#This Row],[Function Col32]])</f>
        <v>45194</v>
      </c>
      <c r="Q444" s="4">
        <v>45194</v>
      </c>
      <c r="R444" s="1" t="s">
        <v>30</v>
      </c>
      <c r="S444" s="1" t="s">
        <v>23</v>
      </c>
      <c r="T444" s="1" t="s">
        <v>61</v>
      </c>
      <c r="U444" s="1"/>
      <c r="W444">
        <f>IF(Table1[[#This Row],[Claim_Amount]]&lt;0,0,Table1[[#This Row],[Claim_Amount]])</f>
        <v>0</v>
      </c>
      <c r="X444" t="str">
        <f>IF(Table1[[#This Row],[Column1]]=0,"",Table1[[#This Row],[Column1]])</f>
        <v/>
      </c>
      <c r="Y444" t="s">
        <v>1098</v>
      </c>
      <c r="Z444">
        <v>2481</v>
      </c>
      <c r="AA444">
        <v>832</v>
      </c>
      <c r="AB444" s="1" t="s">
        <v>17</v>
      </c>
      <c r="AC444" s="1" t="s">
        <v>18</v>
      </c>
      <c r="AD444">
        <v>9</v>
      </c>
      <c r="AE444" s="3" t="s">
        <v>1097</v>
      </c>
    </row>
    <row r="445" spans="1:31" ht="15.75" customHeight="1" x14ac:dyDescent="0.35">
      <c r="A445" s="1" t="s">
        <v>215</v>
      </c>
      <c r="B445" t="s">
        <v>1083</v>
      </c>
      <c r="C445" t="s">
        <v>1084</v>
      </c>
      <c r="D445" s="1" t="s">
        <v>680</v>
      </c>
      <c r="E445" s="5">
        <v>45228</v>
      </c>
      <c r="F445" s="4" t="str">
        <f>IF(ISNUMBER(Table13[[#This Row],[Claim_Date2]]),"",Table13[[#This Row],[Claim_Date2]])</f>
        <v/>
      </c>
      <c r="G445" s="4" t="s">
        <v>1098</v>
      </c>
      <c r="H445" s="4" t="str">
        <f>LEFT(Table13[[#This Row],[Values Col 1]],3)</f>
        <v/>
      </c>
      <c r="I445" s="4" t="s">
        <v>1098</v>
      </c>
      <c r="J445" s="4" t="str">
        <f>MID(Table13[[#This Row],[Function Col]],5,2)</f>
        <v/>
      </c>
      <c r="K445" s="4" t="s">
        <v>1098</v>
      </c>
      <c r="L445" s="4" t="str">
        <f>RIGHT(Table13[[#This Row],[Function Col]],4)</f>
        <v/>
      </c>
      <c r="M445" s="4" t="s">
        <v>1098</v>
      </c>
      <c r="N445" s="4" t="str">
        <f>IF(Table13[[#This Row],[Function Col5]]="","",_xlfn.CONCAT(Table13[[#This Row],[Day Col]],"/",Table13[[#This Row],[Month Col]],"/",Table13[[#This Row],[Year Col]]))</f>
        <v/>
      </c>
      <c r="O445" s="4" t="s">
        <v>1098</v>
      </c>
      <c r="P445" s="4">
        <f>IF(ISNUMBER(Table13[[#This Row],[Claim_Date2]]),Table13[[#This Row],[Claim_Date2]],Table13[[#This Row],[Function Col32]])</f>
        <v>45228</v>
      </c>
      <c r="Q445" s="4">
        <v>45228</v>
      </c>
      <c r="R445" s="1" t="s">
        <v>85</v>
      </c>
      <c r="S445" s="1" t="s">
        <v>23</v>
      </c>
      <c r="T445" s="1" t="s">
        <v>41</v>
      </c>
      <c r="U445" s="1"/>
      <c r="V445" s="1">
        <v>2213.2399999999998</v>
      </c>
      <c r="W445" s="1">
        <f>IF(Table1[[#This Row],[Claim_Amount]]&lt;0,0,Table1[[#This Row],[Claim_Amount]])</f>
        <v>2213.2399999999998</v>
      </c>
      <c r="X445" s="1">
        <f>IF(Table1[[#This Row],[Column1]]=0,"",Table1[[#This Row],[Column1]])</f>
        <v>2213.2399999999998</v>
      </c>
      <c r="Y445" s="1">
        <v>2213.2399999999998</v>
      </c>
      <c r="Z445" s="1">
        <v>2213.2399999999998</v>
      </c>
      <c r="AA445">
        <v>832</v>
      </c>
      <c r="AB445" s="1" t="s">
        <v>25</v>
      </c>
      <c r="AC445" s="1" t="s">
        <v>32</v>
      </c>
      <c r="AD445" s="1">
        <v>5</v>
      </c>
      <c r="AE445" s="3" t="s">
        <v>19</v>
      </c>
    </row>
    <row r="446" spans="1:31" ht="15.75" customHeight="1" x14ac:dyDescent="0.35">
      <c r="A446" s="1" t="s">
        <v>73</v>
      </c>
      <c r="B446" t="s">
        <v>1083</v>
      </c>
      <c r="C446" s="1" t="s">
        <v>119</v>
      </c>
      <c r="D446" s="1" t="s">
        <v>681</v>
      </c>
      <c r="E446" s="5">
        <v>44972</v>
      </c>
      <c r="F446" s="4" t="str">
        <f>IF(ISNUMBER(Table13[[#This Row],[Claim_Date2]]),"",Table13[[#This Row],[Claim_Date2]])</f>
        <v/>
      </c>
      <c r="G446" s="4" t="s">
        <v>1098</v>
      </c>
      <c r="H446" s="4" t="str">
        <f>LEFT(Table13[[#This Row],[Values Col 1]],3)</f>
        <v/>
      </c>
      <c r="I446" s="4" t="s">
        <v>1098</v>
      </c>
      <c r="J446" s="4" t="str">
        <f>MID(Table13[[#This Row],[Function Col]],5,2)</f>
        <v/>
      </c>
      <c r="K446" s="4" t="s">
        <v>1098</v>
      </c>
      <c r="L446" s="4" t="str">
        <f>RIGHT(Table13[[#This Row],[Function Col]],4)</f>
        <v/>
      </c>
      <c r="M446" s="4" t="s">
        <v>1098</v>
      </c>
      <c r="N446" s="4" t="str">
        <f>IF(Table13[[#This Row],[Function Col5]]="","",_xlfn.CONCAT(Table13[[#This Row],[Day Col]],"/",Table13[[#This Row],[Month Col]],"/",Table13[[#This Row],[Year Col]]))</f>
        <v/>
      </c>
      <c r="O446" s="4" t="s">
        <v>1098</v>
      </c>
      <c r="P446" s="4">
        <f>IF(ISNUMBER(Table13[[#This Row],[Claim_Date2]]),Table13[[#This Row],[Claim_Date2]],Table13[[#This Row],[Function Col32]])</f>
        <v>44972</v>
      </c>
      <c r="Q446" s="4">
        <v>44972</v>
      </c>
      <c r="R446" s="1" t="s">
        <v>77</v>
      </c>
      <c r="S446" t="s">
        <v>1085</v>
      </c>
      <c r="T446" s="1" t="s">
        <v>24</v>
      </c>
      <c r="U446" s="1"/>
      <c r="W446">
        <f>IF(Table1[[#This Row],[Claim_Amount]]&lt;0,0,Table1[[#This Row],[Claim_Amount]])</f>
        <v>0</v>
      </c>
      <c r="X446" t="str">
        <f>IF(Table1[[#This Row],[Column1]]=0,"",Table1[[#This Row],[Column1]])</f>
        <v/>
      </c>
      <c r="Y446" t="s">
        <v>1098</v>
      </c>
      <c r="Z446">
        <v>2481</v>
      </c>
      <c r="AA446" s="1">
        <v>184.5</v>
      </c>
      <c r="AB446" s="1" t="s">
        <v>42</v>
      </c>
      <c r="AC446" s="1" t="s">
        <v>1093</v>
      </c>
      <c r="AD446">
        <v>9</v>
      </c>
      <c r="AE446" s="3" t="s">
        <v>65</v>
      </c>
    </row>
    <row r="447" spans="1:31" ht="15.75" customHeight="1" x14ac:dyDescent="0.35">
      <c r="A447" s="1" t="s">
        <v>70</v>
      </c>
      <c r="B447" t="s">
        <v>1083</v>
      </c>
      <c r="C447" s="1" t="s">
        <v>80</v>
      </c>
      <c r="D447" s="1" t="s">
        <v>682</v>
      </c>
      <c r="E447" s="5" t="s">
        <v>682</v>
      </c>
      <c r="F447" s="4" t="str">
        <f>IF(ISNUMBER(Table13[[#This Row],[Claim_Date2]]),"",Table13[[#This Row],[Claim_Date2]])</f>
        <v>May 03 2023</v>
      </c>
      <c r="G447" s="4" t="s">
        <v>682</v>
      </c>
      <c r="H447" s="4" t="str">
        <f>LEFT(Table13[[#This Row],[Values Col 1]],3)</f>
        <v>May</v>
      </c>
      <c r="I447" s="4" t="s">
        <v>1110</v>
      </c>
      <c r="J447" s="4" t="str">
        <f>MID(Table13[[#This Row],[Function Col]],5,2)</f>
        <v>03</v>
      </c>
      <c r="K447" s="4" t="s">
        <v>1141</v>
      </c>
      <c r="L447" s="4" t="str">
        <f>RIGHT(Table13[[#This Row],[Function Col]],4)</f>
        <v>2023</v>
      </c>
      <c r="M447" s="4" t="s">
        <v>1146</v>
      </c>
      <c r="N447" s="4" t="str">
        <f>IF(Table13[[#This Row],[Function Col5]]="","",_xlfn.CONCAT(Table13[[#This Row],[Day Col]],"/",Table13[[#This Row],[Month Col]],"/",Table13[[#This Row],[Year Col]]))</f>
        <v>03/May/2023</v>
      </c>
      <c r="O447" s="4" t="s">
        <v>1269</v>
      </c>
      <c r="P447" s="4" t="str">
        <f>IF(ISNUMBER(Table13[[#This Row],[Claim_Date2]]),Table13[[#This Row],[Claim_Date2]],Table13[[#This Row],[Function Col32]])</f>
        <v>03/May/2023</v>
      </c>
      <c r="Q447" s="4">
        <v>45049</v>
      </c>
      <c r="R447" s="1" t="s">
        <v>30</v>
      </c>
      <c r="S447" s="1" t="s">
        <v>93</v>
      </c>
      <c r="T447" s="1" t="s">
        <v>48</v>
      </c>
      <c r="U447" s="1"/>
      <c r="V447" s="1">
        <v>-139</v>
      </c>
      <c r="W447" s="1">
        <f>IF(Table1[[#This Row],[Claim_Amount]]&lt;0,0,Table1[[#This Row],[Claim_Amount]])</f>
        <v>0</v>
      </c>
      <c r="X447" s="1" t="str">
        <f>IF(Table1[[#This Row],[Column1]]=0,"",Table1[[#This Row],[Column1]])</f>
        <v/>
      </c>
      <c r="Y447" s="1" t="s">
        <v>1098</v>
      </c>
      <c r="Z447" s="1">
        <v>2481</v>
      </c>
      <c r="AA447">
        <v>832</v>
      </c>
      <c r="AB447" s="1" t="s">
        <v>25</v>
      </c>
      <c r="AC447" s="1" t="s">
        <v>32</v>
      </c>
      <c r="AD447">
        <v>9</v>
      </c>
      <c r="AE447" s="3" t="s">
        <v>37</v>
      </c>
    </row>
    <row r="448" spans="1:31" ht="15.75" customHeight="1" x14ac:dyDescent="0.35">
      <c r="A448" s="1" t="s">
        <v>430</v>
      </c>
      <c r="B448" s="1" t="s">
        <v>273</v>
      </c>
      <c r="C448" s="1" t="s">
        <v>305</v>
      </c>
      <c r="D448" s="1" t="s">
        <v>683</v>
      </c>
      <c r="E448" s="5" t="s">
        <v>683</v>
      </c>
      <c r="F448" s="4" t="str">
        <f>IF(ISNUMBER(Table13[[#This Row],[Claim_Date2]]),"",Table13[[#This Row],[Claim_Date2]])</f>
        <v>Oct 11 2023</v>
      </c>
      <c r="G448" s="4" t="s">
        <v>683</v>
      </c>
      <c r="H448" s="4" t="str">
        <f>LEFT(Table13[[#This Row],[Values Col 1]],3)</f>
        <v>Oct</v>
      </c>
      <c r="I448" s="4" t="s">
        <v>1103</v>
      </c>
      <c r="J448" s="4" t="str">
        <f>MID(Table13[[#This Row],[Function Col]],5,2)</f>
        <v>11</v>
      </c>
      <c r="K448" s="4" t="s">
        <v>1121</v>
      </c>
      <c r="L448" s="4" t="str">
        <f>RIGHT(Table13[[#This Row],[Function Col]],4)</f>
        <v>2023</v>
      </c>
      <c r="M448" s="4" t="s">
        <v>1146</v>
      </c>
      <c r="N448" s="4" t="str">
        <f>IF(Table13[[#This Row],[Function Col5]]="","",_xlfn.CONCAT(Table13[[#This Row],[Day Col]],"/",Table13[[#This Row],[Month Col]],"/",Table13[[#This Row],[Year Col]]))</f>
        <v>11/Oct/2023</v>
      </c>
      <c r="O448" s="4" t="s">
        <v>1270</v>
      </c>
      <c r="P448" s="4" t="str">
        <f>IF(ISNUMBER(Table13[[#This Row],[Claim_Date2]]),Table13[[#This Row],[Claim_Date2]],Table13[[#This Row],[Function Col32]])</f>
        <v>11/Oct/2023</v>
      </c>
      <c r="Q448" s="4">
        <v>45210</v>
      </c>
      <c r="R448" s="1" t="s">
        <v>16</v>
      </c>
      <c r="S448" s="1" t="s">
        <v>23</v>
      </c>
      <c r="T448" s="1" t="s">
        <v>24</v>
      </c>
      <c r="U448" s="1"/>
      <c r="W448">
        <f>IF(Table1[[#This Row],[Claim_Amount]]&lt;0,0,Table1[[#This Row],[Claim_Amount]])</f>
        <v>0</v>
      </c>
      <c r="X448" t="str">
        <f>IF(Table1[[#This Row],[Column1]]=0,"",Table1[[#This Row],[Column1]])</f>
        <v/>
      </c>
      <c r="Y448" t="s">
        <v>1098</v>
      </c>
      <c r="Z448">
        <v>2481</v>
      </c>
      <c r="AA448">
        <v>832</v>
      </c>
      <c r="AB448" s="1" t="s">
        <v>25</v>
      </c>
      <c r="AC448" s="1" t="s">
        <v>26</v>
      </c>
      <c r="AD448">
        <v>9</v>
      </c>
      <c r="AE448" s="3" t="s">
        <v>1097</v>
      </c>
    </row>
    <row r="449" spans="1:31" ht="15.75" customHeight="1" x14ac:dyDescent="0.35">
      <c r="A449" s="1" t="s">
        <v>187</v>
      </c>
      <c r="B449" t="s">
        <v>1083</v>
      </c>
      <c r="C449" s="1" t="s">
        <v>174</v>
      </c>
      <c r="D449" s="1" t="s">
        <v>684</v>
      </c>
      <c r="E449" s="5" t="s">
        <v>684</v>
      </c>
      <c r="F449" s="4" t="str">
        <f>IF(ISNUMBER(Table13[[#This Row],[Claim_Date2]]),"",Table13[[#This Row],[Claim_Date2]])</f>
        <v>Aug 05 2023</v>
      </c>
      <c r="G449" s="4" t="s">
        <v>684</v>
      </c>
      <c r="H449" s="4" t="str">
        <f>LEFT(Table13[[#This Row],[Values Col 1]],3)</f>
        <v>Aug</v>
      </c>
      <c r="I449" s="4" t="s">
        <v>1106</v>
      </c>
      <c r="J449" s="4" t="str">
        <f>MID(Table13[[#This Row],[Function Col]],5,2)</f>
        <v>05</v>
      </c>
      <c r="K449" s="4" t="s">
        <v>1144</v>
      </c>
      <c r="L449" s="4" t="str">
        <f>RIGHT(Table13[[#This Row],[Function Col]],4)</f>
        <v>2023</v>
      </c>
      <c r="M449" s="4" t="s">
        <v>1146</v>
      </c>
      <c r="N449" s="4" t="str">
        <f>IF(Table13[[#This Row],[Function Col5]]="","",_xlfn.CONCAT(Table13[[#This Row],[Day Col]],"/",Table13[[#This Row],[Month Col]],"/",Table13[[#This Row],[Year Col]]))</f>
        <v>05/Aug/2023</v>
      </c>
      <c r="O449" s="4" t="s">
        <v>1271</v>
      </c>
      <c r="P449" s="4" t="str">
        <f>IF(ISNUMBER(Table13[[#This Row],[Claim_Date2]]),Table13[[#This Row],[Claim_Date2]],Table13[[#This Row],[Function Col32]])</f>
        <v>05/Aug/2023</v>
      </c>
      <c r="Q449" s="4">
        <v>45143</v>
      </c>
      <c r="R449" s="1" t="s">
        <v>77</v>
      </c>
      <c r="S449" s="1" t="s">
        <v>23</v>
      </c>
      <c r="T449" s="1" t="s">
        <v>61</v>
      </c>
      <c r="U449" s="1"/>
      <c r="W449">
        <f>IF(Table1[[#This Row],[Claim_Amount]]&lt;0,0,Table1[[#This Row],[Claim_Amount]])</f>
        <v>0</v>
      </c>
      <c r="X449" t="str">
        <f>IF(Table1[[#This Row],[Column1]]=0,"",Table1[[#This Row],[Column1]])</f>
        <v/>
      </c>
      <c r="Y449" t="s">
        <v>1098</v>
      </c>
      <c r="Z449">
        <v>2481</v>
      </c>
      <c r="AA449" s="1">
        <v>3282.64</v>
      </c>
      <c r="AB449" s="1" t="s">
        <v>25</v>
      </c>
      <c r="AC449" s="1" t="s">
        <v>26</v>
      </c>
      <c r="AD449">
        <v>9</v>
      </c>
      <c r="AE449" s="3" t="s">
        <v>27</v>
      </c>
    </row>
    <row r="450" spans="1:31" ht="15.75" customHeight="1" x14ac:dyDescent="0.35">
      <c r="A450" s="1" t="s">
        <v>154</v>
      </c>
      <c r="B450" t="s">
        <v>1083</v>
      </c>
      <c r="C450" t="s">
        <v>1084</v>
      </c>
      <c r="D450" s="1" t="s">
        <v>685</v>
      </c>
      <c r="E450" s="5" t="s">
        <v>685</v>
      </c>
      <c r="F450" s="4" t="str">
        <f>IF(ISNUMBER(Table13[[#This Row],[Claim_Date2]]),"",Table13[[#This Row],[Claim_Date2]])</f>
        <v>Oct 27 2023</v>
      </c>
      <c r="G450" s="4" t="s">
        <v>685</v>
      </c>
      <c r="H450" s="4" t="str">
        <f>LEFT(Table13[[#This Row],[Values Col 1]],3)</f>
        <v>Oct</v>
      </c>
      <c r="I450" s="4" t="s">
        <v>1103</v>
      </c>
      <c r="J450" s="4" t="str">
        <f>MID(Table13[[#This Row],[Function Col]],5,2)</f>
        <v>27</v>
      </c>
      <c r="K450" s="4" t="s">
        <v>1124</v>
      </c>
      <c r="L450" s="4" t="str">
        <f>RIGHT(Table13[[#This Row],[Function Col]],4)</f>
        <v>2023</v>
      </c>
      <c r="M450" s="4" t="s">
        <v>1146</v>
      </c>
      <c r="N450" s="4" t="str">
        <f>IF(Table13[[#This Row],[Function Col5]]="","",_xlfn.CONCAT(Table13[[#This Row],[Day Col]],"/",Table13[[#This Row],[Month Col]],"/",Table13[[#This Row],[Year Col]]))</f>
        <v>27/Oct/2023</v>
      </c>
      <c r="O450" s="4" t="s">
        <v>1272</v>
      </c>
      <c r="P450" s="4" t="str">
        <f>IF(ISNUMBER(Table13[[#This Row],[Claim_Date2]]),Table13[[#This Row],[Claim_Date2]],Table13[[#This Row],[Function Col32]])</f>
        <v>27/Oct/2023</v>
      </c>
      <c r="Q450" s="4">
        <v>45226</v>
      </c>
      <c r="R450" s="1" t="s">
        <v>92</v>
      </c>
      <c r="S450" s="1" t="s">
        <v>23</v>
      </c>
      <c r="T450" s="1" t="s">
        <v>24</v>
      </c>
      <c r="U450" s="1"/>
      <c r="V450" s="1">
        <v>3708.96</v>
      </c>
      <c r="W450" s="1">
        <f>IF(Table1[[#This Row],[Claim_Amount]]&lt;0,0,Table1[[#This Row],[Claim_Amount]])</f>
        <v>3708.96</v>
      </c>
      <c r="X450" s="1">
        <f>IF(Table1[[#This Row],[Column1]]=0,"",Table1[[#This Row],[Column1]])</f>
        <v>3708.96</v>
      </c>
      <c r="Y450" s="1">
        <v>3708.96</v>
      </c>
      <c r="Z450" s="1">
        <v>3708.96</v>
      </c>
      <c r="AA450">
        <v>832</v>
      </c>
      <c r="AB450" s="1" t="s">
        <v>25</v>
      </c>
      <c r="AC450" s="1" t="s">
        <v>18</v>
      </c>
      <c r="AD450">
        <v>9</v>
      </c>
      <c r="AE450" s="3" t="s">
        <v>27</v>
      </c>
    </row>
    <row r="451" spans="1:31" ht="15.75" customHeight="1" x14ac:dyDescent="0.35">
      <c r="A451" s="1" t="s">
        <v>62</v>
      </c>
      <c r="B451" t="s">
        <v>1083</v>
      </c>
      <c r="C451" t="s">
        <v>1084</v>
      </c>
      <c r="D451" s="1" t="s">
        <v>686</v>
      </c>
      <c r="E451" s="5">
        <v>45102</v>
      </c>
      <c r="F451" s="4" t="str">
        <f>IF(ISNUMBER(Table13[[#This Row],[Claim_Date2]]),"",Table13[[#This Row],[Claim_Date2]])</f>
        <v/>
      </c>
      <c r="G451" s="4" t="s">
        <v>1098</v>
      </c>
      <c r="H451" s="4" t="str">
        <f>LEFT(Table13[[#This Row],[Values Col 1]],3)</f>
        <v/>
      </c>
      <c r="I451" s="4" t="s">
        <v>1098</v>
      </c>
      <c r="J451" s="4" t="str">
        <f>MID(Table13[[#This Row],[Function Col]],5,2)</f>
        <v/>
      </c>
      <c r="K451" s="4" t="s">
        <v>1098</v>
      </c>
      <c r="L451" s="4" t="str">
        <f>RIGHT(Table13[[#This Row],[Function Col]],4)</f>
        <v/>
      </c>
      <c r="M451" s="4" t="s">
        <v>1098</v>
      </c>
      <c r="N451" s="4" t="str">
        <f>IF(Table13[[#This Row],[Function Col5]]="","",_xlfn.CONCAT(Table13[[#This Row],[Day Col]],"/",Table13[[#This Row],[Month Col]],"/",Table13[[#This Row],[Year Col]]))</f>
        <v/>
      </c>
      <c r="O451" s="4" t="s">
        <v>1098</v>
      </c>
      <c r="P451" s="4">
        <f>IF(ISNUMBER(Table13[[#This Row],[Claim_Date2]]),Table13[[#This Row],[Claim_Date2]],Table13[[#This Row],[Function Col32]])</f>
        <v>45102</v>
      </c>
      <c r="Q451" s="4">
        <v>45102</v>
      </c>
      <c r="R451" s="1" t="s">
        <v>85</v>
      </c>
      <c r="S451" t="s">
        <v>1085</v>
      </c>
      <c r="T451" s="1" t="s">
        <v>48</v>
      </c>
      <c r="U451" s="1"/>
      <c r="W451">
        <f>IF(Table1[[#This Row],[Claim_Amount]]&lt;0,0,Table1[[#This Row],[Claim_Amount]])</f>
        <v>0</v>
      </c>
      <c r="X451" t="str">
        <f>IF(Table1[[#This Row],[Column1]]=0,"",Table1[[#This Row],[Column1]])</f>
        <v/>
      </c>
      <c r="Y451" t="s">
        <v>1098</v>
      </c>
      <c r="Z451">
        <v>2481</v>
      </c>
      <c r="AA451">
        <v>832</v>
      </c>
      <c r="AB451" s="1" t="s">
        <v>1091</v>
      </c>
      <c r="AC451" s="1" t="s">
        <v>32</v>
      </c>
      <c r="AD451">
        <v>9</v>
      </c>
      <c r="AE451" s="3" t="s">
        <v>65</v>
      </c>
    </row>
    <row r="452" spans="1:31" ht="15.75" customHeight="1" x14ac:dyDescent="0.35">
      <c r="A452" s="1" t="s">
        <v>43</v>
      </c>
      <c r="B452" t="s">
        <v>1083</v>
      </c>
      <c r="C452" s="1" t="s">
        <v>458</v>
      </c>
      <c r="D452" s="1" t="s">
        <v>181</v>
      </c>
      <c r="E452" s="5">
        <v>45271</v>
      </c>
      <c r="F452" s="4" t="str">
        <f>IF(ISNUMBER(Table13[[#This Row],[Claim_Date2]]),"",Table13[[#This Row],[Claim_Date2]])</f>
        <v/>
      </c>
      <c r="G452" s="4" t="s">
        <v>1098</v>
      </c>
      <c r="H452" s="4" t="str">
        <f>LEFT(Table13[[#This Row],[Values Col 1]],3)</f>
        <v/>
      </c>
      <c r="I452" s="4" t="s">
        <v>1098</v>
      </c>
      <c r="J452" s="4" t="str">
        <f>MID(Table13[[#This Row],[Function Col]],5,2)</f>
        <v/>
      </c>
      <c r="K452" s="4" t="s">
        <v>1098</v>
      </c>
      <c r="L452" s="4" t="str">
        <f>RIGHT(Table13[[#This Row],[Function Col]],4)</f>
        <v/>
      </c>
      <c r="M452" s="4" t="s">
        <v>1098</v>
      </c>
      <c r="N452" s="4" t="str">
        <f>IF(Table13[[#This Row],[Function Col5]]="","",_xlfn.CONCAT(Table13[[#This Row],[Day Col]],"/",Table13[[#This Row],[Month Col]],"/",Table13[[#This Row],[Year Col]]))</f>
        <v/>
      </c>
      <c r="O452" s="4" t="s">
        <v>1098</v>
      </c>
      <c r="P452" s="4">
        <f>IF(ISNUMBER(Table13[[#This Row],[Claim_Date2]]),Table13[[#This Row],[Claim_Date2]],Table13[[#This Row],[Function Col32]])</f>
        <v>45271</v>
      </c>
      <c r="Q452" s="4">
        <v>45271</v>
      </c>
      <c r="R452" s="1" t="s">
        <v>30</v>
      </c>
      <c r="S452" t="s">
        <v>1085</v>
      </c>
      <c r="T452" t="s">
        <v>1086</v>
      </c>
      <c r="V452" s="1">
        <v>2470.4299999999998</v>
      </c>
      <c r="W452" s="1">
        <f>IF(Table1[[#This Row],[Claim_Amount]]&lt;0,0,Table1[[#This Row],[Claim_Amount]])</f>
        <v>2470.4299999999998</v>
      </c>
      <c r="X452" s="1">
        <f>IF(Table1[[#This Row],[Column1]]=0,"",Table1[[#This Row],[Column1]])</f>
        <v>2470.4299999999998</v>
      </c>
      <c r="Y452" s="1">
        <v>2470.4299999999998</v>
      </c>
      <c r="Z452" s="1">
        <v>2470.4299999999998</v>
      </c>
      <c r="AA452">
        <v>832</v>
      </c>
      <c r="AB452" s="1" t="s">
        <v>25</v>
      </c>
      <c r="AC452" s="1" t="s">
        <v>57</v>
      </c>
      <c r="AD452">
        <v>9</v>
      </c>
      <c r="AE452" s="3" t="s">
        <v>37</v>
      </c>
    </row>
    <row r="453" spans="1:31" ht="15.75" customHeight="1" x14ac:dyDescent="0.35">
      <c r="A453" s="1" t="s">
        <v>275</v>
      </c>
      <c r="B453" t="s">
        <v>1083</v>
      </c>
      <c r="C453" t="s">
        <v>1084</v>
      </c>
      <c r="D453" s="1" t="s">
        <v>377</v>
      </c>
      <c r="E453" s="5">
        <v>45125</v>
      </c>
      <c r="F453" s="4" t="str">
        <f>IF(ISNUMBER(Table13[[#This Row],[Claim_Date2]]),"",Table13[[#This Row],[Claim_Date2]])</f>
        <v/>
      </c>
      <c r="G453" s="4" t="s">
        <v>1098</v>
      </c>
      <c r="H453" s="4" t="str">
        <f>LEFT(Table13[[#This Row],[Values Col 1]],3)</f>
        <v/>
      </c>
      <c r="I453" s="4" t="s">
        <v>1098</v>
      </c>
      <c r="J453" s="4" t="str">
        <f>MID(Table13[[#This Row],[Function Col]],5,2)</f>
        <v/>
      </c>
      <c r="K453" s="4" t="s">
        <v>1098</v>
      </c>
      <c r="L453" s="4" t="str">
        <f>RIGHT(Table13[[#This Row],[Function Col]],4)</f>
        <v/>
      </c>
      <c r="M453" s="4" t="s">
        <v>1098</v>
      </c>
      <c r="N453" s="4" t="str">
        <f>IF(Table13[[#This Row],[Function Col5]]="","",_xlfn.CONCAT(Table13[[#This Row],[Day Col]],"/",Table13[[#This Row],[Month Col]],"/",Table13[[#This Row],[Year Col]]))</f>
        <v/>
      </c>
      <c r="O453" s="4" t="s">
        <v>1098</v>
      </c>
      <c r="P453" s="4">
        <f>IF(ISNUMBER(Table13[[#This Row],[Claim_Date2]]),Table13[[#This Row],[Claim_Date2]],Table13[[#This Row],[Function Col32]])</f>
        <v>45125</v>
      </c>
      <c r="Q453" s="4">
        <v>45125</v>
      </c>
      <c r="R453" s="1" t="s">
        <v>16</v>
      </c>
      <c r="S453" s="1" t="s">
        <v>53</v>
      </c>
      <c r="T453" s="1" t="s">
        <v>41</v>
      </c>
      <c r="U453" s="1"/>
      <c r="V453" s="1">
        <v>4684.43</v>
      </c>
      <c r="W453" s="1">
        <f>IF(Table1[[#This Row],[Claim_Amount]]&lt;0,0,Table1[[#This Row],[Claim_Amount]])</f>
        <v>4684.43</v>
      </c>
      <c r="X453" s="1">
        <f>IF(Table1[[#This Row],[Column1]]=0,"",Table1[[#This Row],[Column1]])</f>
        <v>4684.43</v>
      </c>
      <c r="Y453" s="1">
        <v>4684.43</v>
      </c>
      <c r="Z453" s="1">
        <v>4684.43</v>
      </c>
      <c r="AA453" s="1">
        <v>1146.53</v>
      </c>
      <c r="AB453" s="1" t="s">
        <v>42</v>
      </c>
      <c r="AC453" s="1" t="s">
        <v>32</v>
      </c>
      <c r="AD453" s="1">
        <v>12</v>
      </c>
      <c r="AE453" s="3" t="s">
        <v>1097</v>
      </c>
    </row>
    <row r="454" spans="1:31" ht="15.75" customHeight="1" x14ac:dyDescent="0.35">
      <c r="A454" s="1" t="s">
        <v>13</v>
      </c>
      <c r="B454" t="s">
        <v>1083</v>
      </c>
      <c r="C454" s="1" t="s">
        <v>581</v>
      </c>
      <c r="D454" s="1" t="s">
        <v>687</v>
      </c>
      <c r="E454" s="5">
        <v>45112</v>
      </c>
      <c r="F454" s="4" t="str">
        <f>IF(ISNUMBER(Table13[[#This Row],[Claim_Date2]]),"",Table13[[#This Row],[Claim_Date2]])</f>
        <v/>
      </c>
      <c r="G454" s="4" t="s">
        <v>1098</v>
      </c>
      <c r="H454" s="4" t="str">
        <f>LEFT(Table13[[#This Row],[Values Col 1]],3)</f>
        <v/>
      </c>
      <c r="I454" s="4" t="s">
        <v>1098</v>
      </c>
      <c r="J454" s="4" t="str">
        <f>MID(Table13[[#This Row],[Function Col]],5,2)</f>
        <v/>
      </c>
      <c r="K454" s="4" t="s">
        <v>1098</v>
      </c>
      <c r="L454" s="4" t="str">
        <f>RIGHT(Table13[[#This Row],[Function Col]],4)</f>
        <v/>
      </c>
      <c r="M454" s="4" t="s">
        <v>1098</v>
      </c>
      <c r="N454" s="4" t="str">
        <f>IF(Table13[[#This Row],[Function Col5]]="","",_xlfn.CONCAT(Table13[[#This Row],[Day Col]],"/",Table13[[#This Row],[Month Col]],"/",Table13[[#This Row],[Year Col]]))</f>
        <v/>
      </c>
      <c r="O454" s="4" t="s">
        <v>1098</v>
      </c>
      <c r="P454" s="4">
        <f>IF(ISNUMBER(Table13[[#This Row],[Claim_Date2]]),Table13[[#This Row],[Claim_Date2]],Table13[[#This Row],[Function Col32]])</f>
        <v>45112</v>
      </c>
      <c r="Q454" s="4">
        <v>45112</v>
      </c>
      <c r="R454" s="1" t="s">
        <v>77</v>
      </c>
      <c r="S454" t="s">
        <v>1085</v>
      </c>
      <c r="T454" t="s">
        <v>1086</v>
      </c>
      <c r="W454">
        <f>IF(Table1[[#This Row],[Claim_Amount]]&lt;0,0,Table1[[#This Row],[Claim_Amount]])</f>
        <v>0</v>
      </c>
      <c r="X454" t="str">
        <f>IF(Table1[[#This Row],[Column1]]=0,"",Table1[[#This Row],[Column1]])</f>
        <v/>
      </c>
      <c r="Y454" t="s">
        <v>1098</v>
      </c>
      <c r="Z454">
        <v>2481</v>
      </c>
      <c r="AA454">
        <v>832</v>
      </c>
      <c r="AB454" s="1" t="s">
        <v>25</v>
      </c>
      <c r="AC454" s="1" t="s">
        <v>26</v>
      </c>
      <c r="AD454">
        <v>9</v>
      </c>
      <c r="AE454" s="3" t="s">
        <v>1097</v>
      </c>
    </row>
    <row r="455" spans="1:31" ht="15.75" customHeight="1" x14ac:dyDescent="0.35">
      <c r="A455" s="1" t="s">
        <v>163</v>
      </c>
      <c r="B455" s="1" t="s">
        <v>688</v>
      </c>
      <c r="C455" s="1" t="s">
        <v>228</v>
      </c>
      <c r="D455" s="1" t="s">
        <v>291</v>
      </c>
      <c r="E455" s="5" t="s">
        <v>291</v>
      </c>
      <c r="F455" s="4" t="str">
        <f>IF(ISNUMBER(Table13[[#This Row],[Claim_Date2]]),"",Table13[[#This Row],[Claim_Date2]])</f>
        <v>Dec 11 2023</v>
      </c>
      <c r="G455" s="4" t="s">
        <v>291</v>
      </c>
      <c r="H455" s="4" t="str">
        <f>LEFT(Table13[[#This Row],[Values Col 1]],3)</f>
        <v>Dec</v>
      </c>
      <c r="I455" s="4" t="s">
        <v>1111</v>
      </c>
      <c r="J455" s="4" t="str">
        <f>MID(Table13[[#This Row],[Function Col]],5,2)</f>
        <v>11</v>
      </c>
      <c r="K455" s="4" t="s">
        <v>1121</v>
      </c>
      <c r="L455" s="4" t="str">
        <f>RIGHT(Table13[[#This Row],[Function Col]],4)</f>
        <v>2023</v>
      </c>
      <c r="M455" s="4" t="s">
        <v>1146</v>
      </c>
      <c r="N455" s="4" t="str">
        <f>IF(Table13[[#This Row],[Function Col5]]="","",_xlfn.CONCAT(Table13[[#This Row],[Day Col]],"/",Table13[[#This Row],[Month Col]],"/",Table13[[#This Row],[Year Col]]))</f>
        <v>11/Dec/2023</v>
      </c>
      <c r="O455" s="4" t="s">
        <v>1185</v>
      </c>
      <c r="P455" s="4" t="str">
        <f>IF(ISNUMBER(Table13[[#This Row],[Claim_Date2]]),Table13[[#This Row],[Claim_Date2]],Table13[[#This Row],[Function Col32]])</f>
        <v>11/Dec/2023</v>
      </c>
      <c r="Q455" s="4">
        <v>45271</v>
      </c>
      <c r="R455" s="1" t="s">
        <v>30</v>
      </c>
      <c r="S455" s="1" t="s">
        <v>47</v>
      </c>
      <c r="T455" s="1" t="s">
        <v>24</v>
      </c>
      <c r="U455" s="1"/>
      <c r="V455" s="1">
        <v>373.54</v>
      </c>
      <c r="W455" s="1">
        <f>IF(Table1[[#This Row],[Claim_Amount]]&lt;0,0,Table1[[#This Row],[Claim_Amount]])</f>
        <v>373.54</v>
      </c>
      <c r="X455" s="1">
        <f>IF(Table1[[#This Row],[Column1]]=0,"",Table1[[#This Row],[Column1]])</f>
        <v>373.54</v>
      </c>
      <c r="Y455" s="1">
        <v>373.54</v>
      </c>
      <c r="Z455" s="1">
        <v>373.54</v>
      </c>
      <c r="AA455">
        <v>832</v>
      </c>
      <c r="AB455" s="1" t="s">
        <v>17</v>
      </c>
      <c r="AC455" s="1" t="s">
        <v>57</v>
      </c>
      <c r="AD455">
        <v>9</v>
      </c>
      <c r="AE455" s="3" t="s">
        <v>65</v>
      </c>
    </row>
    <row r="456" spans="1:31" ht="15.75" customHeight="1" x14ac:dyDescent="0.35">
      <c r="A456" s="1" t="s">
        <v>275</v>
      </c>
      <c r="B456" t="s">
        <v>1083</v>
      </c>
      <c r="C456" t="s">
        <v>1084</v>
      </c>
      <c r="D456" s="1" t="s">
        <v>409</v>
      </c>
      <c r="E456" s="5">
        <v>45275</v>
      </c>
      <c r="F456" s="4" t="str">
        <f>IF(ISNUMBER(Table13[[#This Row],[Claim_Date2]]),"",Table13[[#This Row],[Claim_Date2]])</f>
        <v/>
      </c>
      <c r="G456" s="4" t="s">
        <v>1098</v>
      </c>
      <c r="H456" s="4" t="str">
        <f>LEFT(Table13[[#This Row],[Values Col 1]],3)</f>
        <v/>
      </c>
      <c r="I456" s="4" t="s">
        <v>1098</v>
      </c>
      <c r="J456" s="4" t="str">
        <f>MID(Table13[[#This Row],[Function Col]],5,2)</f>
        <v/>
      </c>
      <c r="K456" s="4" t="s">
        <v>1098</v>
      </c>
      <c r="L456" s="4" t="str">
        <f>RIGHT(Table13[[#This Row],[Function Col]],4)</f>
        <v/>
      </c>
      <c r="M456" s="4" t="s">
        <v>1098</v>
      </c>
      <c r="N456" s="4" t="str">
        <f>IF(Table13[[#This Row],[Function Col5]]="","",_xlfn.CONCAT(Table13[[#This Row],[Day Col]],"/",Table13[[#This Row],[Month Col]],"/",Table13[[#This Row],[Year Col]]))</f>
        <v/>
      </c>
      <c r="O456" s="4" t="s">
        <v>1098</v>
      </c>
      <c r="P456" s="4">
        <f>IF(ISNUMBER(Table13[[#This Row],[Claim_Date2]]),Table13[[#This Row],[Claim_Date2]],Table13[[#This Row],[Function Col32]])</f>
        <v>45275</v>
      </c>
      <c r="Q456" s="4">
        <v>45275</v>
      </c>
      <c r="R456" s="1" t="s">
        <v>77</v>
      </c>
      <c r="S456" t="s">
        <v>1085</v>
      </c>
      <c r="T456" t="s">
        <v>1086</v>
      </c>
      <c r="W456">
        <f>IF(Table1[[#This Row],[Claim_Amount]]&lt;0,0,Table1[[#This Row],[Claim_Amount]])</f>
        <v>0</v>
      </c>
      <c r="X456" t="str">
        <f>IF(Table1[[#This Row],[Column1]]=0,"",Table1[[#This Row],[Column1]])</f>
        <v/>
      </c>
      <c r="Y456" t="s">
        <v>1098</v>
      </c>
      <c r="Z456">
        <v>2481</v>
      </c>
      <c r="AA456">
        <v>832</v>
      </c>
      <c r="AB456" s="1" t="s">
        <v>42</v>
      </c>
      <c r="AC456" s="1" t="s">
        <v>26</v>
      </c>
      <c r="AD456">
        <v>9</v>
      </c>
      <c r="AE456" s="3" t="s">
        <v>37</v>
      </c>
    </row>
    <row r="457" spans="1:31" ht="15.75" customHeight="1" x14ac:dyDescent="0.35">
      <c r="A457" s="1" t="s">
        <v>117</v>
      </c>
      <c r="B457" t="s">
        <v>1083</v>
      </c>
      <c r="C457" s="1" t="s">
        <v>245</v>
      </c>
      <c r="D457" s="1" t="s">
        <v>653</v>
      </c>
      <c r="E457" s="5">
        <v>44951</v>
      </c>
      <c r="F457" s="4" t="str">
        <f>IF(ISNUMBER(Table13[[#This Row],[Claim_Date2]]),"",Table13[[#This Row],[Claim_Date2]])</f>
        <v/>
      </c>
      <c r="G457" s="4" t="s">
        <v>1098</v>
      </c>
      <c r="H457" s="4" t="str">
        <f>LEFT(Table13[[#This Row],[Values Col 1]],3)</f>
        <v/>
      </c>
      <c r="I457" s="4" t="s">
        <v>1098</v>
      </c>
      <c r="J457" s="4" t="str">
        <f>MID(Table13[[#This Row],[Function Col]],5,2)</f>
        <v/>
      </c>
      <c r="K457" s="4" t="s">
        <v>1098</v>
      </c>
      <c r="L457" s="4" t="str">
        <f>RIGHT(Table13[[#This Row],[Function Col]],4)</f>
        <v/>
      </c>
      <c r="M457" s="4" t="s">
        <v>1098</v>
      </c>
      <c r="N457" s="4" t="str">
        <f>IF(Table13[[#This Row],[Function Col5]]="","",_xlfn.CONCAT(Table13[[#This Row],[Day Col]],"/",Table13[[#This Row],[Month Col]],"/",Table13[[#This Row],[Year Col]]))</f>
        <v/>
      </c>
      <c r="O457" s="4" t="s">
        <v>1098</v>
      </c>
      <c r="P457" s="4">
        <f>IF(ISNUMBER(Table13[[#This Row],[Claim_Date2]]),Table13[[#This Row],[Claim_Date2]],Table13[[#This Row],[Function Col32]])</f>
        <v>44951</v>
      </c>
      <c r="Q457" s="4">
        <v>44951</v>
      </c>
      <c r="R457" s="1" t="s">
        <v>30</v>
      </c>
      <c r="S457" s="1" t="s">
        <v>53</v>
      </c>
      <c r="T457" s="1" t="s">
        <v>41</v>
      </c>
      <c r="U457" s="1"/>
      <c r="W457">
        <f>IF(Table1[[#This Row],[Claim_Amount]]&lt;0,0,Table1[[#This Row],[Claim_Amount]])</f>
        <v>0</v>
      </c>
      <c r="X457" t="str">
        <f>IF(Table1[[#This Row],[Column1]]=0,"",Table1[[#This Row],[Column1]])</f>
        <v/>
      </c>
      <c r="Y457" t="s">
        <v>1098</v>
      </c>
      <c r="Z457">
        <v>2481</v>
      </c>
      <c r="AA457">
        <v>832</v>
      </c>
      <c r="AB457" s="1" t="s">
        <v>25</v>
      </c>
      <c r="AC457" s="1" t="s">
        <v>18</v>
      </c>
      <c r="AD457">
        <v>9</v>
      </c>
      <c r="AE457" s="3" t="s">
        <v>19</v>
      </c>
    </row>
    <row r="458" spans="1:31" ht="15.75" customHeight="1" x14ac:dyDescent="0.35">
      <c r="A458" s="1" t="s">
        <v>170</v>
      </c>
      <c r="B458" s="1" t="s">
        <v>689</v>
      </c>
      <c r="C458" t="s">
        <v>1084</v>
      </c>
      <c r="D458" s="1" t="s">
        <v>690</v>
      </c>
      <c r="E458" s="5">
        <v>44959</v>
      </c>
      <c r="F458" s="4" t="str">
        <f>IF(ISNUMBER(Table13[[#This Row],[Claim_Date2]]),"",Table13[[#This Row],[Claim_Date2]])</f>
        <v/>
      </c>
      <c r="G458" s="4" t="s">
        <v>1098</v>
      </c>
      <c r="H458" s="4" t="str">
        <f>LEFT(Table13[[#This Row],[Values Col 1]],3)</f>
        <v/>
      </c>
      <c r="I458" s="4" t="s">
        <v>1098</v>
      </c>
      <c r="J458" s="4" t="str">
        <f>MID(Table13[[#This Row],[Function Col]],5,2)</f>
        <v/>
      </c>
      <c r="K458" s="4" t="s">
        <v>1098</v>
      </c>
      <c r="L458" s="4" t="str">
        <f>RIGHT(Table13[[#This Row],[Function Col]],4)</f>
        <v/>
      </c>
      <c r="M458" s="4" t="s">
        <v>1098</v>
      </c>
      <c r="N458" s="4" t="str">
        <f>IF(Table13[[#This Row],[Function Col5]]="","",_xlfn.CONCAT(Table13[[#This Row],[Day Col]],"/",Table13[[#This Row],[Month Col]],"/",Table13[[#This Row],[Year Col]]))</f>
        <v/>
      </c>
      <c r="O458" s="4" t="s">
        <v>1098</v>
      </c>
      <c r="P458" s="4">
        <f>IF(ISNUMBER(Table13[[#This Row],[Claim_Date2]]),Table13[[#This Row],[Claim_Date2]],Table13[[#This Row],[Function Col32]])</f>
        <v>44959</v>
      </c>
      <c r="Q458" s="4">
        <v>44959</v>
      </c>
      <c r="R458" s="1" t="s">
        <v>16</v>
      </c>
      <c r="S458" s="1" t="s">
        <v>53</v>
      </c>
      <c r="T458" s="1" t="s">
        <v>48</v>
      </c>
      <c r="U458" s="1"/>
      <c r="W458">
        <f>IF(Table1[[#This Row],[Claim_Amount]]&lt;0,0,Table1[[#This Row],[Claim_Amount]])</f>
        <v>0</v>
      </c>
      <c r="X458" t="str">
        <f>IF(Table1[[#This Row],[Column1]]=0,"",Table1[[#This Row],[Column1]])</f>
        <v/>
      </c>
      <c r="Y458" t="s">
        <v>1098</v>
      </c>
      <c r="Z458">
        <v>2481</v>
      </c>
      <c r="AA458" s="1">
        <v>4210.51</v>
      </c>
      <c r="AB458" s="1" t="s">
        <v>25</v>
      </c>
      <c r="AC458" s="1" t="s">
        <v>1093</v>
      </c>
      <c r="AD458">
        <v>9</v>
      </c>
      <c r="AE458" s="3" t="s">
        <v>19</v>
      </c>
    </row>
    <row r="459" spans="1:31" ht="15.75" customHeight="1" x14ac:dyDescent="0.35">
      <c r="A459" s="1" t="s">
        <v>114</v>
      </c>
      <c r="B459" s="1" t="s">
        <v>691</v>
      </c>
      <c r="C459" t="s">
        <v>1084</v>
      </c>
      <c r="D459" s="1" t="s">
        <v>669</v>
      </c>
      <c r="E459" s="5" t="s">
        <v>669</v>
      </c>
      <c r="F459" s="4" t="str">
        <f>IF(ISNUMBER(Table13[[#This Row],[Claim_Date2]]),"",Table13[[#This Row],[Claim_Date2]])</f>
        <v>Aug 17 2023</v>
      </c>
      <c r="G459" s="4" t="s">
        <v>669</v>
      </c>
      <c r="H459" s="4" t="str">
        <f>LEFT(Table13[[#This Row],[Values Col 1]],3)</f>
        <v>Aug</v>
      </c>
      <c r="I459" s="4" t="s">
        <v>1106</v>
      </c>
      <c r="J459" s="4" t="str">
        <f>MID(Table13[[#This Row],[Function Col]],5,2)</f>
        <v>17</v>
      </c>
      <c r="K459" s="4" t="s">
        <v>1140</v>
      </c>
      <c r="L459" s="4" t="str">
        <f>RIGHT(Table13[[#This Row],[Function Col]],4)</f>
        <v>2023</v>
      </c>
      <c r="M459" s="4" t="s">
        <v>1146</v>
      </c>
      <c r="N459" s="4" t="str">
        <f>IF(Table13[[#This Row],[Function Col5]]="","",_xlfn.CONCAT(Table13[[#This Row],[Day Col]],"/",Table13[[#This Row],[Month Col]],"/",Table13[[#This Row],[Year Col]]))</f>
        <v>17/Aug/2023</v>
      </c>
      <c r="O459" s="4" t="s">
        <v>1267</v>
      </c>
      <c r="P459" s="4" t="str">
        <f>IF(ISNUMBER(Table13[[#This Row],[Claim_Date2]]),Table13[[#This Row],[Claim_Date2]],Table13[[#This Row],[Function Col32]])</f>
        <v>17/Aug/2023</v>
      </c>
      <c r="Q459" s="4">
        <v>45155</v>
      </c>
      <c r="R459" s="1" t="s">
        <v>16</v>
      </c>
      <c r="S459" s="1" t="s">
        <v>23</v>
      </c>
      <c r="T459" s="1" t="s">
        <v>61</v>
      </c>
      <c r="U459" s="1"/>
      <c r="W459">
        <f>IF(Table1[[#This Row],[Claim_Amount]]&lt;0,0,Table1[[#This Row],[Claim_Amount]])</f>
        <v>0</v>
      </c>
      <c r="X459" t="str">
        <f>IF(Table1[[#This Row],[Column1]]=0,"",Table1[[#This Row],[Column1]])</f>
        <v/>
      </c>
      <c r="Y459" t="s">
        <v>1098</v>
      </c>
      <c r="Z459">
        <v>2481</v>
      </c>
      <c r="AA459">
        <v>832</v>
      </c>
      <c r="AB459" s="1" t="s">
        <v>25</v>
      </c>
      <c r="AC459" s="1" t="s">
        <v>18</v>
      </c>
      <c r="AD459">
        <v>9</v>
      </c>
      <c r="AE459" s="3" t="s">
        <v>19</v>
      </c>
    </row>
    <row r="460" spans="1:31" ht="15.75" customHeight="1" x14ac:dyDescent="0.35">
      <c r="A460" s="1" t="s">
        <v>192</v>
      </c>
      <c r="B460" t="s">
        <v>1083</v>
      </c>
      <c r="C460" s="1" t="s">
        <v>100</v>
      </c>
      <c r="D460" s="1" t="s">
        <v>400</v>
      </c>
      <c r="E460" s="5" t="s">
        <v>400</v>
      </c>
      <c r="F460" s="4" t="str">
        <f>IF(ISNUMBER(Table13[[#This Row],[Claim_Date2]]),"",Table13[[#This Row],[Claim_Date2]])</f>
        <v>Jan 29 2023</v>
      </c>
      <c r="G460" s="4" t="s">
        <v>400</v>
      </c>
      <c r="H460" s="4" t="str">
        <f>LEFT(Table13[[#This Row],[Values Col 1]],3)</f>
        <v>Jan</v>
      </c>
      <c r="I460" s="4" t="s">
        <v>1107</v>
      </c>
      <c r="J460" s="4" t="str">
        <f>MID(Table13[[#This Row],[Function Col]],5,2)</f>
        <v>29</v>
      </c>
      <c r="K460" s="4" t="s">
        <v>1139</v>
      </c>
      <c r="L460" s="4" t="str">
        <f>RIGHT(Table13[[#This Row],[Function Col]],4)</f>
        <v>2023</v>
      </c>
      <c r="M460" s="4" t="s">
        <v>1146</v>
      </c>
      <c r="N460" s="4" t="str">
        <f>IF(Table13[[#This Row],[Function Col5]]="","",_xlfn.CONCAT(Table13[[#This Row],[Day Col]],"/",Table13[[#This Row],[Month Col]],"/",Table13[[#This Row],[Year Col]]))</f>
        <v>29/Jan/2023</v>
      </c>
      <c r="O460" s="4" t="s">
        <v>1211</v>
      </c>
      <c r="P460" s="4" t="str">
        <f>IF(ISNUMBER(Table13[[#This Row],[Claim_Date2]]),Table13[[#This Row],[Claim_Date2]],Table13[[#This Row],[Function Col32]])</f>
        <v>29/Jan/2023</v>
      </c>
      <c r="Q460" s="4">
        <v>44955</v>
      </c>
      <c r="R460" s="1" t="s">
        <v>16</v>
      </c>
      <c r="S460" s="1" t="s">
        <v>31</v>
      </c>
      <c r="T460" s="1" t="s">
        <v>48</v>
      </c>
      <c r="U460" s="1"/>
      <c r="V460" s="1">
        <v>-168</v>
      </c>
      <c r="W460" s="1">
        <f>IF(Table1[[#This Row],[Claim_Amount]]&lt;0,0,Table1[[#This Row],[Claim_Amount]])</f>
        <v>0</v>
      </c>
      <c r="X460" s="1" t="str">
        <f>IF(Table1[[#This Row],[Column1]]=0,"",Table1[[#This Row],[Column1]])</f>
        <v/>
      </c>
      <c r="Y460" s="1" t="s">
        <v>1098</v>
      </c>
      <c r="Z460" s="1">
        <v>2481</v>
      </c>
      <c r="AA460">
        <v>832</v>
      </c>
      <c r="AB460" s="1" t="s">
        <v>1091</v>
      </c>
      <c r="AC460" s="1" t="s">
        <v>26</v>
      </c>
      <c r="AD460">
        <v>9</v>
      </c>
      <c r="AE460" s="3" t="s">
        <v>37</v>
      </c>
    </row>
    <row r="461" spans="1:31" ht="15.75" customHeight="1" x14ac:dyDescent="0.35">
      <c r="A461" s="1" t="s">
        <v>179</v>
      </c>
      <c r="B461" t="s">
        <v>1083</v>
      </c>
      <c r="C461" s="1" t="s">
        <v>87</v>
      </c>
      <c r="D461" s="1" t="s">
        <v>692</v>
      </c>
      <c r="E461" s="5">
        <v>45100</v>
      </c>
      <c r="F461" s="4" t="str">
        <f>IF(ISNUMBER(Table13[[#This Row],[Claim_Date2]]),"",Table13[[#This Row],[Claim_Date2]])</f>
        <v/>
      </c>
      <c r="G461" s="4" t="s">
        <v>1098</v>
      </c>
      <c r="H461" s="4" t="str">
        <f>LEFT(Table13[[#This Row],[Values Col 1]],3)</f>
        <v/>
      </c>
      <c r="I461" s="4" t="s">
        <v>1098</v>
      </c>
      <c r="J461" s="4" t="str">
        <f>MID(Table13[[#This Row],[Function Col]],5,2)</f>
        <v/>
      </c>
      <c r="K461" s="4" t="s">
        <v>1098</v>
      </c>
      <c r="L461" s="4" t="str">
        <f>RIGHT(Table13[[#This Row],[Function Col]],4)</f>
        <v/>
      </c>
      <c r="M461" s="4" t="s">
        <v>1098</v>
      </c>
      <c r="N461" s="4" t="str">
        <f>IF(Table13[[#This Row],[Function Col5]]="","",_xlfn.CONCAT(Table13[[#This Row],[Day Col]],"/",Table13[[#This Row],[Month Col]],"/",Table13[[#This Row],[Year Col]]))</f>
        <v/>
      </c>
      <c r="O461" s="4" t="s">
        <v>1098</v>
      </c>
      <c r="P461" s="4">
        <f>IF(ISNUMBER(Table13[[#This Row],[Claim_Date2]]),Table13[[#This Row],[Claim_Date2]],Table13[[#This Row],[Function Col32]])</f>
        <v>45100</v>
      </c>
      <c r="Q461" s="4">
        <v>45100</v>
      </c>
      <c r="R461" s="1" t="s">
        <v>77</v>
      </c>
      <c r="S461" s="1" t="s">
        <v>47</v>
      </c>
      <c r="T461" s="1" t="s">
        <v>41</v>
      </c>
      <c r="U461" s="1"/>
      <c r="V461" s="1">
        <v>2959.68</v>
      </c>
      <c r="W461" s="1">
        <f>IF(Table1[[#This Row],[Claim_Amount]]&lt;0,0,Table1[[#This Row],[Claim_Amount]])</f>
        <v>2959.68</v>
      </c>
      <c r="X461" s="1">
        <f>IF(Table1[[#This Row],[Column1]]=0,"",Table1[[#This Row],[Column1]])</f>
        <v>2959.68</v>
      </c>
      <c r="Y461" s="1">
        <v>2959.68</v>
      </c>
      <c r="Z461" s="1">
        <v>2959.68</v>
      </c>
      <c r="AA461">
        <v>832</v>
      </c>
      <c r="AB461" s="1" t="s">
        <v>25</v>
      </c>
      <c r="AC461" s="1" t="s">
        <v>57</v>
      </c>
      <c r="AD461" s="1">
        <v>50</v>
      </c>
      <c r="AE461" s="3" t="s">
        <v>1097</v>
      </c>
    </row>
    <row r="462" spans="1:31" ht="15.75" customHeight="1" x14ac:dyDescent="0.35">
      <c r="A462" s="1" t="s">
        <v>277</v>
      </c>
      <c r="B462" t="s">
        <v>1083</v>
      </c>
      <c r="C462" t="s">
        <v>1084</v>
      </c>
      <c r="D462" s="1" t="s">
        <v>693</v>
      </c>
      <c r="E462" s="5">
        <v>45173</v>
      </c>
      <c r="F462" s="4" t="str">
        <f>IF(ISNUMBER(Table13[[#This Row],[Claim_Date2]]),"",Table13[[#This Row],[Claim_Date2]])</f>
        <v/>
      </c>
      <c r="G462" s="4" t="s">
        <v>1098</v>
      </c>
      <c r="H462" s="4" t="str">
        <f>LEFT(Table13[[#This Row],[Values Col 1]],3)</f>
        <v/>
      </c>
      <c r="I462" s="4" t="s">
        <v>1098</v>
      </c>
      <c r="J462" s="4" t="str">
        <f>MID(Table13[[#This Row],[Function Col]],5,2)</f>
        <v/>
      </c>
      <c r="K462" s="4" t="s">
        <v>1098</v>
      </c>
      <c r="L462" s="4" t="str">
        <f>RIGHT(Table13[[#This Row],[Function Col]],4)</f>
        <v/>
      </c>
      <c r="M462" s="4" t="s">
        <v>1098</v>
      </c>
      <c r="N462" s="4" t="str">
        <f>IF(Table13[[#This Row],[Function Col5]]="","",_xlfn.CONCAT(Table13[[#This Row],[Day Col]],"/",Table13[[#This Row],[Month Col]],"/",Table13[[#This Row],[Year Col]]))</f>
        <v/>
      </c>
      <c r="O462" s="4" t="s">
        <v>1098</v>
      </c>
      <c r="P462" s="4">
        <f>IF(ISNUMBER(Table13[[#This Row],[Claim_Date2]]),Table13[[#This Row],[Claim_Date2]],Table13[[#This Row],[Function Col32]])</f>
        <v>45173</v>
      </c>
      <c r="Q462" s="4">
        <v>45173</v>
      </c>
      <c r="R462" s="1" t="s">
        <v>85</v>
      </c>
      <c r="S462" s="1" t="s">
        <v>93</v>
      </c>
      <c r="T462" s="1" t="s">
        <v>24</v>
      </c>
      <c r="U462" s="1"/>
      <c r="W462">
        <f>IF(Table1[[#This Row],[Claim_Amount]]&lt;0,0,Table1[[#This Row],[Claim_Amount]])</f>
        <v>0</v>
      </c>
      <c r="X462" t="str">
        <f>IF(Table1[[#This Row],[Column1]]=0,"",Table1[[#This Row],[Column1]])</f>
        <v/>
      </c>
      <c r="Y462" t="s">
        <v>1098</v>
      </c>
      <c r="Z462">
        <v>2481</v>
      </c>
      <c r="AA462">
        <v>832</v>
      </c>
      <c r="AB462" s="1" t="s">
        <v>1091</v>
      </c>
      <c r="AC462" s="1" t="s">
        <v>32</v>
      </c>
      <c r="AD462">
        <v>9</v>
      </c>
      <c r="AE462" s="3" t="s">
        <v>1097</v>
      </c>
    </row>
    <row r="463" spans="1:31" ht="15.75" customHeight="1" x14ac:dyDescent="0.35">
      <c r="A463" s="1" t="s">
        <v>202</v>
      </c>
      <c r="B463" s="1" t="s">
        <v>694</v>
      </c>
      <c r="C463" t="s">
        <v>1084</v>
      </c>
      <c r="D463" s="1" t="s">
        <v>686</v>
      </c>
      <c r="E463" s="5">
        <v>45102</v>
      </c>
      <c r="F463" s="4" t="str">
        <f>IF(ISNUMBER(Table13[[#This Row],[Claim_Date2]]),"",Table13[[#This Row],[Claim_Date2]])</f>
        <v/>
      </c>
      <c r="G463" s="4" t="s">
        <v>1098</v>
      </c>
      <c r="H463" s="4" t="str">
        <f>LEFT(Table13[[#This Row],[Values Col 1]],3)</f>
        <v/>
      </c>
      <c r="I463" s="4" t="s">
        <v>1098</v>
      </c>
      <c r="J463" s="4" t="str">
        <f>MID(Table13[[#This Row],[Function Col]],5,2)</f>
        <v/>
      </c>
      <c r="K463" s="4" t="s">
        <v>1098</v>
      </c>
      <c r="L463" s="4" t="str">
        <f>RIGHT(Table13[[#This Row],[Function Col]],4)</f>
        <v/>
      </c>
      <c r="M463" s="4" t="s">
        <v>1098</v>
      </c>
      <c r="N463" s="4" t="str">
        <f>IF(Table13[[#This Row],[Function Col5]]="","",_xlfn.CONCAT(Table13[[#This Row],[Day Col]],"/",Table13[[#This Row],[Month Col]],"/",Table13[[#This Row],[Year Col]]))</f>
        <v/>
      </c>
      <c r="O463" s="4" t="s">
        <v>1098</v>
      </c>
      <c r="P463" s="4">
        <f>IF(ISNUMBER(Table13[[#This Row],[Claim_Date2]]),Table13[[#This Row],[Claim_Date2]],Table13[[#This Row],[Function Col32]])</f>
        <v>45102</v>
      </c>
      <c r="Q463" s="4">
        <v>45102</v>
      </c>
      <c r="R463" s="1" t="s">
        <v>16</v>
      </c>
      <c r="S463" s="1" t="s">
        <v>47</v>
      </c>
      <c r="T463" s="1" t="s">
        <v>54</v>
      </c>
      <c r="U463" s="1"/>
      <c r="V463" s="1">
        <v>3305.5</v>
      </c>
      <c r="W463" s="1">
        <f>IF(Table1[[#This Row],[Claim_Amount]]&lt;0,0,Table1[[#This Row],[Claim_Amount]])</f>
        <v>3305.5</v>
      </c>
      <c r="X463" s="1">
        <f>IF(Table1[[#This Row],[Column1]]=0,"",Table1[[#This Row],[Column1]])</f>
        <v>3305.5</v>
      </c>
      <c r="Y463" s="1">
        <v>3305.5</v>
      </c>
      <c r="Z463" s="1">
        <v>3305.5</v>
      </c>
      <c r="AA463">
        <v>832</v>
      </c>
      <c r="AB463" s="1" t="s">
        <v>25</v>
      </c>
      <c r="AC463" s="1" t="s">
        <v>1093</v>
      </c>
      <c r="AD463" s="1">
        <v>22</v>
      </c>
      <c r="AE463" s="3" t="s">
        <v>65</v>
      </c>
    </row>
    <row r="464" spans="1:31" ht="15.75" customHeight="1" x14ac:dyDescent="0.35">
      <c r="A464" s="1" t="s">
        <v>13</v>
      </c>
      <c r="B464" s="1" t="s">
        <v>695</v>
      </c>
      <c r="C464" s="1" t="s">
        <v>696</v>
      </c>
      <c r="D464" s="1" t="s">
        <v>697</v>
      </c>
      <c r="E464" s="5" t="s">
        <v>697</v>
      </c>
      <c r="F464" s="4" t="str">
        <f>IF(ISNUMBER(Table13[[#This Row],[Claim_Date2]]),"",Table13[[#This Row],[Claim_Date2]])</f>
        <v>Dec 22 2023</v>
      </c>
      <c r="G464" s="4" t="s">
        <v>697</v>
      </c>
      <c r="H464" s="4" t="str">
        <f>LEFT(Table13[[#This Row],[Values Col 1]],3)</f>
        <v>Dec</v>
      </c>
      <c r="I464" s="4" t="s">
        <v>1111</v>
      </c>
      <c r="J464" s="4" t="str">
        <f>MID(Table13[[#This Row],[Function Col]],5,2)</f>
        <v>22</v>
      </c>
      <c r="K464" s="4" t="s">
        <v>1122</v>
      </c>
      <c r="L464" s="4" t="str">
        <f>RIGHT(Table13[[#This Row],[Function Col]],4)</f>
        <v>2023</v>
      </c>
      <c r="M464" s="4" t="s">
        <v>1146</v>
      </c>
      <c r="N464" s="4" t="str">
        <f>IF(Table13[[#This Row],[Function Col5]]="","",_xlfn.CONCAT(Table13[[#This Row],[Day Col]],"/",Table13[[#This Row],[Month Col]],"/",Table13[[#This Row],[Year Col]]))</f>
        <v>22/Dec/2023</v>
      </c>
      <c r="O464" s="4" t="s">
        <v>1273</v>
      </c>
      <c r="P464" s="4" t="str">
        <f>IF(ISNUMBER(Table13[[#This Row],[Claim_Date2]]),Table13[[#This Row],[Claim_Date2]],Table13[[#This Row],[Function Col32]])</f>
        <v>22/Dec/2023</v>
      </c>
      <c r="Q464" s="4">
        <v>45282</v>
      </c>
      <c r="R464" s="1" t="s">
        <v>77</v>
      </c>
      <c r="S464" s="1" t="s">
        <v>47</v>
      </c>
      <c r="T464" t="s">
        <v>1086</v>
      </c>
      <c r="W464">
        <f>IF(Table1[[#This Row],[Claim_Amount]]&lt;0,0,Table1[[#This Row],[Claim_Amount]])</f>
        <v>0</v>
      </c>
      <c r="X464" t="str">
        <f>IF(Table1[[#This Row],[Column1]]=0,"",Table1[[#This Row],[Column1]])</f>
        <v/>
      </c>
      <c r="Y464" t="s">
        <v>1098</v>
      </c>
      <c r="Z464">
        <v>2481</v>
      </c>
      <c r="AA464">
        <v>832</v>
      </c>
      <c r="AB464" s="1" t="s">
        <v>42</v>
      </c>
      <c r="AC464" s="1" t="s">
        <v>18</v>
      </c>
      <c r="AD464">
        <v>9</v>
      </c>
      <c r="AE464" s="3" t="s">
        <v>19</v>
      </c>
    </row>
    <row r="465" spans="1:31" ht="15.75" customHeight="1" x14ac:dyDescent="0.35">
      <c r="A465" s="1" t="s">
        <v>117</v>
      </c>
      <c r="B465" s="1" t="s">
        <v>67</v>
      </c>
      <c r="C465" s="1" t="s">
        <v>308</v>
      </c>
      <c r="D465" s="1" t="s">
        <v>698</v>
      </c>
      <c r="E465" s="5" t="s">
        <v>698</v>
      </c>
      <c r="F465" s="4" t="str">
        <f>IF(ISNUMBER(Table13[[#This Row],[Claim_Date2]]),"",Table13[[#This Row],[Claim_Date2]])</f>
        <v>Aug 27 2023</v>
      </c>
      <c r="G465" s="4" t="s">
        <v>698</v>
      </c>
      <c r="H465" s="4" t="str">
        <f>LEFT(Table13[[#This Row],[Values Col 1]],3)</f>
        <v>Aug</v>
      </c>
      <c r="I465" s="4" t="s">
        <v>1106</v>
      </c>
      <c r="J465" s="4" t="str">
        <f>MID(Table13[[#This Row],[Function Col]],5,2)</f>
        <v>27</v>
      </c>
      <c r="K465" s="4" t="s">
        <v>1124</v>
      </c>
      <c r="L465" s="4" t="str">
        <f>RIGHT(Table13[[#This Row],[Function Col]],4)</f>
        <v>2023</v>
      </c>
      <c r="M465" s="4" t="s">
        <v>1146</v>
      </c>
      <c r="N465" s="4" t="str">
        <f>IF(Table13[[#This Row],[Function Col5]]="","",_xlfn.CONCAT(Table13[[#This Row],[Day Col]],"/",Table13[[#This Row],[Month Col]],"/",Table13[[#This Row],[Year Col]]))</f>
        <v>27/Aug/2023</v>
      </c>
      <c r="O465" s="4" t="s">
        <v>1274</v>
      </c>
      <c r="P465" s="4" t="str">
        <f>IF(ISNUMBER(Table13[[#This Row],[Claim_Date2]]),Table13[[#This Row],[Claim_Date2]],Table13[[#This Row],[Function Col32]])</f>
        <v>27/Aug/2023</v>
      </c>
      <c r="Q465" s="4">
        <v>45165</v>
      </c>
      <c r="R465" s="1" t="s">
        <v>85</v>
      </c>
      <c r="S465" s="1" t="s">
        <v>93</v>
      </c>
      <c r="T465" s="1" t="s">
        <v>48</v>
      </c>
      <c r="U465" s="1"/>
      <c r="V465" s="1">
        <v>-94</v>
      </c>
      <c r="W465" s="1">
        <f>IF(Table1[[#This Row],[Claim_Amount]]&lt;0,0,Table1[[#This Row],[Claim_Amount]])</f>
        <v>0</v>
      </c>
      <c r="X465" s="1" t="str">
        <f>IF(Table1[[#This Row],[Column1]]=0,"",Table1[[#This Row],[Column1]])</f>
        <v/>
      </c>
      <c r="Y465" s="1" t="s">
        <v>1098</v>
      </c>
      <c r="Z465" s="1">
        <v>2481</v>
      </c>
      <c r="AA465" s="1">
        <v>1066.32</v>
      </c>
      <c r="AB465" s="1" t="s">
        <v>25</v>
      </c>
      <c r="AC465" s="1" t="s">
        <v>32</v>
      </c>
      <c r="AD465" s="1">
        <v>9</v>
      </c>
      <c r="AE465" s="3" t="s">
        <v>27</v>
      </c>
    </row>
    <row r="466" spans="1:31" ht="15.75" customHeight="1" x14ac:dyDescent="0.35">
      <c r="A466" s="1" t="s">
        <v>105</v>
      </c>
      <c r="B466" s="1" t="s">
        <v>699</v>
      </c>
      <c r="C466" t="s">
        <v>1084</v>
      </c>
      <c r="D466" s="1" t="s">
        <v>700</v>
      </c>
      <c r="E466" s="5" t="s">
        <v>700</v>
      </c>
      <c r="F466" s="4" t="str">
        <f>IF(ISNUMBER(Table13[[#This Row],[Claim_Date2]]),"",Table13[[#This Row],[Claim_Date2]])</f>
        <v>Nov 20 2023</v>
      </c>
      <c r="G466" s="4" t="s">
        <v>700</v>
      </c>
      <c r="H466" s="4" t="str">
        <f>LEFT(Table13[[#This Row],[Values Col 1]],3)</f>
        <v>Nov</v>
      </c>
      <c r="I466" s="4" t="s">
        <v>1105</v>
      </c>
      <c r="J466" s="4" t="str">
        <f>MID(Table13[[#This Row],[Function Col]],5,2)</f>
        <v>20</v>
      </c>
      <c r="K466" s="4" t="s">
        <v>1118</v>
      </c>
      <c r="L466" s="4" t="str">
        <f>RIGHT(Table13[[#This Row],[Function Col]],4)</f>
        <v>2023</v>
      </c>
      <c r="M466" s="4" t="s">
        <v>1146</v>
      </c>
      <c r="N466" s="4" t="str">
        <f>IF(Table13[[#This Row],[Function Col5]]="","",_xlfn.CONCAT(Table13[[#This Row],[Day Col]],"/",Table13[[#This Row],[Month Col]],"/",Table13[[#This Row],[Year Col]]))</f>
        <v>20/Nov/2023</v>
      </c>
      <c r="O466" s="4" t="s">
        <v>1275</v>
      </c>
      <c r="P466" s="4" t="str">
        <f>IF(ISNUMBER(Table13[[#This Row],[Claim_Date2]]),Table13[[#This Row],[Claim_Date2]],Table13[[#This Row],[Function Col32]])</f>
        <v>20/Nov/2023</v>
      </c>
      <c r="Q466" s="4">
        <v>45250</v>
      </c>
      <c r="R466" s="1" t="s">
        <v>85</v>
      </c>
      <c r="S466" s="1" t="s">
        <v>31</v>
      </c>
      <c r="T466" s="1" t="s">
        <v>61</v>
      </c>
      <c r="U466" s="1"/>
      <c r="W466">
        <f>IF(Table1[[#This Row],[Claim_Amount]]&lt;0,0,Table1[[#This Row],[Claim_Amount]])</f>
        <v>0</v>
      </c>
      <c r="X466" t="str">
        <f>IF(Table1[[#This Row],[Column1]]=0,"",Table1[[#This Row],[Column1]])</f>
        <v/>
      </c>
      <c r="Y466" t="s">
        <v>1098</v>
      </c>
      <c r="Z466">
        <v>2481</v>
      </c>
      <c r="AA466" s="1">
        <v>1456.3</v>
      </c>
      <c r="AB466" s="1" t="s">
        <v>42</v>
      </c>
      <c r="AC466" s="1" t="s">
        <v>18</v>
      </c>
      <c r="AD466">
        <v>9</v>
      </c>
      <c r="AE466" s="3" t="s">
        <v>65</v>
      </c>
    </row>
    <row r="467" spans="1:31" ht="15.75" customHeight="1" x14ac:dyDescent="0.35">
      <c r="A467" s="1" t="s">
        <v>102</v>
      </c>
      <c r="B467" s="1" t="s">
        <v>689</v>
      </c>
      <c r="C467" t="s">
        <v>1084</v>
      </c>
      <c r="D467" s="1" t="s">
        <v>144</v>
      </c>
      <c r="E467" s="5">
        <v>44978</v>
      </c>
      <c r="F467" s="4" t="str">
        <f>IF(ISNUMBER(Table13[[#This Row],[Claim_Date2]]),"",Table13[[#This Row],[Claim_Date2]])</f>
        <v/>
      </c>
      <c r="G467" s="4" t="s">
        <v>1098</v>
      </c>
      <c r="H467" s="4" t="str">
        <f>LEFT(Table13[[#This Row],[Values Col 1]],3)</f>
        <v/>
      </c>
      <c r="I467" s="4" t="s">
        <v>1098</v>
      </c>
      <c r="J467" s="4" t="str">
        <f>MID(Table13[[#This Row],[Function Col]],5,2)</f>
        <v/>
      </c>
      <c r="K467" s="4" t="s">
        <v>1098</v>
      </c>
      <c r="L467" s="4" t="str">
        <f>RIGHT(Table13[[#This Row],[Function Col]],4)</f>
        <v/>
      </c>
      <c r="M467" s="4" t="s">
        <v>1098</v>
      </c>
      <c r="N467" s="4" t="str">
        <f>IF(Table13[[#This Row],[Function Col5]]="","",_xlfn.CONCAT(Table13[[#This Row],[Day Col]],"/",Table13[[#This Row],[Month Col]],"/",Table13[[#This Row],[Year Col]]))</f>
        <v/>
      </c>
      <c r="O467" s="4" t="s">
        <v>1098</v>
      </c>
      <c r="P467" s="4">
        <f>IF(ISNUMBER(Table13[[#This Row],[Claim_Date2]]),Table13[[#This Row],[Claim_Date2]],Table13[[#This Row],[Function Col32]])</f>
        <v>44978</v>
      </c>
      <c r="Q467" s="4">
        <v>44978</v>
      </c>
      <c r="R467" s="1" t="s">
        <v>77</v>
      </c>
      <c r="S467" t="s">
        <v>1085</v>
      </c>
      <c r="T467" s="1" t="s">
        <v>61</v>
      </c>
      <c r="U467" s="1"/>
      <c r="W467">
        <f>IF(Table1[[#This Row],[Claim_Amount]]&lt;0,0,Table1[[#This Row],[Claim_Amount]])</f>
        <v>0</v>
      </c>
      <c r="X467" t="str">
        <f>IF(Table1[[#This Row],[Column1]]=0,"",Table1[[#This Row],[Column1]])</f>
        <v/>
      </c>
      <c r="Y467" t="s">
        <v>1098</v>
      </c>
      <c r="Z467">
        <v>2481</v>
      </c>
      <c r="AA467">
        <v>832</v>
      </c>
      <c r="AB467" s="1" t="s">
        <v>42</v>
      </c>
      <c r="AC467" s="1" t="s">
        <v>18</v>
      </c>
      <c r="AD467">
        <v>9</v>
      </c>
      <c r="AE467" s="3" t="s">
        <v>1097</v>
      </c>
    </row>
    <row r="468" spans="1:31" ht="15.75" customHeight="1" x14ac:dyDescent="0.35">
      <c r="A468" s="1" t="s">
        <v>62</v>
      </c>
      <c r="B468" s="1" t="s">
        <v>372</v>
      </c>
      <c r="C468" s="1" t="s">
        <v>538</v>
      </c>
      <c r="D468" s="1" t="s">
        <v>701</v>
      </c>
      <c r="E468" s="5" t="s">
        <v>701</v>
      </c>
      <c r="F468" s="4" t="str">
        <f>IF(ISNUMBER(Table13[[#This Row],[Claim_Date2]]),"",Table13[[#This Row],[Claim_Date2]])</f>
        <v>Apr 09 2023</v>
      </c>
      <c r="G468" s="4" t="s">
        <v>701</v>
      </c>
      <c r="H468" s="4" t="str">
        <f>LEFT(Table13[[#This Row],[Values Col 1]],3)</f>
        <v>Apr</v>
      </c>
      <c r="I468" s="4" t="s">
        <v>1104</v>
      </c>
      <c r="J468" s="4" t="str">
        <f>MID(Table13[[#This Row],[Function Col]],5,2)</f>
        <v>09</v>
      </c>
      <c r="K468" s="4" t="s">
        <v>1127</v>
      </c>
      <c r="L468" s="4" t="str">
        <f>RIGHT(Table13[[#This Row],[Function Col]],4)</f>
        <v>2023</v>
      </c>
      <c r="M468" s="4" t="s">
        <v>1146</v>
      </c>
      <c r="N468" s="4" t="str">
        <f>IF(Table13[[#This Row],[Function Col5]]="","",_xlfn.CONCAT(Table13[[#This Row],[Day Col]],"/",Table13[[#This Row],[Month Col]],"/",Table13[[#This Row],[Year Col]]))</f>
        <v>09/Apr/2023</v>
      </c>
      <c r="O468" s="4" t="s">
        <v>1276</v>
      </c>
      <c r="P468" s="4" t="str">
        <f>IF(ISNUMBER(Table13[[#This Row],[Claim_Date2]]),Table13[[#This Row],[Claim_Date2]],Table13[[#This Row],[Function Col32]])</f>
        <v>09/Apr/2023</v>
      </c>
      <c r="Q468" s="4">
        <v>45025</v>
      </c>
      <c r="R468" s="1" t="s">
        <v>77</v>
      </c>
      <c r="S468" t="s">
        <v>1085</v>
      </c>
      <c r="T468" s="1" t="s">
        <v>41</v>
      </c>
      <c r="U468" s="1"/>
      <c r="W468">
        <f>IF(Table1[[#This Row],[Claim_Amount]]&lt;0,0,Table1[[#This Row],[Claim_Amount]])</f>
        <v>0</v>
      </c>
      <c r="X468" t="str">
        <f>IF(Table1[[#This Row],[Column1]]=0,"",Table1[[#This Row],[Column1]])</f>
        <v/>
      </c>
      <c r="Y468" t="s">
        <v>1098</v>
      </c>
      <c r="Z468">
        <v>2481</v>
      </c>
      <c r="AA468">
        <v>832</v>
      </c>
      <c r="AB468" s="1" t="s">
        <v>1091</v>
      </c>
      <c r="AC468" s="1" t="s">
        <v>18</v>
      </c>
      <c r="AD468">
        <v>9</v>
      </c>
      <c r="AE468" s="3" t="s">
        <v>27</v>
      </c>
    </row>
    <row r="469" spans="1:31" ht="15.75" customHeight="1" x14ac:dyDescent="0.35">
      <c r="A469" s="1" t="s">
        <v>179</v>
      </c>
      <c r="B469" t="s">
        <v>1083</v>
      </c>
      <c r="C469" s="1" t="s">
        <v>455</v>
      </c>
      <c r="D469" s="1" t="s">
        <v>702</v>
      </c>
      <c r="E469" s="5" t="s">
        <v>702</v>
      </c>
      <c r="F469" s="4" t="str">
        <f>IF(ISNUMBER(Table13[[#This Row],[Claim_Date2]]),"",Table13[[#This Row],[Claim_Date2]])</f>
        <v>Mar 06 2023</v>
      </c>
      <c r="G469" s="4" t="s">
        <v>702</v>
      </c>
      <c r="H469" s="4" t="str">
        <f>LEFT(Table13[[#This Row],[Values Col 1]],3)</f>
        <v>Mar</v>
      </c>
      <c r="I469" s="4" t="s">
        <v>1100</v>
      </c>
      <c r="J469" s="4" t="str">
        <f>MID(Table13[[#This Row],[Function Col]],5,2)</f>
        <v>06</v>
      </c>
      <c r="K469" s="4" t="s">
        <v>1132</v>
      </c>
      <c r="L469" s="4" t="str">
        <f>RIGHT(Table13[[#This Row],[Function Col]],4)</f>
        <v>2023</v>
      </c>
      <c r="M469" s="4" t="s">
        <v>1146</v>
      </c>
      <c r="N469" s="4" t="str">
        <f>IF(Table13[[#This Row],[Function Col5]]="","",_xlfn.CONCAT(Table13[[#This Row],[Day Col]],"/",Table13[[#This Row],[Month Col]],"/",Table13[[#This Row],[Year Col]]))</f>
        <v>06/Mar/2023</v>
      </c>
      <c r="O469" s="4" t="s">
        <v>1277</v>
      </c>
      <c r="P469" s="4" t="str">
        <f>IF(ISNUMBER(Table13[[#This Row],[Claim_Date2]]),Table13[[#This Row],[Claim_Date2]],Table13[[#This Row],[Function Col32]])</f>
        <v>06/Mar/2023</v>
      </c>
      <c r="Q469" s="4">
        <v>44991</v>
      </c>
      <c r="R469" s="1" t="s">
        <v>30</v>
      </c>
      <c r="S469" s="1" t="s">
        <v>53</v>
      </c>
      <c r="T469" s="1" t="s">
        <v>24</v>
      </c>
      <c r="U469" s="1"/>
      <c r="V469" s="1">
        <v>3650.13</v>
      </c>
      <c r="W469" s="1">
        <f>IF(Table1[[#This Row],[Claim_Amount]]&lt;0,0,Table1[[#This Row],[Claim_Amount]])</f>
        <v>3650.13</v>
      </c>
      <c r="X469" s="1">
        <f>IF(Table1[[#This Row],[Column1]]=0,"",Table1[[#This Row],[Column1]])</f>
        <v>3650.13</v>
      </c>
      <c r="Y469" s="1">
        <v>3650.13</v>
      </c>
      <c r="Z469" s="1">
        <v>3650.13</v>
      </c>
      <c r="AA469">
        <v>832</v>
      </c>
      <c r="AB469" s="1" t="s">
        <v>1091</v>
      </c>
      <c r="AC469" s="1" t="s">
        <v>32</v>
      </c>
      <c r="AD469">
        <v>9</v>
      </c>
      <c r="AE469" s="3" t="s">
        <v>37</v>
      </c>
    </row>
    <row r="470" spans="1:31" ht="15.75" customHeight="1" x14ac:dyDescent="0.35">
      <c r="A470" s="1" t="s">
        <v>102</v>
      </c>
      <c r="B470" t="s">
        <v>1083</v>
      </c>
      <c r="C470" t="s">
        <v>1084</v>
      </c>
      <c r="D470" s="1" t="s">
        <v>339</v>
      </c>
      <c r="E470" s="5" t="s">
        <v>339</v>
      </c>
      <c r="F470" s="4" t="str">
        <f>IF(ISNUMBER(Table13[[#This Row],[Claim_Date2]]),"",Table13[[#This Row],[Claim_Date2]])</f>
        <v>May 18 2023</v>
      </c>
      <c r="G470" s="4" t="s">
        <v>339</v>
      </c>
      <c r="H470" s="4" t="str">
        <f>LEFT(Table13[[#This Row],[Values Col 1]],3)</f>
        <v>May</v>
      </c>
      <c r="I470" s="4" t="s">
        <v>1110</v>
      </c>
      <c r="J470" s="4" t="str">
        <f>MID(Table13[[#This Row],[Function Col]],5,2)</f>
        <v>18</v>
      </c>
      <c r="K470" s="4" t="s">
        <v>1129</v>
      </c>
      <c r="L470" s="4" t="str">
        <f>RIGHT(Table13[[#This Row],[Function Col]],4)</f>
        <v>2023</v>
      </c>
      <c r="M470" s="4" t="s">
        <v>1146</v>
      </c>
      <c r="N470" s="4" t="str">
        <f>IF(Table13[[#This Row],[Function Col5]]="","",_xlfn.CONCAT(Table13[[#This Row],[Day Col]],"/",Table13[[#This Row],[Month Col]],"/",Table13[[#This Row],[Year Col]]))</f>
        <v>18/May/2023</v>
      </c>
      <c r="O470" s="4" t="s">
        <v>1198</v>
      </c>
      <c r="P470" s="4" t="str">
        <f>IF(ISNUMBER(Table13[[#This Row],[Claim_Date2]]),Table13[[#This Row],[Claim_Date2]],Table13[[#This Row],[Function Col32]])</f>
        <v>18/May/2023</v>
      </c>
      <c r="Q470" s="4">
        <v>45064</v>
      </c>
      <c r="R470" s="1" t="s">
        <v>77</v>
      </c>
      <c r="S470" t="s">
        <v>1085</v>
      </c>
      <c r="T470" s="1" t="s">
        <v>54</v>
      </c>
      <c r="U470" s="1"/>
      <c r="W470">
        <f>IF(Table1[[#This Row],[Claim_Amount]]&lt;0,0,Table1[[#This Row],[Claim_Amount]])</f>
        <v>0</v>
      </c>
      <c r="X470" t="str">
        <f>IF(Table1[[#This Row],[Column1]]=0,"",Table1[[#This Row],[Column1]])</f>
        <v/>
      </c>
      <c r="Y470" t="s">
        <v>1098</v>
      </c>
      <c r="Z470">
        <v>2481</v>
      </c>
      <c r="AA470">
        <v>832</v>
      </c>
      <c r="AB470" s="1" t="s">
        <v>17</v>
      </c>
      <c r="AC470" s="1" t="s">
        <v>1093</v>
      </c>
      <c r="AD470">
        <v>9</v>
      </c>
      <c r="AE470" s="3" t="s">
        <v>37</v>
      </c>
    </row>
    <row r="471" spans="1:31" ht="15.75" customHeight="1" x14ac:dyDescent="0.35">
      <c r="A471" s="1" t="s">
        <v>33</v>
      </c>
      <c r="B471" s="1" t="s">
        <v>703</v>
      </c>
      <c r="C471" t="s">
        <v>1084</v>
      </c>
      <c r="D471" s="1" t="s">
        <v>536</v>
      </c>
      <c r="E471" s="5">
        <v>45208</v>
      </c>
      <c r="F471" s="4" t="str">
        <f>IF(ISNUMBER(Table13[[#This Row],[Claim_Date2]]),"",Table13[[#This Row],[Claim_Date2]])</f>
        <v/>
      </c>
      <c r="G471" s="4" t="s">
        <v>1098</v>
      </c>
      <c r="H471" s="4" t="str">
        <f>LEFT(Table13[[#This Row],[Values Col 1]],3)</f>
        <v/>
      </c>
      <c r="I471" s="4" t="s">
        <v>1098</v>
      </c>
      <c r="J471" s="4" t="str">
        <f>MID(Table13[[#This Row],[Function Col]],5,2)</f>
        <v/>
      </c>
      <c r="K471" s="4" t="s">
        <v>1098</v>
      </c>
      <c r="L471" s="4" t="str">
        <f>RIGHT(Table13[[#This Row],[Function Col]],4)</f>
        <v/>
      </c>
      <c r="M471" s="4" t="s">
        <v>1098</v>
      </c>
      <c r="N471" s="4" t="str">
        <f>IF(Table13[[#This Row],[Function Col5]]="","",_xlfn.CONCAT(Table13[[#This Row],[Day Col]],"/",Table13[[#This Row],[Month Col]],"/",Table13[[#This Row],[Year Col]]))</f>
        <v/>
      </c>
      <c r="O471" s="4" t="s">
        <v>1098</v>
      </c>
      <c r="P471" s="4">
        <f>IF(ISNUMBER(Table13[[#This Row],[Claim_Date2]]),Table13[[#This Row],[Claim_Date2]],Table13[[#This Row],[Function Col32]])</f>
        <v>45208</v>
      </c>
      <c r="Q471" s="4">
        <v>45208</v>
      </c>
      <c r="R471" s="1" t="s">
        <v>92</v>
      </c>
      <c r="S471" s="1" t="s">
        <v>53</v>
      </c>
      <c r="T471" s="1" t="s">
        <v>54</v>
      </c>
      <c r="U471" s="1"/>
      <c r="V471" s="1">
        <v>1790.3</v>
      </c>
      <c r="W471" s="1">
        <f>IF(Table1[[#This Row],[Claim_Amount]]&lt;0,0,Table1[[#This Row],[Claim_Amount]])</f>
        <v>1790.3</v>
      </c>
      <c r="X471" s="1">
        <f>IF(Table1[[#This Row],[Column1]]=0,"",Table1[[#This Row],[Column1]])</f>
        <v>1790.3</v>
      </c>
      <c r="Y471" s="1">
        <v>1790.3</v>
      </c>
      <c r="Z471" s="1">
        <v>1790.3</v>
      </c>
      <c r="AA471">
        <v>832</v>
      </c>
      <c r="AB471" s="1" t="s">
        <v>42</v>
      </c>
      <c r="AC471" s="1" t="s">
        <v>1093</v>
      </c>
      <c r="AD471">
        <v>9</v>
      </c>
      <c r="AE471" s="3" t="s">
        <v>37</v>
      </c>
    </row>
    <row r="472" spans="1:31" ht="15.75" customHeight="1" x14ac:dyDescent="0.35">
      <c r="A472" s="1" t="s">
        <v>70</v>
      </c>
      <c r="B472" t="s">
        <v>1083</v>
      </c>
      <c r="C472" t="s">
        <v>1084</v>
      </c>
      <c r="D472" s="1" t="s">
        <v>603</v>
      </c>
      <c r="E472" s="5">
        <v>44939</v>
      </c>
      <c r="F472" s="4" t="str">
        <f>IF(ISNUMBER(Table13[[#This Row],[Claim_Date2]]),"",Table13[[#This Row],[Claim_Date2]])</f>
        <v/>
      </c>
      <c r="G472" s="4" t="s">
        <v>1098</v>
      </c>
      <c r="H472" s="4" t="str">
        <f>LEFT(Table13[[#This Row],[Values Col 1]],3)</f>
        <v/>
      </c>
      <c r="I472" s="4" t="s">
        <v>1098</v>
      </c>
      <c r="J472" s="4" t="str">
        <f>MID(Table13[[#This Row],[Function Col]],5,2)</f>
        <v/>
      </c>
      <c r="K472" s="4" t="s">
        <v>1098</v>
      </c>
      <c r="L472" s="4" t="str">
        <f>RIGHT(Table13[[#This Row],[Function Col]],4)</f>
        <v/>
      </c>
      <c r="M472" s="4" t="s">
        <v>1098</v>
      </c>
      <c r="N472" s="4" t="str">
        <f>IF(Table13[[#This Row],[Function Col5]]="","",_xlfn.CONCAT(Table13[[#This Row],[Day Col]],"/",Table13[[#This Row],[Month Col]],"/",Table13[[#This Row],[Year Col]]))</f>
        <v/>
      </c>
      <c r="O472" s="4" t="s">
        <v>1098</v>
      </c>
      <c r="P472" s="4">
        <f>IF(ISNUMBER(Table13[[#This Row],[Claim_Date2]]),Table13[[#This Row],[Claim_Date2]],Table13[[#This Row],[Function Col32]])</f>
        <v>44939</v>
      </c>
      <c r="Q472" s="4">
        <v>44939</v>
      </c>
      <c r="R472" s="1" t="s">
        <v>85</v>
      </c>
      <c r="S472" s="1" t="s">
        <v>31</v>
      </c>
      <c r="T472" t="s">
        <v>1086</v>
      </c>
      <c r="W472">
        <f>IF(Table1[[#This Row],[Claim_Amount]]&lt;0,0,Table1[[#This Row],[Claim_Amount]])</f>
        <v>0</v>
      </c>
      <c r="X472" t="str">
        <f>IF(Table1[[#This Row],[Column1]]=0,"",Table1[[#This Row],[Column1]])</f>
        <v/>
      </c>
      <c r="Y472" t="s">
        <v>1098</v>
      </c>
      <c r="Z472">
        <v>2481</v>
      </c>
      <c r="AA472">
        <v>832</v>
      </c>
      <c r="AB472" s="1" t="s">
        <v>1091</v>
      </c>
      <c r="AC472" s="1" t="s">
        <v>26</v>
      </c>
      <c r="AD472">
        <v>9</v>
      </c>
      <c r="AE472" s="3" t="s">
        <v>65</v>
      </c>
    </row>
    <row r="473" spans="1:31" ht="15.75" customHeight="1" x14ac:dyDescent="0.35">
      <c r="A473" s="1" t="s">
        <v>108</v>
      </c>
      <c r="B473" s="1" t="s">
        <v>704</v>
      </c>
      <c r="C473" s="1" t="s">
        <v>356</v>
      </c>
      <c r="D473" s="1" t="s">
        <v>705</v>
      </c>
      <c r="E473" s="5">
        <v>45206</v>
      </c>
      <c r="F473" s="4" t="str">
        <f>IF(ISNUMBER(Table13[[#This Row],[Claim_Date2]]),"",Table13[[#This Row],[Claim_Date2]])</f>
        <v/>
      </c>
      <c r="G473" s="4" t="s">
        <v>1098</v>
      </c>
      <c r="H473" s="4" t="str">
        <f>LEFT(Table13[[#This Row],[Values Col 1]],3)</f>
        <v/>
      </c>
      <c r="I473" s="4" t="s">
        <v>1098</v>
      </c>
      <c r="J473" s="4" t="str">
        <f>MID(Table13[[#This Row],[Function Col]],5,2)</f>
        <v/>
      </c>
      <c r="K473" s="4" t="s">
        <v>1098</v>
      </c>
      <c r="L473" s="4" t="str">
        <f>RIGHT(Table13[[#This Row],[Function Col]],4)</f>
        <v/>
      </c>
      <c r="M473" s="4" t="s">
        <v>1098</v>
      </c>
      <c r="N473" s="4" t="str">
        <f>IF(Table13[[#This Row],[Function Col5]]="","",_xlfn.CONCAT(Table13[[#This Row],[Day Col]],"/",Table13[[#This Row],[Month Col]],"/",Table13[[#This Row],[Year Col]]))</f>
        <v/>
      </c>
      <c r="O473" s="4" t="s">
        <v>1098</v>
      </c>
      <c r="P473" s="4">
        <f>IF(ISNUMBER(Table13[[#This Row],[Claim_Date2]]),Table13[[#This Row],[Claim_Date2]],Table13[[#This Row],[Function Col32]])</f>
        <v>45206</v>
      </c>
      <c r="Q473" s="4">
        <v>45206</v>
      </c>
      <c r="R473" s="1" t="s">
        <v>16</v>
      </c>
      <c r="S473" s="1" t="s">
        <v>31</v>
      </c>
      <c r="T473" s="1" t="s">
        <v>41</v>
      </c>
      <c r="U473" s="1"/>
      <c r="W473">
        <f>IF(Table1[[#This Row],[Claim_Amount]]&lt;0,0,Table1[[#This Row],[Claim_Amount]])</f>
        <v>0</v>
      </c>
      <c r="X473" t="str">
        <f>IF(Table1[[#This Row],[Column1]]=0,"",Table1[[#This Row],[Column1]])</f>
        <v/>
      </c>
      <c r="Y473" t="s">
        <v>1098</v>
      </c>
      <c r="Z473">
        <v>2481</v>
      </c>
      <c r="AA473">
        <v>832</v>
      </c>
      <c r="AB473" s="1" t="s">
        <v>17</v>
      </c>
      <c r="AC473" s="1" t="s">
        <v>57</v>
      </c>
      <c r="AD473">
        <v>9</v>
      </c>
      <c r="AE473" s="3" t="s">
        <v>19</v>
      </c>
    </row>
    <row r="474" spans="1:31" ht="15.75" customHeight="1" x14ac:dyDescent="0.35">
      <c r="A474" s="1" t="s">
        <v>202</v>
      </c>
      <c r="B474" t="s">
        <v>1083</v>
      </c>
      <c r="C474" t="s">
        <v>1084</v>
      </c>
      <c r="D474" s="1" t="s">
        <v>706</v>
      </c>
      <c r="E474" s="5">
        <v>45134</v>
      </c>
      <c r="F474" s="4" t="str">
        <f>IF(ISNUMBER(Table13[[#This Row],[Claim_Date2]]),"",Table13[[#This Row],[Claim_Date2]])</f>
        <v/>
      </c>
      <c r="G474" s="4" t="s">
        <v>1098</v>
      </c>
      <c r="H474" s="4" t="str">
        <f>LEFT(Table13[[#This Row],[Values Col 1]],3)</f>
        <v/>
      </c>
      <c r="I474" s="4" t="s">
        <v>1098</v>
      </c>
      <c r="J474" s="4" t="str">
        <f>MID(Table13[[#This Row],[Function Col]],5,2)</f>
        <v/>
      </c>
      <c r="K474" s="4" t="s">
        <v>1098</v>
      </c>
      <c r="L474" s="4" t="str">
        <f>RIGHT(Table13[[#This Row],[Function Col]],4)</f>
        <v/>
      </c>
      <c r="M474" s="4" t="s">
        <v>1098</v>
      </c>
      <c r="N474" s="4" t="str">
        <f>IF(Table13[[#This Row],[Function Col5]]="","",_xlfn.CONCAT(Table13[[#This Row],[Day Col]],"/",Table13[[#This Row],[Month Col]],"/",Table13[[#This Row],[Year Col]]))</f>
        <v/>
      </c>
      <c r="O474" s="4" t="s">
        <v>1098</v>
      </c>
      <c r="P474" s="4">
        <f>IF(ISNUMBER(Table13[[#This Row],[Claim_Date2]]),Table13[[#This Row],[Claim_Date2]],Table13[[#This Row],[Function Col32]])</f>
        <v>45134</v>
      </c>
      <c r="Q474" s="4">
        <v>45134</v>
      </c>
      <c r="R474" s="1" t="s">
        <v>77</v>
      </c>
      <c r="S474" t="s">
        <v>1085</v>
      </c>
      <c r="T474" s="1" t="s">
        <v>54</v>
      </c>
      <c r="U474" s="1"/>
      <c r="V474" s="1">
        <v>-48</v>
      </c>
      <c r="W474" s="1">
        <f>IF(Table1[[#This Row],[Claim_Amount]]&lt;0,0,Table1[[#This Row],[Claim_Amount]])</f>
        <v>0</v>
      </c>
      <c r="X474" s="1" t="str">
        <f>IF(Table1[[#This Row],[Column1]]=0,"",Table1[[#This Row],[Column1]])</f>
        <v/>
      </c>
      <c r="Y474" s="1" t="s">
        <v>1098</v>
      </c>
      <c r="Z474" s="1">
        <v>2481</v>
      </c>
      <c r="AA474">
        <v>832</v>
      </c>
      <c r="AB474" s="1" t="s">
        <v>17</v>
      </c>
      <c r="AC474" s="1" t="s">
        <v>1093</v>
      </c>
      <c r="AD474">
        <v>9</v>
      </c>
      <c r="AE474" s="3" t="s">
        <v>1097</v>
      </c>
    </row>
    <row r="475" spans="1:31" ht="15.75" customHeight="1" x14ac:dyDescent="0.35">
      <c r="A475" s="1" t="s">
        <v>179</v>
      </c>
      <c r="B475" t="s">
        <v>1083</v>
      </c>
      <c r="C475" t="s">
        <v>1084</v>
      </c>
      <c r="D475" s="1" t="s">
        <v>707</v>
      </c>
      <c r="E475" s="5">
        <v>45101</v>
      </c>
      <c r="F475" s="4" t="str">
        <f>IF(ISNUMBER(Table13[[#This Row],[Claim_Date2]]),"",Table13[[#This Row],[Claim_Date2]])</f>
        <v/>
      </c>
      <c r="G475" s="4" t="s">
        <v>1098</v>
      </c>
      <c r="H475" s="4" t="str">
        <f>LEFT(Table13[[#This Row],[Values Col 1]],3)</f>
        <v/>
      </c>
      <c r="I475" s="4" t="s">
        <v>1098</v>
      </c>
      <c r="J475" s="4" t="str">
        <f>MID(Table13[[#This Row],[Function Col]],5,2)</f>
        <v/>
      </c>
      <c r="K475" s="4" t="s">
        <v>1098</v>
      </c>
      <c r="L475" s="4" t="str">
        <f>RIGHT(Table13[[#This Row],[Function Col]],4)</f>
        <v/>
      </c>
      <c r="M475" s="4" t="s">
        <v>1098</v>
      </c>
      <c r="N475" s="4" t="str">
        <f>IF(Table13[[#This Row],[Function Col5]]="","",_xlfn.CONCAT(Table13[[#This Row],[Day Col]],"/",Table13[[#This Row],[Month Col]],"/",Table13[[#This Row],[Year Col]]))</f>
        <v/>
      </c>
      <c r="O475" s="4" t="s">
        <v>1098</v>
      </c>
      <c r="P475" s="4">
        <f>IF(ISNUMBER(Table13[[#This Row],[Claim_Date2]]),Table13[[#This Row],[Claim_Date2]],Table13[[#This Row],[Function Col32]])</f>
        <v>45101</v>
      </c>
      <c r="Q475" s="4">
        <v>45101</v>
      </c>
      <c r="R475" s="1" t="s">
        <v>77</v>
      </c>
      <c r="S475" t="s">
        <v>1085</v>
      </c>
      <c r="T475" s="1" t="s">
        <v>48</v>
      </c>
      <c r="U475" s="1"/>
      <c r="V475" s="1">
        <v>1087.44</v>
      </c>
      <c r="W475" s="1">
        <f>IF(Table1[[#This Row],[Claim_Amount]]&lt;0,0,Table1[[#This Row],[Claim_Amount]])</f>
        <v>1087.44</v>
      </c>
      <c r="X475" s="1">
        <f>IF(Table1[[#This Row],[Column1]]=0,"",Table1[[#This Row],[Column1]])</f>
        <v>1087.44</v>
      </c>
      <c r="Y475" s="1">
        <v>1087.44</v>
      </c>
      <c r="Z475" s="1">
        <v>1087.44</v>
      </c>
      <c r="AA475">
        <v>832</v>
      </c>
      <c r="AB475" s="1" t="s">
        <v>17</v>
      </c>
      <c r="AC475" s="1" t="s">
        <v>32</v>
      </c>
      <c r="AD475">
        <v>9</v>
      </c>
      <c r="AE475" s="3" t="s">
        <v>19</v>
      </c>
    </row>
    <row r="476" spans="1:31" ht="15.75" customHeight="1" x14ac:dyDescent="0.35">
      <c r="A476" s="1" t="s">
        <v>117</v>
      </c>
      <c r="B476" t="s">
        <v>1083</v>
      </c>
      <c r="C476" s="1" t="s">
        <v>696</v>
      </c>
      <c r="D476" s="1" t="s">
        <v>489</v>
      </c>
      <c r="E476" s="5">
        <v>45144</v>
      </c>
      <c r="F476" s="4" t="str">
        <f>IF(ISNUMBER(Table13[[#This Row],[Claim_Date2]]),"",Table13[[#This Row],[Claim_Date2]])</f>
        <v/>
      </c>
      <c r="G476" s="4" t="s">
        <v>1098</v>
      </c>
      <c r="H476" s="4" t="str">
        <f>LEFT(Table13[[#This Row],[Values Col 1]],3)</f>
        <v/>
      </c>
      <c r="I476" s="4" t="s">
        <v>1098</v>
      </c>
      <c r="J476" s="4" t="str">
        <f>MID(Table13[[#This Row],[Function Col]],5,2)</f>
        <v/>
      </c>
      <c r="K476" s="4" t="s">
        <v>1098</v>
      </c>
      <c r="L476" s="4" t="str">
        <f>RIGHT(Table13[[#This Row],[Function Col]],4)</f>
        <v/>
      </c>
      <c r="M476" s="4" t="s">
        <v>1098</v>
      </c>
      <c r="N476" s="4" t="str">
        <f>IF(Table13[[#This Row],[Function Col5]]="","",_xlfn.CONCAT(Table13[[#This Row],[Day Col]],"/",Table13[[#This Row],[Month Col]],"/",Table13[[#This Row],[Year Col]]))</f>
        <v/>
      </c>
      <c r="O476" s="4" t="s">
        <v>1098</v>
      </c>
      <c r="P476" s="4">
        <f>IF(ISNUMBER(Table13[[#This Row],[Claim_Date2]]),Table13[[#This Row],[Claim_Date2]],Table13[[#This Row],[Function Col32]])</f>
        <v>45144</v>
      </c>
      <c r="Q476" s="4">
        <v>45144</v>
      </c>
      <c r="R476" s="1" t="s">
        <v>85</v>
      </c>
      <c r="S476" t="s">
        <v>1085</v>
      </c>
      <c r="T476" s="1" t="s">
        <v>54</v>
      </c>
      <c r="U476" s="1"/>
      <c r="V476" s="1">
        <v>1533.2</v>
      </c>
      <c r="W476" s="1">
        <f>IF(Table1[[#This Row],[Claim_Amount]]&lt;0,0,Table1[[#This Row],[Claim_Amount]])</f>
        <v>1533.2</v>
      </c>
      <c r="X476" s="1">
        <f>IF(Table1[[#This Row],[Column1]]=0,"",Table1[[#This Row],[Column1]])</f>
        <v>1533.2</v>
      </c>
      <c r="Y476" s="1">
        <v>1533.2</v>
      </c>
      <c r="Z476" s="1">
        <v>1533.2</v>
      </c>
      <c r="AA476" s="1">
        <v>2859.51</v>
      </c>
      <c r="AB476" s="1" t="s">
        <v>17</v>
      </c>
      <c r="AC476" s="1" t="s">
        <v>18</v>
      </c>
      <c r="AD476">
        <v>9</v>
      </c>
      <c r="AE476" s="3" t="s">
        <v>1097</v>
      </c>
    </row>
    <row r="477" spans="1:31" ht="15.75" customHeight="1" x14ac:dyDescent="0.35">
      <c r="A477" s="1" t="s">
        <v>13</v>
      </c>
      <c r="B477" t="s">
        <v>1083</v>
      </c>
      <c r="C477" t="s">
        <v>1084</v>
      </c>
      <c r="D477" s="1" t="s">
        <v>448</v>
      </c>
      <c r="E477" s="5">
        <v>45122</v>
      </c>
      <c r="F477" s="4" t="str">
        <f>IF(ISNUMBER(Table13[[#This Row],[Claim_Date2]]),"",Table13[[#This Row],[Claim_Date2]])</f>
        <v/>
      </c>
      <c r="G477" s="4" t="s">
        <v>1098</v>
      </c>
      <c r="H477" s="4" t="str">
        <f>LEFT(Table13[[#This Row],[Values Col 1]],3)</f>
        <v/>
      </c>
      <c r="I477" s="4" t="s">
        <v>1098</v>
      </c>
      <c r="J477" s="4" t="str">
        <f>MID(Table13[[#This Row],[Function Col]],5,2)</f>
        <v/>
      </c>
      <c r="K477" s="4" t="s">
        <v>1098</v>
      </c>
      <c r="L477" s="4" t="str">
        <f>RIGHT(Table13[[#This Row],[Function Col]],4)</f>
        <v/>
      </c>
      <c r="M477" s="4" t="s">
        <v>1098</v>
      </c>
      <c r="N477" s="4" t="str">
        <f>IF(Table13[[#This Row],[Function Col5]]="","",_xlfn.CONCAT(Table13[[#This Row],[Day Col]],"/",Table13[[#This Row],[Month Col]],"/",Table13[[#This Row],[Year Col]]))</f>
        <v/>
      </c>
      <c r="O477" s="4" t="s">
        <v>1098</v>
      </c>
      <c r="P477" s="4">
        <f>IF(ISNUMBER(Table13[[#This Row],[Claim_Date2]]),Table13[[#This Row],[Claim_Date2]],Table13[[#This Row],[Function Col32]])</f>
        <v>45122</v>
      </c>
      <c r="Q477" s="4">
        <v>45122</v>
      </c>
      <c r="R477" s="1" t="s">
        <v>30</v>
      </c>
      <c r="S477" s="1" t="s">
        <v>53</v>
      </c>
      <c r="T477" s="1" t="s">
        <v>24</v>
      </c>
      <c r="U477" s="1"/>
      <c r="V477" s="1">
        <v>-94</v>
      </c>
      <c r="W477" s="1">
        <f>IF(Table1[[#This Row],[Claim_Amount]]&lt;0,0,Table1[[#This Row],[Claim_Amount]])</f>
        <v>0</v>
      </c>
      <c r="X477" s="1" t="str">
        <f>IF(Table1[[#This Row],[Column1]]=0,"",Table1[[#This Row],[Column1]])</f>
        <v/>
      </c>
      <c r="Y477" s="1" t="s">
        <v>1098</v>
      </c>
      <c r="Z477" s="1">
        <v>2481</v>
      </c>
      <c r="AA477">
        <v>832</v>
      </c>
      <c r="AB477" s="1" t="s">
        <v>25</v>
      </c>
      <c r="AC477" s="1" t="s">
        <v>18</v>
      </c>
      <c r="AD477">
        <v>9</v>
      </c>
      <c r="AE477" s="3" t="s">
        <v>1097</v>
      </c>
    </row>
    <row r="478" spans="1:31" ht="15.75" customHeight="1" x14ac:dyDescent="0.35">
      <c r="A478" s="1" t="s">
        <v>102</v>
      </c>
      <c r="B478" t="s">
        <v>1083</v>
      </c>
      <c r="C478" t="s">
        <v>1084</v>
      </c>
      <c r="D478" s="1" t="s">
        <v>708</v>
      </c>
      <c r="E478" s="5">
        <v>44940</v>
      </c>
      <c r="F478" s="4" t="str">
        <f>IF(ISNUMBER(Table13[[#This Row],[Claim_Date2]]),"",Table13[[#This Row],[Claim_Date2]])</f>
        <v/>
      </c>
      <c r="G478" s="4" t="s">
        <v>1098</v>
      </c>
      <c r="H478" s="4" t="str">
        <f>LEFT(Table13[[#This Row],[Values Col 1]],3)</f>
        <v/>
      </c>
      <c r="I478" s="4" t="s">
        <v>1098</v>
      </c>
      <c r="J478" s="4" t="str">
        <f>MID(Table13[[#This Row],[Function Col]],5,2)</f>
        <v/>
      </c>
      <c r="K478" s="4" t="s">
        <v>1098</v>
      </c>
      <c r="L478" s="4" t="str">
        <f>RIGHT(Table13[[#This Row],[Function Col]],4)</f>
        <v/>
      </c>
      <c r="M478" s="4" t="s">
        <v>1098</v>
      </c>
      <c r="N478" s="4" t="str">
        <f>IF(Table13[[#This Row],[Function Col5]]="","",_xlfn.CONCAT(Table13[[#This Row],[Day Col]],"/",Table13[[#This Row],[Month Col]],"/",Table13[[#This Row],[Year Col]]))</f>
        <v/>
      </c>
      <c r="O478" s="4" t="s">
        <v>1098</v>
      </c>
      <c r="P478" s="4">
        <f>IF(ISNUMBER(Table13[[#This Row],[Claim_Date2]]),Table13[[#This Row],[Claim_Date2]],Table13[[#This Row],[Function Col32]])</f>
        <v>44940</v>
      </c>
      <c r="Q478" s="4">
        <v>44940</v>
      </c>
      <c r="R478" s="1" t="s">
        <v>77</v>
      </c>
      <c r="S478" s="1" t="s">
        <v>31</v>
      </c>
      <c r="T478" s="1" t="s">
        <v>24</v>
      </c>
      <c r="U478" s="1"/>
      <c r="V478" s="1">
        <v>1203.55</v>
      </c>
      <c r="W478" s="1">
        <f>IF(Table1[[#This Row],[Claim_Amount]]&lt;0,0,Table1[[#This Row],[Claim_Amount]])</f>
        <v>1203.55</v>
      </c>
      <c r="X478" s="1">
        <f>IF(Table1[[#This Row],[Column1]]=0,"",Table1[[#This Row],[Column1]])</f>
        <v>1203.55</v>
      </c>
      <c r="Y478" s="1">
        <v>1203.55</v>
      </c>
      <c r="Z478" s="1">
        <v>1203.55</v>
      </c>
      <c r="AA478">
        <v>832</v>
      </c>
      <c r="AB478" s="1" t="s">
        <v>1091</v>
      </c>
      <c r="AC478" s="1" t="s">
        <v>26</v>
      </c>
      <c r="AD478">
        <v>9</v>
      </c>
      <c r="AE478" s="3" t="s">
        <v>37</v>
      </c>
    </row>
    <row r="479" spans="1:31" ht="15.75" customHeight="1" x14ac:dyDescent="0.35">
      <c r="A479" s="1" t="s">
        <v>78</v>
      </c>
      <c r="B479" s="1" t="s">
        <v>709</v>
      </c>
      <c r="C479" t="s">
        <v>1084</v>
      </c>
      <c r="D479" s="1" t="s">
        <v>710</v>
      </c>
      <c r="E479" s="5">
        <v>45171</v>
      </c>
      <c r="F479" s="4" t="str">
        <f>IF(ISNUMBER(Table13[[#This Row],[Claim_Date2]]),"",Table13[[#This Row],[Claim_Date2]])</f>
        <v/>
      </c>
      <c r="G479" s="4" t="s">
        <v>1098</v>
      </c>
      <c r="H479" s="4" t="str">
        <f>LEFT(Table13[[#This Row],[Values Col 1]],3)</f>
        <v/>
      </c>
      <c r="I479" s="4" t="s">
        <v>1098</v>
      </c>
      <c r="J479" s="4" t="str">
        <f>MID(Table13[[#This Row],[Function Col]],5,2)</f>
        <v/>
      </c>
      <c r="K479" s="4" t="s">
        <v>1098</v>
      </c>
      <c r="L479" s="4" t="str">
        <f>RIGHT(Table13[[#This Row],[Function Col]],4)</f>
        <v/>
      </c>
      <c r="M479" s="4" t="s">
        <v>1098</v>
      </c>
      <c r="N479" s="4" t="str">
        <f>IF(Table13[[#This Row],[Function Col5]]="","",_xlfn.CONCAT(Table13[[#This Row],[Day Col]],"/",Table13[[#This Row],[Month Col]],"/",Table13[[#This Row],[Year Col]]))</f>
        <v/>
      </c>
      <c r="O479" s="4" t="s">
        <v>1098</v>
      </c>
      <c r="P479" s="4">
        <f>IF(ISNUMBER(Table13[[#This Row],[Claim_Date2]]),Table13[[#This Row],[Claim_Date2]],Table13[[#This Row],[Function Col32]])</f>
        <v>45171</v>
      </c>
      <c r="Q479" s="4">
        <v>45171</v>
      </c>
      <c r="R479" s="1" t="s">
        <v>85</v>
      </c>
      <c r="S479" s="1" t="s">
        <v>93</v>
      </c>
      <c r="T479" s="1" t="s">
        <v>41</v>
      </c>
      <c r="U479" s="1"/>
      <c r="V479" s="1">
        <v>-191</v>
      </c>
      <c r="W479" s="1">
        <f>IF(Table1[[#This Row],[Claim_Amount]]&lt;0,0,Table1[[#This Row],[Claim_Amount]])</f>
        <v>0</v>
      </c>
      <c r="X479" s="1" t="str">
        <f>IF(Table1[[#This Row],[Column1]]=0,"",Table1[[#This Row],[Column1]])</f>
        <v/>
      </c>
      <c r="Y479" s="1" t="s">
        <v>1098</v>
      </c>
      <c r="Z479" s="1">
        <v>2481</v>
      </c>
      <c r="AA479">
        <v>832</v>
      </c>
      <c r="AB479" s="1" t="s">
        <v>42</v>
      </c>
      <c r="AC479" s="1" t="s">
        <v>57</v>
      </c>
      <c r="AD479">
        <v>9</v>
      </c>
      <c r="AE479" s="3" t="s">
        <v>37</v>
      </c>
    </row>
    <row r="480" spans="1:31" ht="15.75" customHeight="1" x14ac:dyDescent="0.35">
      <c r="A480" s="1" t="s">
        <v>38</v>
      </c>
      <c r="B480" s="1" t="s">
        <v>695</v>
      </c>
      <c r="C480" t="s">
        <v>1084</v>
      </c>
      <c r="D480" s="1" t="s">
        <v>690</v>
      </c>
      <c r="E480" s="5">
        <v>44959</v>
      </c>
      <c r="F480" s="4" t="str">
        <f>IF(ISNUMBER(Table13[[#This Row],[Claim_Date2]]),"",Table13[[#This Row],[Claim_Date2]])</f>
        <v/>
      </c>
      <c r="G480" s="4" t="s">
        <v>1098</v>
      </c>
      <c r="H480" s="4" t="str">
        <f>LEFT(Table13[[#This Row],[Values Col 1]],3)</f>
        <v/>
      </c>
      <c r="I480" s="4" t="s">
        <v>1098</v>
      </c>
      <c r="J480" s="4" t="str">
        <f>MID(Table13[[#This Row],[Function Col]],5,2)</f>
        <v/>
      </c>
      <c r="K480" s="4" t="s">
        <v>1098</v>
      </c>
      <c r="L480" s="4" t="str">
        <f>RIGHT(Table13[[#This Row],[Function Col]],4)</f>
        <v/>
      </c>
      <c r="M480" s="4" t="s">
        <v>1098</v>
      </c>
      <c r="N480" s="4" t="str">
        <f>IF(Table13[[#This Row],[Function Col5]]="","",_xlfn.CONCAT(Table13[[#This Row],[Day Col]],"/",Table13[[#This Row],[Month Col]],"/",Table13[[#This Row],[Year Col]]))</f>
        <v/>
      </c>
      <c r="O480" s="4" t="s">
        <v>1098</v>
      </c>
      <c r="P480" s="4">
        <f>IF(ISNUMBER(Table13[[#This Row],[Claim_Date2]]),Table13[[#This Row],[Claim_Date2]],Table13[[#This Row],[Function Col32]])</f>
        <v>44959</v>
      </c>
      <c r="Q480" s="4">
        <v>44959</v>
      </c>
      <c r="R480" s="1" t="s">
        <v>30</v>
      </c>
      <c r="S480" s="1" t="s">
        <v>31</v>
      </c>
      <c r="T480" s="1" t="s">
        <v>54</v>
      </c>
      <c r="U480" s="1"/>
      <c r="V480" s="1">
        <v>-127</v>
      </c>
      <c r="W480" s="1">
        <f>IF(Table1[[#This Row],[Claim_Amount]]&lt;0,0,Table1[[#This Row],[Claim_Amount]])</f>
        <v>0</v>
      </c>
      <c r="X480" s="1" t="str">
        <f>IF(Table1[[#This Row],[Column1]]=0,"",Table1[[#This Row],[Column1]])</f>
        <v/>
      </c>
      <c r="Y480" s="1" t="s">
        <v>1098</v>
      </c>
      <c r="Z480" s="1">
        <v>2481</v>
      </c>
      <c r="AA480">
        <v>832</v>
      </c>
      <c r="AB480" s="1" t="s">
        <v>25</v>
      </c>
      <c r="AC480" s="1" t="s">
        <v>32</v>
      </c>
      <c r="AD480">
        <v>9</v>
      </c>
      <c r="AE480" s="3" t="s">
        <v>27</v>
      </c>
    </row>
    <row r="481" spans="1:31" ht="15.75" customHeight="1" x14ac:dyDescent="0.35">
      <c r="A481" s="1" t="s">
        <v>321</v>
      </c>
      <c r="B481" t="s">
        <v>1083</v>
      </c>
      <c r="C481" s="1" t="s">
        <v>331</v>
      </c>
      <c r="D481" s="1" t="s">
        <v>711</v>
      </c>
      <c r="E481" s="5" t="s">
        <v>711</v>
      </c>
      <c r="F481" s="4" t="str">
        <f>IF(ISNUMBER(Table13[[#This Row],[Claim_Date2]]),"",Table13[[#This Row],[Claim_Date2]])</f>
        <v>Apr 02 2023</v>
      </c>
      <c r="G481" s="4" t="s">
        <v>711</v>
      </c>
      <c r="H481" s="4" t="str">
        <f>LEFT(Table13[[#This Row],[Values Col 1]],3)</f>
        <v>Apr</v>
      </c>
      <c r="I481" s="4" t="s">
        <v>1104</v>
      </c>
      <c r="J481" s="4" t="str">
        <f>MID(Table13[[#This Row],[Function Col]],5,2)</f>
        <v>02</v>
      </c>
      <c r="K481" s="4" t="s">
        <v>1130</v>
      </c>
      <c r="L481" s="4" t="str">
        <f>RIGHT(Table13[[#This Row],[Function Col]],4)</f>
        <v>2023</v>
      </c>
      <c r="M481" s="4" t="s">
        <v>1146</v>
      </c>
      <c r="N481" s="4" t="str">
        <f>IF(Table13[[#This Row],[Function Col5]]="","",_xlfn.CONCAT(Table13[[#This Row],[Day Col]],"/",Table13[[#This Row],[Month Col]],"/",Table13[[#This Row],[Year Col]]))</f>
        <v>02/Apr/2023</v>
      </c>
      <c r="O481" s="4" t="s">
        <v>1278</v>
      </c>
      <c r="P481" s="4" t="str">
        <f>IF(ISNUMBER(Table13[[#This Row],[Claim_Date2]]),Table13[[#This Row],[Claim_Date2]],Table13[[#This Row],[Function Col32]])</f>
        <v>02/Apr/2023</v>
      </c>
      <c r="Q481" s="4">
        <v>45018</v>
      </c>
      <c r="R481" s="1" t="s">
        <v>16</v>
      </c>
      <c r="S481" s="1" t="s">
        <v>53</v>
      </c>
      <c r="T481" s="1" t="s">
        <v>48</v>
      </c>
      <c r="U481" s="1"/>
      <c r="W481">
        <f>IF(Table1[[#This Row],[Claim_Amount]]&lt;0,0,Table1[[#This Row],[Claim_Amount]])</f>
        <v>0</v>
      </c>
      <c r="X481" t="str">
        <f>IF(Table1[[#This Row],[Column1]]=0,"",Table1[[#This Row],[Column1]])</f>
        <v/>
      </c>
      <c r="Y481" t="s">
        <v>1098</v>
      </c>
      <c r="Z481">
        <v>2481</v>
      </c>
      <c r="AA481" s="1">
        <v>3507.68</v>
      </c>
      <c r="AB481" s="1" t="s">
        <v>25</v>
      </c>
      <c r="AC481" s="1" t="s">
        <v>26</v>
      </c>
      <c r="AD481" s="1">
        <v>15</v>
      </c>
      <c r="AE481" s="3" t="s">
        <v>27</v>
      </c>
    </row>
    <row r="482" spans="1:31" ht="15.75" customHeight="1" x14ac:dyDescent="0.35">
      <c r="A482" s="1" t="s">
        <v>13</v>
      </c>
      <c r="B482" t="s">
        <v>1083</v>
      </c>
      <c r="C482" s="1" t="s">
        <v>158</v>
      </c>
      <c r="D482" s="1" t="s">
        <v>712</v>
      </c>
      <c r="E482" s="5">
        <v>45038</v>
      </c>
      <c r="F482" s="4" t="str">
        <f>IF(ISNUMBER(Table13[[#This Row],[Claim_Date2]]),"",Table13[[#This Row],[Claim_Date2]])</f>
        <v/>
      </c>
      <c r="G482" s="4" t="s">
        <v>1098</v>
      </c>
      <c r="H482" s="4" t="str">
        <f>LEFT(Table13[[#This Row],[Values Col 1]],3)</f>
        <v/>
      </c>
      <c r="I482" s="4" t="s">
        <v>1098</v>
      </c>
      <c r="J482" s="4" t="str">
        <f>MID(Table13[[#This Row],[Function Col]],5,2)</f>
        <v/>
      </c>
      <c r="K482" s="4" t="s">
        <v>1098</v>
      </c>
      <c r="L482" s="4" t="str">
        <f>RIGHT(Table13[[#This Row],[Function Col]],4)</f>
        <v/>
      </c>
      <c r="M482" s="4" t="s">
        <v>1098</v>
      </c>
      <c r="N482" s="4" t="str">
        <f>IF(Table13[[#This Row],[Function Col5]]="","",_xlfn.CONCAT(Table13[[#This Row],[Day Col]],"/",Table13[[#This Row],[Month Col]],"/",Table13[[#This Row],[Year Col]]))</f>
        <v/>
      </c>
      <c r="O482" s="4" t="s">
        <v>1098</v>
      </c>
      <c r="P482" s="4">
        <f>IF(ISNUMBER(Table13[[#This Row],[Claim_Date2]]),Table13[[#This Row],[Claim_Date2]],Table13[[#This Row],[Function Col32]])</f>
        <v>45038</v>
      </c>
      <c r="Q482" s="4">
        <v>45038</v>
      </c>
      <c r="R482" s="1" t="s">
        <v>85</v>
      </c>
      <c r="S482" s="1" t="s">
        <v>47</v>
      </c>
      <c r="T482" s="1" t="s">
        <v>61</v>
      </c>
      <c r="U482" s="1"/>
      <c r="V482" s="1">
        <v>4976.82</v>
      </c>
      <c r="W482" s="1">
        <f>IF(Table1[[#This Row],[Claim_Amount]]&lt;0,0,Table1[[#This Row],[Claim_Amount]])</f>
        <v>4976.82</v>
      </c>
      <c r="X482" s="1">
        <f>IF(Table1[[#This Row],[Column1]]=0,"",Table1[[#This Row],[Column1]])</f>
        <v>4976.82</v>
      </c>
      <c r="Y482" s="1">
        <v>4976.82</v>
      </c>
      <c r="Z482" s="1">
        <v>4976.82</v>
      </c>
      <c r="AA482">
        <v>832</v>
      </c>
      <c r="AB482" s="1" t="s">
        <v>25</v>
      </c>
      <c r="AC482" s="1" t="s">
        <v>1093</v>
      </c>
      <c r="AD482">
        <v>9</v>
      </c>
      <c r="AE482" s="3" t="s">
        <v>65</v>
      </c>
    </row>
    <row r="483" spans="1:31" ht="15.75" customHeight="1" x14ac:dyDescent="0.35">
      <c r="A483" s="1" t="s">
        <v>163</v>
      </c>
      <c r="B483" t="s">
        <v>1083</v>
      </c>
      <c r="C483" s="1" t="s">
        <v>193</v>
      </c>
      <c r="D483" s="1" t="s">
        <v>713</v>
      </c>
      <c r="E483" s="5" t="s">
        <v>713</v>
      </c>
      <c r="F483" s="4" t="str">
        <f>IF(ISNUMBER(Table13[[#This Row],[Claim_Date2]]),"",Table13[[#This Row],[Claim_Date2]])</f>
        <v>Dec 12 2023</v>
      </c>
      <c r="G483" s="4" t="s">
        <v>713</v>
      </c>
      <c r="H483" s="4" t="str">
        <f>LEFT(Table13[[#This Row],[Values Col 1]],3)</f>
        <v>Dec</v>
      </c>
      <c r="I483" s="4" t="s">
        <v>1111</v>
      </c>
      <c r="J483" s="4" t="str">
        <f>MID(Table13[[#This Row],[Function Col]],5,2)</f>
        <v>12</v>
      </c>
      <c r="K483" s="4" t="s">
        <v>1135</v>
      </c>
      <c r="L483" s="4" t="str">
        <f>RIGHT(Table13[[#This Row],[Function Col]],4)</f>
        <v>2023</v>
      </c>
      <c r="M483" s="4" t="s">
        <v>1146</v>
      </c>
      <c r="N483" s="4" t="str">
        <f>IF(Table13[[#This Row],[Function Col5]]="","",_xlfn.CONCAT(Table13[[#This Row],[Day Col]],"/",Table13[[#This Row],[Month Col]],"/",Table13[[#This Row],[Year Col]]))</f>
        <v>12/Dec/2023</v>
      </c>
      <c r="O483" s="4" t="s">
        <v>1279</v>
      </c>
      <c r="P483" s="4" t="str">
        <f>IF(ISNUMBER(Table13[[#This Row],[Claim_Date2]]),Table13[[#This Row],[Claim_Date2]],Table13[[#This Row],[Function Col32]])</f>
        <v>12/Dec/2023</v>
      </c>
      <c r="Q483" s="4">
        <v>45272</v>
      </c>
      <c r="R483" s="1" t="s">
        <v>77</v>
      </c>
      <c r="S483" s="1" t="s">
        <v>53</v>
      </c>
      <c r="T483" s="1" t="s">
        <v>41</v>
      </c>
      <c r="U483" s="1"/>
      <c r="V483" s="1">
        <v>-59</v>
      </c>
      <c r="W483" s="1">
        <f>IF(Table1[[#This Row],[Claim_Amount]]&lt;0,0,Table1[[#This Row],[Claim_Amount]])</f>
        <v>0</v>
      </c>
      <c r="X483" s="1" t="str">
        <f>IF(Table1[[#This Row],[Column1]]=0,"",Table1[[#This Row],[Column1]])</f>
        <v/>
      </c>
      <c r="Y483" s="1" t="s">
        <v>1098</v>
      </c>
      <c r="Z483" s="1">
        <v>2481</v>
      </c>
      <c r="AA483">
        <v>832</v>
      </c>
      <c r="AB483" s="1" t="s">
        <v>25</v>
      </c>
      <c r="AC483" s="1" t="s">
        <v>18</v>
      </c>
      <c r="AD483">
        <v>9</v>
      </c>
      <c r="AE483" s="3" t="s">
        <v>37</v>
      </c>
    </row>
    <row r="484" spans="1:31" ht="15.75" customHeight="1" x14ac:dyDescent="0.35">
      <c r="A484" s="1" t="s">
        <v>117</v>
      </c>
      <c r="B484" s="1" t="s">
        <v>714</v>
      </c>
      <c r="C484" s="1" t="s">
        <v>203</v>
      </c>
      <c r="D484" s="1" t="s">
        <v>715</v>
      </c>
      <c r="E484" s="5">
        <v>45151</v>
      </c>
      <c r="F484" s="4" t="str">
        <f>IF(ISNUMBER(Table13[[#This Row],[Claim_Date2]]),"",Table13[[#This Row],[Claim_Date2]])</f>
        <v/>
      </c>
      <c r="G484" s="4" t="s">
        <v>1098</v>
      </c>
      <c r="H484" s="4" t="str">
        <f>LEFT(Table13[[#This Row],[Values Col 1]],3)</f>
        <v/>
      </c>
      <c r="I484" s="4" t="s">
        <v>1098</v>
      </c>
      <c r="J484" s="4" t="str">
        <f>MID(Table13[[#This Row],[Function Col]],5,2)</f>
        <v/>
      </c>
      <c r="K484" s="4" t="s">
        <v>1098</v>
      </c>
      <c r="L484" s="4" t="str">
        <f>RIGHT(Table13[[#This Row],[Function Col]],4)</f>
        <v/>
      </c>
      <c r="M484" s="4" t="s">
        <v>1098</v>
      </c>
      <c r="N484" s="4" t="str">
        <f>IF(Table13[[#This Row],[Function Col5]]="","",_xlfn.CONCAT(Table13[[#This Row],[Day Col]],"/",Table13[[#This Row],[Month Col]],"/",Table13[[#This Row],[Year Col]]))</f>
        <v/>
      </c>
      <c r="O484" s="4" t="s">
        <v>1098</v>
      </c>
      <c r="P484" s="4">
        <f>IF(ISNUMBER(Table13[[#This Row],[Claim_Date2]]),Table13[[#This Row],[Claim_Date2]],Table13[[#This Row],[Function Col32]])</f>
        <v>45151</v>
      </c>
      <c r="Q484" s="4">
        <v>45151</v>
      </c>
      <c r="R484" s="1" t="s">
        <v>85</v>
      </c>
      <c r="S484" s="1" t="s">
        <v>31</v>
      </c>
      <c r="T484" s="1" t="s">
        <v>24</v>
      </c>
      <c r="U484" s="1"/>
      <c r="V484" s="1">
        <v>894.42</v>
      </c>
      <c r="W484" s="1">
        <f>IF(Table1[[#This Row],[Claim_Amount]]&lt;0,0,Table1[[#This Row],[Claim_Amount]])</f>
        <v>894.42</v>
      </c>
      <c r="X484" s="1">
        <f>IF(Table1[[#This Row],[Column1]]=0,"",Table1[[#This Row],[Column1]])</f>
        <v>894.42</v>
      </c>
      <c r="Y484" s="1">
        <v>894.42</v>
      </c>
      <c r="Z484" s="1">
        <v>894.42</v>
      </c>
      <c r="AA484" s="1">
        <v>927.32</v>
      </c>
      <c r="AB484" s="1" t="s">
        <v>1091</v>
      </c>
      <c r="AC484" s="1" t="s">
        <v>1093</v>
      </c>
      <c r="AD484" s="1">
        <v>10</v>
      </c>
      <c r="AE484" s="3" t="s">
        <v>19</v>
      </c>
    </row>
    <row r="485" spans="1:31" ht="15.75" customHeight="1" x14ac:dyDescent="0.35">
      <c r="A485" s="1" t="s">
        <v>275</v>
      </c>
      <c r="B485" s="1" t="s">
        <v>716</v>
      </c>
      <c r="C485" t="s">
        <v>1084</v>
      </c>
      <c r="D485" s="1" t="s">
        <v>717</v>
      </c>
      <c r="E485" s="5">
        <v>45018</v>
      </c>
      <c r="F485" s="4" t="str">
        <f>IF(ISNUMBER(Table13[[#This Row],[Claim_Date2]]),"",Table13[[#This Row],[Claim_Date2]])</f>
        <v/>
      </c>
      <c r="G485" s="4" t="s">
        <v>1098</v>
      </c>
      <c r="H485" s="4" t="str">
        <f>LEFT(Table13[[#This Row],[Values Col 1]],3)</f>
        <v/>
      </c>
      <c r="I485" s="4" t="s">
        <v>1098</v>
      </c>
      <c r="J485" s="4" t="str">
        <f>MID(Table13[[#This Row],[Function Col]],5,2)</f>
        <v/>
      </c>
      <c r="K485" s="4" t="s">
        <v>1098</v>
      </c>
      <c r="L485" s="4" t="str">
        <f>RIGHT(Table13[[#This Row],[Function Col]],4)</f>
        <v/>
      </c>
      <c r="M485" s="4" t="s">
        <v>1098</v>
      </c>
      <c r="N485" s="4" t="str">
        <f>IF(Table13[[#This Row],[Function Col5]]="","",_xlfn.CONCAT(Table13[[#This Row],[Day Col]],"/",Table13[[#This Row],[Month Col]],"/",Table13[[#This Row],[Year Col]]))</f>
        <v/>
      </c>
      <c r="O485" s="4" t="s">
        <v>1098</v>
      </c>
      <c r="P485" s="4">
        <f>IF(ISNUMBER(Table13[[#This Row],[Claim_Date2]]),Table13[[#This Row],[Claim_Date2]],Table13[[#This Row],[Function Col32]])</f>
        <v>45018</v>
      </c>
      <c r="Q485" s="4">
        <v>45018</v>
      </c>
      <c r="R485" s="1" t="s">
        <v>16</v>
      </c>
      <c r="S485" s="1" t="s">
        <v>47</v>
      </c>
      <c r="T485" s="1" t="s">
        <v>24</v>
      </c>
      <c r="U485" s="1"/>
      <c r="V485" s="1">
        <v>2238.19</v>
      </c>
      <c r="W485" s="1">
        <f>IF(Table1[[#This Row],[Claim_Amount]]&lt;0,0,Table1[[#This Row],[Claim_Amount]])</f>
        <v>2238.19</v>
      </c>
      <c r="X485" s="1">
        <f>IF(Table1[[#This Row],[Column1]]=0,"",Table1[[#This Row],[Column1]])</f>
        <v>2238.19</v>
      </c>
      <c r="Y485" s="1">
        <v>2238.19</v>
      </c>
      <c r="Z485" s="1">
        <v>2238.19</v>
      </c>
      <c r="AA485">
        <v>832</v>
      </c>
      <c r="AB485" s="1" t="s">
        <v>25</v>
      </c>
      <c r="AC485" s="1" t="s">
        <v>26</v>
      </c>
      <c r="AD485" s="1">
        <v>38</v>
      </c>
      <c r="AE485" s="3" t="s">
        <v>19</v>
      </c>
    </row>
    <row r="486" spans="1:31" ht="15.75" customHeight="1" x14ac:dyDescent="0.35">
      <c r="A486" s="1" t="s">
        <v>202</v>
      </c>
      <c r="B486" s="1" t="s">
        <v>325</v>
      </c>
      <c r="C486" t="s">
        <v>1084</v>
      </c>
      <c r="D486" s="1" t="s">
        <v>718</v>
      </c>
      <c r="E486" s="5">
        <v>45049</v>
      </c>
      <c r="F486" s="4" t="str">
        <f>IF(ISNUMBER(Table13[[#This Row],[Claim_Date2]]),"",Table13[[#This Row],[Claim_Date2]])</f>
        <v/>
      </c>
      <c r="G486" s="4" t="s">
        <v>1098</v>
      </c>
      <c r="H486" s="4" t="str">
        <f>LEFT(Table13[[#This Row],[Values Col 1]],3)</f>
        <v/>
      </c>
      <c r="I486" s="4" t="s">
        <v>1098</v>
      </c>
      <c r="J486" s="4" t="str">
        <f>MID(Table13[[#This Row],[Function Col]],5,2)</f>
        <v/>
      </c>
      <c r="K486" s="4" t="s">
        <v>1098</v>
      </c>
      <c r="L486" s="4" t="str">
        <f>RIGHT(Table13[[#This Row],[Function Col]],4)</f>
        <v/>
      </c>
      <c r="M486" s="4" t="s">
        <v>1098</v>
      </c>
      <c r="N486" s="4" t="str">
        <f>IF(Table13[[#This Row],[Function Col5]]="","",_xlfn.CONCAT(Table13[[#This Row],[Day Col]],"/",Table13[[#This Row],[Month Col]],"/",Table13[[#This Row],[Year Col]]))</f>
        <v/>
      </c>
      <c r="O486" s="4" t="s">
        <v>1098</v>
      </c>
      <c r="P486" s="4">
        <f>IF(ISNUMBER(Table13[[#This Row],[Claim_Date2]]),Table13[[#This Row],[Claim_Date2]],Table13[[#This Row],[Function Col32]])</f>
        <v>45049</v>
      </c>
      <c r="Q486" s="4">
        <v>45049</v>
      </c>
      <c r="R486" s="1" t="s">
        <v>77</v>
      </c>
      <c r="S486" s="1" t="s">
        <v>23</v>
      </c>
      <c r="T486" s="1" t="s">
        <v>61</v>
      </c>
      <c r="U486" s="1"/>
      <c r="V486" s="1">
        <v>1718.73</v>
      </c>
      <c r="W486" s="1">
        <f>IF(Table1[[#This Row],[Claim_Amount]]&lt;0,0,Table1[[#This Row],[Claim_Amount]])</f>
        <v>1718.73</v>
      </c>
      <c r="X486" s="1">
        <f>IF(Table1[[#This Row],[Column1]]=0,"",Table1[[#This Row],[Column1]])</f>
        <v>1718.73</v>
      </c>
      <c r="Y486" s="1">
        <v>1718.73</v>
      </c>
      <c r="Z486" s="1">
        <v>1718.73</v>
      </c>
      <c r="AA486" s="1">
        <v>1141.81</v>
      </c>
      <c r="AB486" s="1" t="s">
        <v>17</v>
      </c>
      <c r="AC486" s="1" t="s">
        <v>18</v>
      </c>
      <c r="AD486">
        <v>9</v>
      </c>
      <c r="AE486" s="3" t="s">
        <v>1097</v>
      </c>
    </row>
    <row r="487" spans="1:31" ht="15.75" customHeight="1" x14ac:dyDescent="0.35">
      <c r="A487" s="1" t="s">
        <v>108</v>
      </c>
      <c r="B487" t="s">
        <v>1083</v>
      </c>
      <c r="C487" s="1" t="s">
        <v>39</v>
      </c>
      <c r="D487" s="1" t="s">
        <v>272</v>
      </c>
      <c r="E487" s="5">
        <v>45033</v>
      </c>
      <c r="F487" s="4" t="str">
        <f>IF(ISNUMBER(Table13[[#This Row],[Claim_Date2]]),"",Table13[[#This Row],[Claim_Date2]])</f>
        <v/>
      </c>
      <c r="G487" s="4" t="s">
        <v>1098</v>
      </c>
      <c r="H487" s="4" t="str">
        <f>LEFT(Table13[[#This Row],[Values Col 1]],3)</f>
        <v/>
      </c>
      <c r="I487" s="4" t="s">
        <v>1098</v>
      </c>
      <c r="J487" s="4" t="str">
        <f>MID(Table13[[#This Row],[Function Col]],5,2)</f>
        <v/>
      </c>
      <c r="K487" s="4" t="s">
        <v>1098</v>
      </c>
      <c r="L487" s="4" t="str">
        <f>RIGHT(Table13[[#This Row],[Function Col]],4)</f>
        <v/>
      </c>
      <c r="M487" s="4" t="s">
        <v>1098</v>
      </c>
      <c r="N487" s="4" t="str">
        <f>IF(Table13[[#This Row],[Function Col5]]="","",_xlfn.CONCAT(Table13[[#This Row],[Day Col]],"/",Table13[[#This Row],[Month Col]],"/",Table13[[#This Row],[Year Col]]))</f>
        <v/>
      </c>
      <c r="O487" s="4" t="s">
        <v>1098</v>
      </c>
      <c r="P487" s="4">
        <f>IF(ISNUMBER(Table13[[#This Row],[Claim_Date2]]),Table13[[#This Row],[Claim_Date2]],Table13[[#This Row],[Function Col32]])</f>
        <v>45033</v>
      </c>
      <c r="Q487" s="4">
        <v>45033</v>
      </c>
      <c r="R487" s="1" t="s">
        <v>77</v>
      </c>
      <c r="S487" s="1" t="s">
        <v>23</v>
      </c>
      <c r="T487" s="1" t="s">
        <v>24</v>
      </c>
      <c r="U487" s="1"/>
      <c r="W487">
        <f>IF(Table1[[#This Row],[Claim_Amount]]&lt;0,0,Table1[[#This Row],[Claim_Amount]])</f>
        <v>0</v>
      </c>
      <c r="X487" t="str">
        <f>IF(Table1[[#This Row],[Column1]]=0,"",Table1[[#This Row],[Column1]])</f>
        <v/>
      </c>
      <c r="Y487" t="s">
        <v>1098</v>
      </c>
      <c r="Z487">
        <v>2481</v>
      </c>
      <c r="AA487">
        <v>832</v>
      </c>
      <c r="AB487" s="1" t="s">
        <v>42</v>
      </c>
      <c r="AC487" s="1" t="s">
        <v>26</v>
      </c>
      <c r="AD487" s="1">
        <v>24</v>
      </c>
      <c r="AE487" s="3" t="s">
        <v>37</v>
      </c>
    </row>
    <row r="488" spans="1:31" ht="15.75" customHeight="1" x14ac:dyDescent="0.35">
      <c r="A488" s="1" t="s">
        <v>198</v>
      </c>
      <c r="B488" t="s">
        <v>1083</v>
      </c>
      <c r="C488" t="s">
        <v>1084</v>
      </c>
      <c r="D488" s="1" t="s">
        <v>69</v>
      </c>
      <c r="E488" s="5">
        <v>44961</v>
      </c>
      <c r="F488" s="4" t="str">
        <f>IF(ISNUMBER(Table13[[#This Row],[Claim_Date2]]),"",Table13[[#This Row],[Claim_Date2]])</f>
        <v/>
      </c>
      <c r="G488" s="4" t="s">
        <v>1098</v>
      </c>
      <c r="H488" s="4" t="str">
        <f>LEFT(Table13[[#This Row],[Values Col 1]],3)</f>
        <v/>
      </c>
      <c r="I488" s="4" t="s">
        <v>1098</v>
      </c>
      <c r="J488" s="4" t="str">
        <f>MID(Table13[[#This Row],[Function Col]],5,2)</f>
        <v/>
      </c>
      <c r="K488" s="4" t="s">
        <v>1098</v>
      </c>
      <c r="L488" s="4" t="str">
        <f>RIGHT(Table13[[#This Row],[Function Col]],4)</f>
        <v/>
      </c>
      <c r="M488" s="4" t="s">
        <v>1098</v>
      </c>
      <c r="N488" s="4" t="str">
        <f>IF(Table13[[#This Row],[Function Col5]]="","",_xlfn.CONCAT(Table13[[#This Row],[Day Col]],"/",Table13[[#This Row],[Month Col]],"/",Table13[[#This Row],[Year Col]]))</f>
        <v/>
      </c>
      <c r="O488" s="4" t="s">
        <v>1098</v>
      </c>
      <c r="P488" s="4">
        <f>IF(ISNUMBER(Table13[[#This Row],[Claim_Date2]]),Table13[[#This Row],[Claim_Date2]],Table13[[#This Row],[Function Col32]])</f>
        <v>44961</v>
      </c>
      <c r="Q488" s="4">
        <v>44961</v>
      </c>
      <c r="R488" s="1" t="s">
        <v>92</v>
      </c>
      <c r="S488" s="1" t="s">
        <v>47</v>
      </c>
      <c r="T488" s="1" t="s">
        <v>48</v>
      </c>
      <c r="U488" s="1"/>
      <c r="W488">
        <f>IF(Table1[[#This Row],[Claim_Amount]]&lt;0,0,Table1[[#This Row],[Claim_Amount]])</f>
        <v>0</v>
      </c>
      <c r="X488" t="str">
        <f>IF(Table1[[#This Row],[Column1]]=0,"",Table1[[#This Row],[Column1]])</f>
        <v/>
      </c>
      <c r="Y488" t="s">
        <v>1098</v>
      </c>
      <c r="Z488">
        <v>2481</v>
      </c>
      <c r="AA488" s="1">
        <v>1297.0999999999999</v>
      </c>
      <c r="AB488" s="1" t="s">
        <v>1091</v>
      </c>
      <c r="AC488" s="1" t="s">
        <v>32</v>
      </c>
      <c r="AD488">
        <v>9</v>
      </c>
      <c r="AE488" s="3" t="s">
        <v>37</v>
      </c>
    </row>
    <row r="489" spans="1:31" ht="15.75" customHeight="1" x14ac:dyDescent="0.35">
      <c r="A489" s="1" t="s">
        <v>275</v>
      </c>
      <c r="B489" t="s">
        <v>1083</v>
      </c>
      <c r="C489" t="s">
        <v>1084</v>
      </c>
      <c r="D489" s="1" t="s">
        <v>253</v>
      </c>
      <c r="E489" s="5">
        <v>45252</v>
      </c>
      <c r="F489" s="4" t="str">
        <f>IF(ISNUMBER(Table13[[#This Row],[Claim_Date2]]),"",Table13[[#This Row],[Claim_Date2]])</f>
        <v/>
      </c>
      <c r="G489" s="4" t="s">
        <v>1098</v>
      </c>
      <c r="H489" s="4" t="str">
        <f>LEFT(Table13[[#This Row],[Values Col 1]],3)</f>
        <v/>
      </c>
      <c r="I489" s="4" t="s">
        <v>1098</v>
      </c>
      <c r="J489" s="4" t="str">
        <f>MID(Table13[[#This Row],[Function Col]],5,2)</f>
        <v/>
      </c>
      <c r="K489" s="4" t="s">
        <v>1098</v>
      </c>
      <c r="L489" s="4" t="str">
        <f>RIGHT(Table13[[#This Row],[Function Col]],4)</f>
        <v/>
      </c>
      <c r="M489" s="4" t="s">
        <v>1098</v>
      </c>
      <c r="N489" s="4" t="str">
        <f>IF(Table13[[#This Row],[Function Col5]]="","",_xlfn.CONCAT(Table13[[#This Row],[Day Col]],"/",Table13[[#This Row],[Month Col]],"/",Table13[[#This Row],[Year Col]]))</f>
        <v/>
      </c>
      <c r="O489" s="4" t="s">
        <v>1098</v>
      </c>
      <c r="P489" s="4">
        <f>IF(ISNUMBER(Table13[[#This Row],[Claim_Date2]]),Table13[[#This Row],[Claim_Date2]],Table13[[#This Row],[Function Col32]])</f>
        <v>45252</v>
      </c>
      <c r="Q489" s="4">
        <v>45252</v>
      </c>
      <c r="R489" s="1" t="s">
        <v>85</v>
      </c>
      <c r="S489" t="s">
        <v>1085</v>
      </c>
      <c r="T489" s="1" t="s">
        <v>48</v>
      </c>
      <c r="U489" s="1"/>
      <c r="V489" s="1">
        <v>-14</v>
      </c>
      <c r="W489" s="1">
        <f>IF(Table1[[#This Row],[Claim_Amount]]&lt;0,0,Table1[[#This Row],[Claim_Amount]])</f>
        <v>0</v>
      </c>
      <c r="X489" s="1" t="str">
        <f>IF(Table1[[#This Row],[Column1]]=0,"",Table1[[#This Row],[Column1]])</f>
        <v/>
      </c>
      <c r="Y489" s="1" t="s">
        <v>1098</v>
      </c>
      <c r="Z489" s="1">
        <v>2481</v>
      </c>
      <c r="AA489">
        <v>832</v>
      </c>
      <c r="AB489" s="1" t="s">
        <v>17</v>
      </c>
      <c r="AC489" s="1" t="s">
        <v>57</v>
      </c>
      <c r="AD489">
        <v>9</v>
      </c>
      <c r="AE489" s="3" t="s">
        <v>19</v>
      </c>
    </row>
    <row r="490" spans="1:31" ht="15.75" customHeight="1" x14ac:dyDescent="0.35">
      <c r="A490" s="1" t="s">
        <v>198</v>
      </c>
      <c r="B490" t="s">
        <v>1083</v>
      </c>
      <c r="C490" s="1" t="s">
        <v>245</v>
      </c>
      <c r="D490" s="1" t="s">
        <v>719</v>
      </c>
      <c r="E490" s="5">
        <v>45085</v>
      </c>
      <c r="F490" s="4" t="str">
        <f>IF(ISNUMBER(Table13[[#This Row],[Claim_Date2]]),"",Table13[[#This Row],[Claim_Date2]])</f>
        <v/>
      </c>
      <c r="G490" s="4" t="s">
        <v>1098</v>
      </c>
      <c r="H490" s="4" t="str">
        <f>LEFT(Table13[[#This Row],[Values Col 1]],3)</f>
        <v/>
      </c>
      <c r="I490" s="4" t="s">
        <v>1098</v>
      </c>
      <c r="J490" s="4" t="str">
        <f>MID(Table13[[#This Row],[Function Col]],5,2)</f>
        <v/>
      </c>
      <c r="K490" s="4" t="s">
        <v>1098</v>
      </c>
      <c r="L490" s="4" t="str">
        <f>RIGHT(Table13[[#This Row],[Function Col]],4)</f>
        <v/>
      </c>
      <c r="M490" s="4" t="s">
        <v>1098</v>
      </c>
      <c r="N490" s="4" t="str">
        <f>IF(Table13[[#This Row],[Function Col5]]="","",_xlfn.CONCAT(Table13[[#This Row],[Day Col]],"/",Table13[[#This Row],[Month Col]],"/",Table13[[#This Row],[Year Col]]))</f>
        <v/>
      </c>
      <c r="O490" s="4" t="s">
        <v>1098</v>
      </c>
      <c r="P490" s="4">
        <f>IF(ISNUMBER(Table13[[#This Row],[Claim_Date2]]),Table13[[#This Row],[Claim_Date2]],Table13[[#This Row],[Function Col32]])</f>
        <v>45085</v>
      </c>
      <c r="Q490" s="4">
        <v>45085</v>
      </c>
      <c r="R490" s="1" t="s">
        <v>30</v>
      </c>
      <c r="S490" s="1" t="s">
        <v>23</v>
      </c>
      <c r="T490" s="1" t="s">
        <v>61</v>
      </c>
      <c r="U490" s="1"/>
      <c r="W490">
        <f>IF(Table1[[#This Row],[Claim_Amount]]&lt;0,0,Table1[[#This Row],[Claim_Amount]])</f>
        <v>0</v>
      </c>
      <c r="X490" t="str">
        <f>IF(Table1[[#This Row],[Column1]]=0,"",Table1[[#This Row],[Column1]])</f>
        <v/>
      </c>
      <c r="Y490" t="s">
        <v>1098</v>
      </c>
      <c r="Z490">
        <v>2481</v>
      </c>
      <c r="AA490">
        <v>832</v>
      </c>
      <c r="AB490" s="1" t="s">
        <v>17</v>
      </c>
      <c r="AC490" s="1" t="s">
        <v>26</v>
      </c>
      <c r="AD490">
        <v>9</v>
      </c>
      <c r="AE490" s="3" t="s">
        <v>1097</v>
      </c>
    </row>
    <row r="491" spans="1:31" ht="15.75" customHeight="1" x14ac:dyDescent="0.35">
      <c r="A491" s="1" t="s">
        <v>215</v>
      </c>
      <c r="B491" t="s">
        <v>1083</v>
      </c>
      <c r="C491" t="s">
        <v>1084</v>
      </c>
      <c r="D491" s="1" t="s">
        <v>419</v>
      </c>
      <c r="E491" s="5" t="s">
        <v>419</v>
      </c>
      <c r="F491" s="4" t="str">
        <f>IF(ISNUMBER(Table13[[#This Row],[Claim_Date2]]),"",Table13[[#This Row],[Claim_Date2]])</f>
        <v>Jan 21 2023</v>
      </c>
      <c r="G491" s="4" t="s">
        <v>419</v>
      </c>
      <c r="H491" s="4" t="str">
        <f>LEFT(Table13[[#This Row],[Values Col 1]],3)</f>
        <v>Jan</v>
      </c>
      <c r="I491" s="4" t="s">
        <v>1107</v>
      </c>
      <c r="J491" s="4" t="str">
        <f>MID(Table13[[#This Row],[Function Col]],5,2)</f>
        <v>21</v>
      </c>
      <c r="K491" s="4" t="s">
        <v>1136</v>
      </c>
      <c r="L491" s="4" t="str">
        <f>RIGHT(Table13[[#This Row],[Function Col]],4)</f>
        <v>2023</v>
      </c>
      <c r="M491" s="4" t="s">
        <v>1146</v>
      </c>
      <c r="N491" s="4" t="str">
        <f>IF(Table13[[#This Row],[Function Col5]]="","",_xlfn.CONCAT(Table13[[#This Row],[Day Col]],"/",Table13[[#This Row],[Month Col]],"/",Table13[[#This Row],[Year Col]]))</f>
        <v>21/Jan/2023</v>
      </c>
      <c r="O491" s="4" t="s">
        <v>1216</v>
      </c>
      <c r="P491" s="4" t="str">
        <f>IF(ISNUMBER(Table13[[#This Row],[Claim_Date2]]),Table13[[#This Row],[Claim_Date2]],Table13[[#This Row],[Function Col32]])</f>
        <v>21/Jan/2023</v>
      </c>
      <c r="Q491" s="4">
        <v>44947</v>
      </c>
      <c r="R491" s="1" t="s">
        <v>85</v>
      </c>
      <c r="S491" s="1" t="s">
        <v>53</v>
      </c>
      <c r="T491" t="s">
        <v>1086</v>
      </c>
      <c r="W491">
        <f>IF(Table1[[#This Row],[Claim_Amount]]&lt;0,0,Table1[[#This Row],[Claim_Amount]])</f>
        <v>0</v>
      </c>
      <c r="X491" t="str">
        <f>IF(Table1[[#This Row],[Column1]]=0,"",Table1[[#This Row],[Column1]])</f>
        <v/>
      </c>
      <c r="Y491" t="s">
        <v>1098</v>
      </c>
      <c r="Z491">
        <v>2481</v>
      </c>
      <c r="AA491">
        <v>832</v>
      </c>
      <c r="AB491" s="1" t="s">
        <v>42</v>
      </c>
      <c r="AC491" s="1" t="s">
        <v>18</v>
      </c>
      <c r="AD491">
        <v>9</v>
      </c>
      <c r="AE491" s="3" t="s">
        <v>19</v>
      </c>
    </row>
    <row r="492" spans="1:31" ht="15.75" customHeight="1" x14ac:dyDescent="0.35">
      <c r="A492" s="1" t="s">
        <v>249</v>
      </c>
      <c r="B492" t="s">
        <v>1083</v>
      </c>
      <c r="C492" s="1" t="s">
        <v>592</v>
      </c>
      <c r="D492" s="1" t="s">
        <v>289</v>
      </c>
      <c r="E492" s="5">
        <v>45122</v>
      </c>
      <c r="F492" s="4" t="str">
        <f>IF(ISNUMBER(Table13[[#This Row],[Claim_Date2]]),"",Table13[[#This Row],[Claim_Date2]])</f>
        <v/>
      </c>
      <c r="G492" s="4" t="s">
        <v>1098</v>
      </c>
      <c r="H492" s="4" t="str">
        <f>LEFT(Table13[[#This Row],[Values Col 1]],3)</f>
        <v/>
      </c>
      <c r="I492" s="4" t="s">
        <v>1098</v>
      </c>
      <c r="J492" s="4" t="str">
        <f>MID(Table13[[#This Row],[Function Col]],5,2)</f>
        <v/>
      </c>
      <c r="K492" s="4" t="s">
        <v>1098</v>
      </c>
      <c r="L492" s="4" t="str">
        <f>RIGHT(Table13[[#This Row],[Function Col]],4)</f>
        <v/>
      </c>
      <c r="M492" s="4" t="s">
        <v>1098</v>
      </c>
      <c r="N492" s="4" t="str">
        <f>IF(Table13[[#This Row],[Function Col5]]="","",_xlfn.CONCAT(Table13[[#This Row],[Day Col]],"/",Table13[[#This Row],[Month Col]],"/",Table13[[#This Row],[Year Col]]))</f>
        <v/>
      </c>
      <c r="O492" s="4" t="s">
        <v>1098</v>
      </c>
      <c r="P492" s="4">
        <f>IF(ISNUMBER(Table13[[#This Row],[Claim_Date2]]),Table13[[#This Row],[Claim_Date2]],Table13[[#This Row],[Function Col32]])</f>
        <v>45122</v>
      </c>
      <c r="Q492" s="4">
        <v>45122</v>
      </c>
      <c r="R492" s="1" t="s">
        <v>85</v>
      </c>
      <c r="S492" s="1" t="s">
        <v>53</v>
      </c>
      <c r="T492" t="s">
        <v>1086</v>
      </c>
      <c r="V492" s="1">
        <v>79.91</v>
      </c>
      <c r="W492" s="1">
        <f>IF(Table1[[#This Row],[Claim_Amount]]&lt;0,0,Table1[[#This Row],[Claim_Amount]])</f>
        <v>79.91</v>
      </c>
      <c r="X492" s="1">
        <f>IF(Table1[[#This Row],[Column1]]=0,"",Table1[[#This Row],[Column1]])</f>
        <v>79.91</v>
      </c>
      <c r="Y492" s="1">
        <v>79.91</v>
      </c>
      <c r="Z492" s="1">
        <v>79.91</v>
      </c>
      <c r="AA492" s="1">
        <v>4770.62</v>
      </c>
      <c r="AB492" s="1" t="s">
        <v>17</v>
      </c>
      <c r="AC492" s="1" t="s">
        <v>18</v>
      </c>
      <c r="AD492" s="1">
        <v>8</v>
      </c>
      <c r="AE492" s="3" t="s">
        <v>65</v>
      </c>
    </row>
    <row r="493" spans="1:31" ht="15.75" customHeight="1" x14ac:dyDescent="0.35">
      <c r="A493" s="1" t="s">
        <v>66</v>
      </c>
      <c r="B493" s="1" t="s">
        <v>720</v>
      </c>
      <c r="C493" s="1" t="s">
        <v>453</v>
      </c>
      <c r="D493" s="1" t="s">
        <v>721</v>
      </c>
      <c r="E493" s="5">
        <v>45145</v>
      </c>
      <c r="F493" s="4" t="str">
        <f>IF(ISNUMBER(Table13[[#This Row],[Claim_Date2]]),"",Table13[[#This Row],[Claim_Date2]])</f>
        <v/>
      </c>
      <c r="G493" s="4" t="s">
        <v>1098</v>
      </c>
      <c r="H493" s="4" t="str">
        <f>LEFT(Table13[[#This Row],[Values Col 1]],3)</f>
        <v/>
      </c>
      <c r="I493" s="4" t="s">
        <v>1098</v>
      </c>
      <c r="J493" s="4" t="str">
        <f>MID(Table13[[#This Row],[Function Col]],5,2)</f>
        <v/>
      </c>
      <c r="K493" s="4" t="s">
        <v>1098</v>
      </c>
      <c r="L493" s="4" t="str">
        <f>RIGHT(Table13[[#This Row],[Function Col]],4)</f>
        <v/>
      </c>
      <c r="M493" s="4" t="s">
        <v>1098</v>
      </c>
      <c r="N493" s="4" t="str">
        <f>IF(Table13[[#This Row],[Function Col5]]="","",_xlfn.CONCAT(Table13[[#This Row],[Day Col]],"/",Table13[[#This Row],[Month Col]],"/",Table13[[#This Row],[Year Col]]))</f>
        <v/>
      </c>
      <c r="O493" s="4" t="s">
        <v>1098</v>
      </c>
      <c r="P493" s="4">
        <f>IF(ISNUMBER(Table13[[#This Row],[Claim_Date2]]),Table13[[#This Row],[Claim_Date2]],Table13[[#This Row],[Function Col32]])</f>
        <v>45145</v>
      </c>
      <c r="Q493" s="4">
        <v>45145</v>
      </c>
      <c r="R493" s="1" t="s">
        <v>16</v>
      </c>
      <c r="S493" s="1" t="s">
        <v>93</v>
      </c>
      <c r="T493" s="1" t="s">
        <v>24</v>
      </c>
      <c r="U493" s="1"/>
      <c r="W493">
        <f>IF(Table1[[#This Row],[Claim_Amount]]&lt;0,0,Table1[[#This Row],[Claim_Amount]])</f>
        <v>0</v>
      </c>
      <c r="X493" t="str">
        <f>IF(Table1[[#This Row],[Column1]]=0,"",Table1[[#This Row],[Column1]])</f>
        <v/>
      </c>
      <c r="Y493" t="s">
        <v>1098</v>
      </c>
      <c r="Z493">
        <v>2481</v>
      </c>
      <c r="AA493">
        <v>832</v>
      </c>
      <c r="AB493" s="1" t="s">
        <v>25</v>
      </c>
      <c r="AC493" s="1" t="s">
        <v>18</v>
      </c>
      <c r="AD493">
        <v>9</v>
      </c>
      <c r="AE493" s="3" t="s">
        <v>19</v>
      </c>
    </row>
    <row r="494" spans="1:31" ht="15.75" customHeight="1" x14ac:dyDescent="0.35">
      <c r="A494" s="1" t="s">
        <v>242</v>
      </c>
      <c r="B494" t="s">
        <v>1083</v>
      </c>
      <c r="C494" t="s">
        <v>1084</v>
      </c>
      <c r="D494" s="1" t="s">
        <v>722</v>
      </c>
      <c r="E494" s="5" t="s">
        <v>722</v>
      </c>
      <c r="F494" s="4" t="str">
        <f>IF(ISNUMBER(Table13[[#This Row],[Claim_Date2]]),"",Table13[[#This Row],[Claim_Date2]])</f>
        <v>Sep 16 2023</v>
      </c>
      <c r="G494" s="4" t="s">
        <v>722</v>
      </c>
      <c r="H494" s="4" t="str">
        <f>LEFT(Table13[[#This Row],[Values Col 1]],3)</f>
        <v>Sep</v>
      </c>
      <c r="I494" s="4" t="s">
        <v>1102</v>
      </c>
      <c r="J494" s="4" t="str">
        <f>MID(Table13[[#This Row],[Function Col]],5,2)</f>
        <v>16</v>
      </c>
      <c r="K494" s="4" t="s">
        <v>1125</v>
      </c>
      <c r="L494" s="4" t="str">
        <f>RIGHT(Table13[[#This Row],[Function Col]],4)</f>
        <v>2023</v>
      </c>
      <c r="M494" s="4" t="s">
        <v>1146</v>
      </c>
      <c r="N494" s="4" t="str">
        <f>IF(Table13[[#This Row],[Function Col5]]="","",_xlfn.CONCAT(Table13[[#This Row],[Day Col]],"/",Table13[[#This Row],[Month Col]],"/",Table13[[#This Row],[Year Col]]))</f>
        <v>16/Sep/2023</v>
      </c>
      <c r="O494" s="4" t="s">
        <v>1280</v>
      </c>
      <c r="P494" s="4" t="str">
        <f>IF(ISNUMBER(Table13[[#This Row],[Claim_Date2]]),Table13[[#This Row],[Claim_Date2]],Table13[[#This Row],[Function Col32]])</f>
        <v>16/Sep/2023</v>
      </c>
      <c r="Q494" s="4">
        <v>45185</v>
      </c>
      <c r="R494" s="1" t="s">
        <v>16</v>
      </c>
      <c r="S494" s="1" t="s">
        <v>53</v>
      </c>
      <c r="T494" s="1" t="s">
        <v>24</v>
      </c>
      <c r="U494" s="1"/>
      <c r="V494" s="1">
        <v>4107.04</v>
      </c>
      <c r="W494" s="1">
        <f>IF(Table1[[#This Row],[Claim_Amount]]&lt;0,0,Table1[[#This Row],[Claim_Amount]])</f>
        <v>4107.04</v>
      </c>
      <c r="X494" s="1">
        <f>IF(Table1[[#This Row],[Column1]]=0,"",Table1[[#This Row],[Column1]])</f>
        <v>4107.04</v>
      </c>
      <c r="Y494" s="1">
        <v>4107.04</v>
      </c>
      <c r="Z494" s="1">
        <v>4107.04</v>
      </c>
      <c r="AA494">
        <v>832</v>
      </c>
      <c r="AB494" s="1" t="s">
        <v>25</v>
      </c>
      <c r="AC494" s="1" t="s">
        <v>32</v>
      </c>
      <c r="AD494">
        <v>9</v>
      </c>
      <c r="AE494" s="3" t="s">
        <v>65</v>
      </c>
    </row>
    <row r="495" spans="1:31" ht="15.75" customHeight="1" x14ac:dyDescent="0.35">
      <c r="A495" s="1" t="s">
        <v>20</v>
      </c>
      <c r="B495" s="1" t="s">
        <v>270</v>
      </c>
      <c r="C495" t="s">
        <v>1084</v>
      </c>
      <c r="D495" s="1" t="s">
        <v>723</v>
      </c>
      <c r="E495" s="5">
        <v>45083</v>
      </c>
      <c r="F495" s="4" t="str">
        <f>IF(ISNUMBER(Table13[[#This Row],[Claim_Date2]]),"",Table13[[#This Row],[Claim_Date2]])</f>
        <v/>
      </c>
      <c r="G495" s="4" t="s">
        <v>1098</v>
      </c>
      <c r="H495" s="4" t="str">
        <f>LEFT(Table13[[#This Row],[Values Col 1]],3)</f>
        <v/>
      </c>
      <c r="I495" s="4" t="s">
        <v>1098</v>
      </c>
      <c r="J495" s="4" t="str">
        <f>MID(Table13[[#This Row],[Function Col]],5,2)</f>
        <v/>
      </c>
      <c r="K495" s="4" t="s">
        <v>1098</v>
      </c>
      <c r="L495" s="4" t="str">
        <f>RIGHT(Table13[[#This Row],[Function Col]],4)</f>
        <v/>
      </c>
      <c r="M495" s="4" t="s">
        <v>1098</v>
      </c>
      <c r="N495" s="4" t="str">
        <f>IF(Table13[[#This Row],[Function Col5]]="","",_xlfn.CONCAT(Table13[[#This Row],[Day Col]],"/",Table13[[#This Row],[Month Col]],"/",Table13[[#This Row],[Year Col]]))</f>
        <v/>
      </c>
      <c r="O495" s="4" t="s">
        <v>1098</v>
      </c>
      <c r="P495" s="4">
        <f>IF(ISNUMBER(Table13[[#This Row],[Claim_Date2]]),Table13[[#This Row],[Claim_Date2]],Table13[[#This Row],[Function Col32]])</f>
        <v>45083</v>
      </c>
      <c r="Q495" s="4">
        <v>45083</v>
      </c>
      <c r="R495" s="1" t="s">
        <v>77</v>
      </c>
      <c r="S495" s="1" t="s">
        <v>47</v>
      </c>
      <c r="T495" s="1" t="s">
        <v>54</v>
      </c>
      <c r="U495" s="1"/>
      <c r="W495">
        <f>IF(Table1[[#This Row],[Claim_Amount]]&lt;0,0,Table1[[#This Row],[Claim_Amount]])</f>
        <v>0</v>
      </c>
      <c r="X495" t="str">
        <f>IF(Table1[[#This Row],[Column1]]=0,"",Table1[[#This Row],[Column1]])</f>
        <v/>
      </c>
      <c r="Y495" t="s">
        <v>1098</v>
      </c>
      <c r="Z495">
        <v>2481</v>
      </c>
      <c r="AA495" s="1">
        <v>3588.57</v>
      </c>
      <c r="AB495" s="1" t="s">
        <v>17</v>
      </c>
      <c r="AC495" s="1" t="s">
        <v>18</v>
      </c>
      <c r="AD495" s="1">
        <v>9</v>
      </c>
      <c r="AE495" s="3" t="s">
        <v>1097</v>
      </c>
    </row>
    <row r="496" spans="1:31" ht="15.75" customHeight="1" x14ac:dyDescent="0.35">
      <c r="A496" s="1" t="s">
        <v>168</v>
      </c>
      <c r="B496" t="s">
        <v>1083</v>
      </c>
      <c r="C496" t="s">
        <v>1084</v>
      </c>
      <c r="D496" s="1" t="s">
        <v>724</v>
      </c>
      <c r="E496" s="5">
        <v>45129</v>
      </c>
      <c r="F496" s="4" t="str">
        <f>IF(ISNUMBER(Table13[[#This Row],[Claim_Date2]]),"",Table13[[#This Row],[Claim_Date2]])</f>
        <v/>
      </c>
      <c r="G496" s="4" t="s">
        <v>1098</v>
      </c>
      <c r="H496" s="4" t="str">
        <f>LEFT(Table13[[#This Row],[Values Col 1]],3)</f>
        <v/>
      </c>
      <c r="I496" s="4" t="s">
        <v>1098</v>
      </c>
      <c r="J496" s="4" t="str">
        <f>MID(Table13[[#This Row],[Function Col]],5,2)</f>
        <v/>
      </c>
      <c r="K496" s="4" t="s">
        <v>1098</v>
      </c>
      <c r="L496" s="4" t="str">
        <f>RIGHT(Table13[[#This Row],[Function Col]],4)</f>
        <v/>
      </c>
      <c r="M496" s="4" t="s">
        <v>1098</v>
      </c>
      <c r="N496" s="4" t="str">
        <f>IF(Table13[[#This Row],[Function Col5]]="","",_xlfn.CONCAT(Table13[[#This Row],[Day Col]],"/",Table13[[#This Row],[Month Col]],"/",Table13[[#This Row],[Year Col]]))</f>
        <v/>
      </c>
      <c r="O496" s="4" t="s">
        <v>1098</v>
      </c>
      <c r="P496" s="4">
        <f>IF(ISNUMBER(Table13[[#This Row],[Claim_Date2]]),Table13[[#This Row],[Claim_Date2]],Table13[[#This Row],[Function Col32]])</f>
        <v>45129</v>
      </c>
      <c r="Q496" s="4">
        <v>45129</v>
      </c>
      <c r="R496" s="1" t="s">
        <v>77</v>
      </c>
      <c r="S496" s="1" t="s">
        <v>31</v>
      </c>
      <c r="T496" t="s">
        <v>1086</v>
      </c>
      <c r="V496" s="1">
        <v>-28</v>
      </c>
      <c r="W496" s="1">
        <f>IF(Table1[[#This Row],[Claim_Amount]]&lt;0,0,Table1[[#This Row],[Claim_Amount]])</f>
        <v>0</v>
      </c>
      <c r="X496" s="1" t="str">
        <f>IF(Table1[[#This Row],[Column1]]=0,"",Table1[[#This Row],[Column1]])</f>
        <v/>
      </c>
      <c r="Y496" s="1" t="s">
        <v>1098</v>
      </c>
      <c r="Z496" s="1">
        <v>2481</v>
      </c>
      <c r="AA496" s="1">
        <v>4430.75</v>
      </c>
      <c r="AB496" s="1" t="s">
        <v>25</v>
      </c>
      <c r="AC496" s="1" t="s">
        <v>57</v>
      </c>
      <c r="AD496" s="1">
        <v>10</v>
      </c>
      <c r="AE496" s="3" t="s">
        <v>37</v>
      </c>
    </row>
    <row r="497" spans="1:31" ht="15.75" customHeight="1" x14ac:dyDescent="0.35">
      <c r="A497" s="1" t="s">
        <v>247</v>
      </c>
      <c r="B497" t="s">
        <v>1083</v>
      </c>
      <c r="C497" t="s">
        <v>1084</v>
      </c>
      <c r="D497" s="1" t="s">
        <v>725</v>
      </c>
      <c r="E497" s="5" t="s">
        <v>725</v>
      </c>
      <c r="F497" s="4" t="str">
        <f>IF(ISNUMBER(Table13[[#This Row],[Claim_Date2]]),"",Table13[[#This Row],[Claim_Date2]])</f>
        <v>Jul 08 2023</v>
      </c>
      <c r="G497" s="4" t="s">
        <v>725</v>
      </c>
      <c r="H497" s="4" t="str">
        <f>LEFT(Table13[[#This Row],[Values Col 1]],3)</f>
        <v>Jul</v>
      </c>
      <c r="I497" s="4" t="s">
        <v>1101</v>
      </c>
      <c r="J497" s="4" t="str">
        <f>MID(Table13[[#This Row],[Function Col]],5,2)</f>
        <v>08</v>
      </c>
      <c r="K497" s="4" t="s">
        <v>1119</v>
      </c>
      <c r="L497" s="4" t="str">
        <f>RIGHT(Table13[[#This Row],[Function Col]],4)</f>
        <v>2023</v>
      </c>
      <c r="M497" s="4" t="s">
        <v>1146</v>
      </c>
      <c r="N497" s="4" t="str">
        <f>IF(Table13[[#This Row],[Function Col5]]="","",_xlfn.CONCAT(Table13[[#This Row],[Day Col]],"/",Table13[[#This Row],[Month Col]],"/",Table13[[#This Row],[Year Col]]))</f>
        <v>08/Jul/2023</v>
      </c>
      <c r="O497" s="4" t="s">
        <v>1281</v>
      </c>
      <c r="P497" s="4" t="str">
        <f>IF(ISNUMBER(Table13[[#This Row],[Claim_Date2]]),Table13[[#This Row],[Claim_Date2]],Table13[[#This Row],[Function Col32]])</f>
        <v>08/Jul/2023</v>
      </c>
      <c r="Q497" s="4">
        <v>45115</v>
      </c>
      <c r="R497" s="1" t="s">
        <v>16</v>
      </c>
      <c r="S497" t="s">
        <v>1085</v>
      </c>
      <c r="T497" s="1" t="s">
        <v>48</v>
      </c>
      <c r="U497" s="1"/>
      <c r="W497">
        <f>IF(Table1[[#This Row],[Claim_Amount]]&lt;0,0,Table1[[#This Row],[Claim_Amount]])</f>
        <v>0</v>
      </c>
      <c r="X497" t="str">
        <f>IF(Table1[[#This Row],[Column1]]=0,"",Table1[[#This Row],[Column1]])</f>
        <v/>
      </c>
      <c r="Y497" t="s">
        <v>1098</v>
      </c>
      <c r="Z497">
        <v>2481</v>
      </c>
      <c r="AA497" s="1">
        <v>1249.6500000000001</v>
      </c>
      <c r="AB497" s="1" t="s">
        <v>42</v>
      </c>
      <c r="AC497" s="1" t="s">
        <v>26</v>
      </c>
      <c r="AD497">
        <v>9</v>
      </c>
      <c r="AE497" s="3" t="s">
        <v>65</v>
      </c>
    </row>
    <row r="498" spans="1:31" ht="15.75" customHeight="1" x14ac:dyDescent="0.35">
      <c r="A498" s="1" t="s">
        <v>247</v>
      </c>
      <c r="B498" t="s">
        <v>1083</v>
      </c>
      <c r="C498" s="1" t="s">
        <v>135</v>
      </c>
      <c r="D498" s="1" t="s">
        <v>726</v>
      </c>
      <c r="E498" s="5" t="s">
        <v>726</v>
      </c>
      <c r="F498" s="4" t="str">
        <f>IF(ISNUMBER(Table13[[#This Row],[Claim_Date2]]),"",Table13[[#This Row],[Claim_Date2]])</f>
        <v>Nov 05 2023</v>
      </c>
      <c r="G498" s="4" t="s">
        <v>726</v>
      </c>
      <c r="H498" s="4" t="str">
        <f>LEFT(Table13[[#This Row],[Values Col 1]],3)</f>
        <v>Nov</v>
      </c>
      <c r="I498" s="4" t="s">
        <v>1105</v>
      </c>
      <c r="J498" s="4" t="str">
        <f>MID(Table13[[#This Row],[Function Col]],5,2)</f>
        <v>05</v>
      </c>
      <c r="K498" s="4" t="s">
        <v>1144</v>
      </c>
      <c r="L498" s="4" t="str">
        <f>RIGHT(Table13[[#This Row],[Function Col]],4)</f>
        <v>2023</v>
      </c>
      <c r="M498" s="4" t="s">
        <v>1146</v>
      </c>
      <c r="N498" s="4" t="str">
        <f>IF(Table13[[#This Row],[Function Col5]]="","",_xlfn.CONCAT(Table13[[#This Row],[Day Col]],"/",Table13[[#This Row],[Month Col]],"/",Table13[[#This Row],[Year Col]]))</f>
        <v>05/Nov/2023</v>
      </c>
      <c r="O498" s="4" t="s">
        <v>1282</v>
      </c>
      <c r="P498" s="4" t="str">
        <f>IF(ISNUMBER(Table13[[#This Row],[Claim_Date2]]),Table13[[#This Row],[Claim_Date2]],Table13[[#This Row],[Function Col32]])</f>
        <v>05/Nov/2023</v>
      </c>
      <c r="Q498" s="4">
        <v>45235</v>
      </c>
      <c r="R498" s="1" t="s">
        <v>16</v>
      </c>
      <c r="S498" s="1" t="s">
        <v>93</v>
      </c>
      <c r="T498" s="1" t="s">
        <v>61</v>
      </c>
      <c r="U498" s="1"/>
      <c r="V498" s="1">
        <v>-33</v>
      </c>
      <c r="W498" s="1">
        <f>IF(Table1[[#This Row],[Claim_Amount]]&lt;0,0,Table1[[#This Row],[Claim_Amount]])</f>
        <v>0</v>
      </c>
      <c r="X498" s="1" t="str">
        <f>IF(Table1[[#This Row],[Column1]]=0,"",Table1[[#This Row],[Column1]])</f>
        <v/>
      </c>
      <c r="Y498" s="1" t="s">
        <v>1098</v>
      </c>
      <c r="Z498" s="1">
        <v>2481</v>
      </c>
      <c r="AA498">
        <v>832</v>
      </c>
      <c r="AB498" s="1" t="s">
        <v>25</v>
      </c>
      <c r="AC498" s="1" t="s">
        <v>57</v>
      </c>
      <c r="AD498" s="1">
        <v>58</v>
      </c>
      <c r="AE498" s="3" t="s">
        <v>37</v>
      </c>
    </row>
    <row r="499" spans="1:31" ht="15.75" customHeight="1" x14ac:dyDescent="0.35">
      <c r="A499" s="1" t="s">
        <v>132</v>
      </c>
      <c r="B499" t="s">
        <v>1083</v>
      </c>
      <c r="C499" t="s">
        <v>1084</v>
      </c>
      <c r="D499" s="1" t="s">
        <v>727</v>
      </c>
      <c r="E499" s="5">
        <v>45199</v>
      </c>
      <c r="F499" s="4" t="str">
        <f>IF(ISNUMBER(Table13[[#This Row],[Claim_Date2]]),"",Table13[[#This Row],[Claim_Date2]])</f>
        <v/>
      </c>
      <c r="G499" s="4" t="s">
        <v>1098</v>
      </c>
      <c r="H499" s="4" t="str">
        <f>LEFT(Table13[[#This Row],[Values Col 1]],3)</f>
        <v/>
      </c>
      <c r="I499" s="4" t="s">
        <v>1098</v>
      </c>
      <c r="J499" s="4" t="str">
        <f>MID(Table13[[#This Row],[Function Col]],5,2)</f>
        <v/>
      </c>
      <c r="K499" s="4" t="s">
        <v>1098</v>
      </c>
      <c r="L499" s="4" t="str">
        <f>RIGHT(Table13[[#This Row],[Function Col]],4)</f>
        <v/>
      </c>
      <c r="M499" s="4" t="s">
        <v>1098</v>
      </c>
      <c r="N499" s="4" t="str">
        <f>IF(Table13[[#This Row],[Function Col5]]="","",_xlfn.CONCAT(Table13[[#This Row],[Day Col]],"/",Table13[[#This Row],[Month Col]],"/",Table13[[#This Row],[Year Col]]))</f>
        <v/>
      </c>
      <c r="O499" s="4" t="s">
        <v>1098</v>
      </c>
      <c r="P499" s="4">
        <f>IF(ISNUMBER(Table13[[#This Row],[Claim_Date2]]),Table13[[#This Row],[Claim_Date2]],Table13[[#This Row],[Function Col32]])</f>
        <v>45199</v>
      </c>
      <c r="Q499" s="4">
        <v>45199</v>
      </c>
      <c r="R499" s="1" t="s">
        <v>30</v>
      </c>
      <c r="S499" s="1" t="s">
        <v>31</v>
      </c>
      <c r="T499" t="s">
        <v>1086</v>
      </c>
      <c r="V499" s="1">
        <v>2087.46</v>
      </c>
      <c r="W499" s="1">
        <f>IF(Table1[[#This Row],[Claim_Amount]]&lt;0,0,Table1[[#This Row],[Claim_Amount]])</f>
        <v>2087.46</v>
      </c>
      <c r="X499" s="1">
        <f>IF(Table1[[#This Row],[Column1]]=0,"",Table1[[#This Row],[Column1]])</f>
        <v>2087.46</v>
      </c>
      <c r="Y499" s="1">
        <v>2087.46</v>
      </c>
      <c r="Z499" s="1">
        <v>2087.46</v>
      </c>
      <c r="AA499">
        <v>832</v>
      </c>
      <c r="AB499" s="1" t="s">
        <v>42</v>
      </c>
      <c r="AC499" s="1" t="s">
        <v>18</v>
      </c>
      <c r="AD499">
        <v>9</v>
      </c>
      <c r="AE499" s="3" t="s">
        <v>65</v>
      </c>
    </row>
    <row r="500" spans="1:31" ht="15.75" customHeight="1" x14ac:dyDescent="0.35">
      <c r="A500" s="1" t="s">
        <v>148</v>
      </c>
      <c r="B500" t="s">
        <v>1083</v>
      </c>
      <c r="C500" s="1" t="s">
        <v>414</v>
      </c>
      <c r="D500" s="1" t="s">
        <v>728</v>
      </c>
      <c r="E500" s="5">
        <v>45013</v>
      </c>
      <c r="F500" s="4" t="str">
        <f>IF(ISNUMBER(Table13[[#This Row],[Claim_Date2]]),"",Table13[[#This Row],[Claim_Date2]])</f>
        <v/>
      </c>
      <c r="G500" s="4" t="s">
        <v>1098</v>
      </c>
      <c r="H500" s="4" t="str">
        <f>LEFT(Table13[[#This Row],[Values Col 1]],3)</f>
        <v/>
      </c>
      <c r="I500" s="4" t="s">
        <v>1098</v>
      </c>
      <c r="J500" s="4" t="str">
        <f>MID(Table13[[#This Row],[Function Col]],5,2)</f>
        <v/>
      </c>
      <c r="K500" s="4" t="s">
        <v>1098</v>
      </c>
      <c r="L500" s="4" t="str">
        <f>RIGHT(Table13[[#This Row],[Function Col]],4)</f>
        <v/>
      </c>
      <c r="M500" s="4" t="s">
        <v>1098</v>
      </c>
      <c r="N500" s="4" t="str">
        <f>IF(Table13[[#This Row],[Function Col5]]="","",_xlfn.CONCAT(Table13[[#This Row],[Day Col]],"/",Table13[[#This Row],[Month Col]],"/",Table13[[#This Row],[Year Col]]))</f>
        <v/>
      </c>
      <c r="O500" s="4" t="s">
        <v>1098</v>
      </c>
      <c r="P500" s="4">
        <f>IF(ISNUMBER(Table13[[#This Row],[Claim_Date2]]),Table13[[#This Row],[Claim_Date2]],Table13[[#This Row],[Function Col32]])</f>
        <v>45013</v>
      </c>
      <c r="Q500" s="4">
        <v>45013</v>
      </c>
      <c r="R500" s="1" t="s">
        <v>16</v>
      </c>
      <c r="S500" t="s">
        <v>1085</v>
      </c>
      <c r="T500" s="1" t="s">
        <v>48</v>
      </c>
      <c r="U500" s="1"/>
      <c r="W500">
        <f>IF(Table1[[#This Row],[Claim_Amount]]&lt;0,0,Table1[[#This Row],[Claim_Amount]])</f>
        <v>0</v>
      </c>
      <c r="X500" t="str">
        <f>IF(Table1[[#This Row],[Column1]]=0,"",Table1[[#This Row],[Column1]])</f>
        <v/>
      </c>
      <c r="Y500" t="s">
        <v>1098</v>
      </c>
      <c r="Z500">
        <v>2481</v>
      </c>
      <c r="AA500" s="1">
        <v>3678.56</v>
      </c>
      <c r="AB500" s="1" t="s">
        <v>17</v>
      </c>
      <c r="AC500" s="1" t="s">
        <v>32</v>
      </c>
      <c r="AD500">
        <v>9</v>
      </c>
      <c r="AE500" s="3" t="s">
        <v>65</v>
      </c>
    </row>
    <row r="501" spans="1:31" ht="15.75" customHeight="1" x14ac:dyDescent="0.35">
      <c r="A501" s="1" t="s">
        <v>212</v>
      </c>
      <c r="B501" s="1" t="s">
        <v>427</v>
      </c>
      <c r="C501" s="1" t="s">
        <v>613</v>
      </c>
      <c r="D501" s="1" t="s">
        <v>729</v>
      </c>
      <c r="E501" s="5">
        <v>45157</v>
      </c>
      <c r="F501" s="4" t="str">
        <f>IF(ISNUMBER(Table13[[#This Row],[Claim_Date2]]),"",Table13[[#This Row],[Claim_Date2]])</f>
        <v/>
      </c>
      <c r="G501" s="4" t="s">
        <v>1098</v>
      </c>
      <c r="H501" s="4" t="str">
        <f>LEFT(Table13[[#This Row],[Values Col 1]],3)</f>
        <v/>
      </c>
      <c r="I501" s="4" t="s">
        <v>1098</v>
      </c>
      <c r="J501" s="4" t="str">
        <f>MID(Table13[[#This Row],[Function Col]],5,2)</f>
        <v/>
      </c>
      <c r="K501" s="4" t="s">
        <v>1098</v>
      </c>
      <c r="L501" s="4" t="str">
        <f>RIGHT(Table13[[#This Row],[Function Col]],4)</f>
        <v/>
      </c>
      <c r="M501" s="4" t="s">
        <v>1098</v>
      </c>
      <c r="N501" s="4" t="str">
        <f>IF(Table13[[#This Row],[Function Col5]]="","",_xlfn.CONCAT(Table13[[#This Row],[Day Col]],"/",Table13[[#This Row],[Month Col]],"/",Table13[[#This Row],[Year Col]]))</f>
        <v/>
      </c>
      <c r="O501" s="4" t="s">
        <v>1098</v>
      </c>
      <c r="P501" s="4">
        <f>IF(ISNUMBER(Table13[[#This Row],[Claim_Date2]]),Table13[[#This Row],[Claim_Date2]],Table13[[#This Row],[Function Col32]])</f>
        <v>45157</v>
      </c>
      <c r="Q501" s="4">
        <v>45157</v>
      </c>
      <c r="R501" s="1" t="s">
        <v>85</v>
      </c>
      <c r="S501" s="1" t="s">
        <v>23</v>
      </c>
      <c r="T501" t="s">
        <v>1086</v>
      </c>
      <c r="W501">
        <f>IF(Table1[[#This Row],[Claim_Amount]]&lt;0,0,Table1[[#This Row],[Claim_Amount]])</f>
        <v>0</v>
      </c>
      <c r="X501" t="str">
        <f>IF(Table1[[#This Row],[Column1]]=0,"",Table1[[#This Row],[Column1]])</f>
        <v/>
      </c>
      <c r="Y501" t="s">
        <v>1098</v>
      </c>
      <c r="Z501">
        <v>2481</v>
      </c>
      <c r="AA501">
        <v>832</v>
      </c>
      <c r="AB501" s="1" t="s">
        <v>25</v>
      </c>
      <c r="AC501" s="1" t="s">
        <v>57</v>
      </c>
      <c r="AD501">
        <v>9</v>
      </c>
      <c r="AE501" s="3" t="s">
        <v>65</v>
      </c>
    </row>
    <row r="502" spans="1:31" ht="15.75" customHeight="1" x14ac:dyDescent="0.35">
      <c r="A502" s="1" t="s">
        <v>96</v>
      </c>
      <c r="B502" s="1" t="s">
        <v>237</v>
      </c>
      <c r="C502" s="1" t="s">
        <v>80</v>
      </c>
      <c r="D502" s="1" t="s">
        <v>585</v>
      </c>
      <c r="E502" s="5">
        <v>45068</v>
      </c>
      <c r="F502" s="4" t="str">
        <f>IF(ISNUMBER(Table13[[#This Row],[Claim_Date2]]),"",Table13[[#This Row],[Claim_Date2]])</f>
        <v/>
      </c>
      <c r="G502" s="4" t="s">
        <v>1098</v>
      </c>
      <c r="H502" s="4" t="str">
        <f>LEFT(Table13[[#This Row],[Values Col 1]],3)</f>
        <v/>
      </c>
      <c r="I502" s="4" t="s">
        <v>1098</v>
      </c>
      <c r="J502" s="4" t="str">
        <f>MID(Table13[[#This Row],[Function Col]],5,2)</f>
        <v/>
      </c>
      <c r="K502" s="4" t="s">
        <v>1098</v>
      </c>
      <c r="L502" s="4" t="str">
        <f>RIGHT(Table13[[#This Row],[Function Col]],4)</f>
        <v/>
      </c>
      <c r="M502" s="4" t="s">
        <v>1098</v>
      </c>
      <c r="N502" s="4" t="str">
        <f>IF(Table13[[#This Row],[Function Col5]]="","",_xlfn.CONCAT(Table13[[#This Row],[Day Col]],"/",Table13[[#This Row],[Month Col]],"/",Table13[[#This Row],[Year Col]]))</f>
        <v/>
      </c>
      <c r="O502" s="4" t="s">
        <v>1098</v>
      </c>
      <c r="P502" s="4">
        <f>IF(ISNUMBER(Table13[[#This Row],[Claim_Date2]]),Table13[[#This Row],[Claim_Date2]],Table13[[#This Row],[Function Col32]])</f>
        <v>45068</v>
      </c>
      <c r="Q502" s="4">
        <v>45068</v>
      </c>
      <c r="R502" s="1" t="s">
        <v>30</v>
      </c>
      <c r="S502" s="1" t="s">
        <v>93</v>
      </c>
      <c r="T502" s="1" t="s">
        <v>48</v>
      </c>
      <c r="U502" s="1"/>
      <c r="V502" s="1">
        <v>2451.71</v>
      </c>
      <c r="W502" s="1">
        <f>IF(Table1[[#This Row],[Claim_Amount]]&lt;0,0,Table1[[#This Row],[Claim_Amount]])</f>
        <v>2451.71</v>
      </c>
      <c r="X502" s="1">
        <f>IF(Table1[[#This Row],[Column1]]=0,"",Table1[[#This Row],[Column1]])</f>
        <v>2451.71</v>
      </c>
      <c r="Y502" s="1">
        <v>2451.71</v>
      </c>
      <c r="Z502" s="1">
        <v>2451.71</v>
      </c>
      <c r="AA502" s="1">
        <v>352.23</v>
      </c>
      <c r="AB502" s="1" t="s">
        <v>1091</v>
      </c>
      <c r="AC502" s="1" t="s">
        <v>26</v>
      </c>
      <c r="AD502" s="1">
        <v>6</v>
      </c>
      <c r="AE502" s="3" t="s">
        <v>1097</v>
      </c>
    </row>
    <row r="503" spans="1:31" ht="15.75" customHeight="1" x14ac:dyDescent="0.35">
      <c r="A503" s="1" t="s">
        <v>179</v>
      </c>
      <c r="B503" t="s">
        <v>1083</v>
      </c>
      <c r="C503" t="s">
        <v>1084</v>
      </c>
      <c r="D503" s="1" t="s">
        <v>127</v>
      </c>
      <c r="E503" s="5" t="s">
        <v>127</v>
      </c>
      <c r="F503" s="4" t="str">
        <f>IF(ISNUMBER(Table13[[#This Row],[Claim_Date2]]),"",Table13[[#This Row],[Claim_Date2]])</f>
        <v>Jun 22 2023</v>
      </c>
      <c r="G503" s="4" t="s">
        <v>127</v>
      </c>
      <c r="H503" s="4" t="str">
        <f>LEFT(Table13[[#This Row],[Values Col 1]],3)</f>
        <v>Jun</v>
      </c>
      <c r="I503" s="4" t="s">
        <v>1108</v>
      </c>
      <c r="J503" s="4" t="str">
        <f>MID(Table13[[#This Row],[Function Col]],5,2)</f>
        <v>22</v>
      </c>
      <c r="K503" s="4" t="s">
        <v>1122</v>
      </c>
      <c r="L503" s="4" t="str">
        <f>RIGHT(Table13[[#This Row],[Function Col]],4)</f>
        <v>2023</v>
      </c>
      <c r="M503" s="4" t="s">
        <v>1146</v>
      </c>
      <c r="N503" s="4" t="str">
        <f>IF(Table13[[#This Row],[Function Col5]]="","",_xlfn.CONCAT(Table13[[#This Row],[Day Col]],"/",Table13[[#This Row],[Month Col]],"/",Table13[[#This Row],[Year Col]]))</f>
        <v>22/Jun/2023</v>
      </c>
      <c r="O503" s="4" t="s">
        <v>1162</v>
      </c>
      <c r="P503" s="4" t="str">
        <f>IF(ISNUMBER(Table13[[#This Row],[Claim_Date2]]),Table13[[#This Row],[Claim_Date2]],Table13[[#This Row],[Function Col32]])</f>
        <v>22/Jun/2023</v>
      </c>
      <c r="Q503" s="4">
        <v>45099</v>
      </c>
      <c r="R503" s="1" t="s">
        <v>77</v>
      </c>
      <c r="S503" s="1" t="s">
        <v>31</v>
      </c>
      <c r="T503" s="1" t="s">
        <v>41</v>
      </c>
      <c r="U503" s="1"/>
      <c r="W503">
        <f>IF(Table1[[#This Row],[Claim_Amount]]&lt;0,0,Table1[[#This Row],[Claim_Amount]])</f>
        <v>0</v>
      </c>
      <c r="X503" t="str">
        <f>IF(Table1[[#This Row],[Column1]]=0,"",Table1[[#This Row],[Column1]])</f>
        <v/>
      </c>
      <c r="Y503" t="s">
        <v>1098</v>
      </c>
      <c r="Z503">
        <v>2481</v>
      </c>
      <c r="AA503">
        <v>832</v>
      </c>
      <c r="AB503" s="1" t="s">
        <v>25</v>
      </c>
      <c r="AC503" s="1" t="s">
        <v>1093</v>
      </c>
      <c r="AD503" s="1">
        <v>39</v>
      </c>
      <c r="AE503" s="3" t="s">
        <v>27</v>
      </c>
    </row>
    <row r="504" spans="1:31" ht="15.75" customHeight="1" x14ac:dyDescent="0.35">
      <c r="A504" s="1" t="s">
        <v>114</v>
      </c>
      <c r="B504" s="1" t="s">
        <v>351</v>
      </c>
      <c r="C504" t="s">
        <v>1084</v>
      </c>
      <c r="D504" s="1" t="s">
        <v>607</v>
      </c>
      <c r="E504" s="5">
        <v>44998</v>
      </c>
      <c r="F504" s="4" t="str">
        <f>IF(ISNUMBER(Table13[[#This Row],[Claim_Date2]]),"",Table13[[#This Row],[Claim_Date2]])</f>
        <v/>
      </c>
      <c r="G504" s="4" t="s">
        <v>1098</v>
      </c>
      <c r="H504" s="4" t="str">
        <f>LEFT(Table13[[#This Row],[Values Col 1]],3)</f>
        <v/>
      </c>
      <c r="I504" s="4" t="s">
        <v>1098</v>
      </c>
      <c r="J504" s="4" t="str">
        <f>MID(Table13[[#This Row],[Function Col]],5,2)</f>
        <v/>
      </c>
      <c r="K504" s="4" t="s">
        <v>1098</v>
      </c>
      <c r="L504" s="4" t="str">
        <f>RIGHT(Table13[[#This Row],[Function Col]],4)</f>
        <v/>
      </c>
      <c r="M504" s="4" t="s">
        <v>1098</v>
      </c>
      <c r="N504" s="4" t="str">
        <f>IF(Table13[[#This Row],[Function Col5]]="","",_xlfn.CONCAT(Table13[[#This Row],[Day Col]],"/",Table13[[#This Row],[Month Col]],"/",Table13[[#This Row],[Year Col]]))</f>
        <v/>
      </c>
      <c r="O504" s="4" t="s">
        <v>1098</v>
      </c>
      <c r="P504" s="4">
        <f>IF(ISNUMBER(Table13[[#This Row],[Claim_Date2]]),Table13[[#This Row],[Claim_Date2]],Table13[[#This Row],[Function Col32]])</f>
        <v>44998</v>
      </c>
      <c r="Q504" s="4">
        <v>44998</v>
      </c>
      <c r="R504" s="1" t="s">
        <v>85</v>
      </c>
      <c r="S504" s="1" t="s">
        <v>47</v>
      </c>
      <c r="T504" s="1" t="s">
        <v>41</v>
      </c>
      <c r="U504" s="1"/>
      <c r="W504">
        <f>IF(Table1[[#This Row],[Claim_Amount]]&lt;0,0,Table1[[#This Row],[Claim_Amount]])</f>
        <v>0</v>
      </c>
      <c r="X504" t="str">
        <f>IF(Table1[[#This Row],[Column1]]=0,"",Table1[[#This Row],[Column1]])</f>
        <v/>
      </c>
      <c r="Y504" t="s">
        <v>1098</v>
      </c>
      <c r="Z504">
        <v>2481</v>
      </c>
      <c r="AA504">
        <v>832</v>
      </c>
      <c r="AB504" s="1" t="s">
        <v>25</v>
      </c>
      <c r="AC504" s="1" t="s">
        <v>57</v>
      </c>
      <c r="AD504">
        <v>9</v>
      </c>
      <c r="AE504" s="3" t="s">
        <v>65</v>
      </c>
    </row>
    <row r="505" spans="1:31" ht="15.75" customHeight="1" x14ac:dyDescent="0.35">
      <c r="A505" s="1" t="s">
        <v>89</v>
      </c>
      <c r="B505" t="s">
        <v>1083</v>
      </c>
      <c r="C505" t="s">
        <v>1084</v>
      </c>
      <c r="D505" s="1" t="s">
        <v>633</v>
      </c>
      <c r="E505" s="5">
        <v>45093</v>
      </c>
      <c r="F505" s="4" t="str">
        <f>IF(ISNUMBER(Table13[[#This Row],[Claim_Date2]]),"",Table13[[#This Row],[Claim_Date2]])</f>
        <v/>
      </c>
      <c r="G505" s="4" t="s">
        <v>1098</v>
      </c>
      <c r="H505" s="4" t="str">
        <f>LEFT(Table13[[#This Row],[Values Col 1]],3)</f>
        <v/>
      </c>
      <c r="I505" s="4" t="s">
        <v>1098</v>
      </c>
      <c r="J505" s="4" t="str">
        <f>MID(Table13[[#This Row],[Function Col]],5,2)</f>
        <v/>
      </c>
      <c r="K505" s="4" t="s">
        <v>1098</v>
      </c>
      <c r="L505" s="4" t="str">
        <f>RIGHT(Table13[[#This Row],[Function Col]],4)</f>
        <v/>
      </c>
      <c r="M505" s="4" t="s">
        <v>1098</v>
      </c>
      <c r="N505" s="4" t="str">
        <f>IF(Table13[[#This Row],[Function Col5]]="","",_xlfn.CONCAT(Table13[[#This Row],[Day Col]],"/",Table13[[#This Row],[Month Col]],"/",Table13[[#This Row],[Year Col]]))</f>
        <v/>
      </c>
      <c r="O505" s="4" t="s">
        <v>1098</v>
      </c>
      <c r="P505" s="4">
        <f>IF(ISNUMBER(Table13[[#This Row],[Claim_Date2]]),Table13[[#This Row],[Claim_Date2]],Table13[[#This Row],[Function Col32]])</f>
        <v>45093</v>
      </c>
      <c r="Q505" s="4">
        <v>45093</v>
      </c>
      <c r="R505" s="1" t="s">
        <v>85</v>
      </c>
      <c r="S505" s="1" t="s">
        <v>47</v>
      </c>
      <c r="T505" s="1" t="s">
        <v>48</v>
      </c>
      <c r="U505" s="1"/>
      <c r="V505" s="1">
        <v>2030.82</v>
      </c>
      <c r="W505" s="1">
        <f>IF(Table1[[#This Row],[Claim_Amount]]&lt;0,0,Table1[[#This Row],[Claim_Amount]])</f>
        <v>2030.82</v>
      </c>
      <c r="X505" s="1">
        <f>IF(Table1[[#This Row],[Column1]]=0,"",Table1[[#This Row],[Column1]])</f>
        <v>2030.82</v>
      </c>
      <c r="Y505" s="1">
        <v>2030.82</v>
      </c>
      <c r="Z505" s="1">
        <v>2030.82</v>
      </c>
      <c r="AA505">
        <v>832</v>
      </c>
      <c r="AB505" s="1" t="s">
        <v>25</v>
      </c>
      <c r="AC505" s="1" t="s">
        <v>1093</v>
      </c>
      <c r="AD505">
        <v>9</v>
      </c>
      <c r="AE505" s="3" t="s">
        <v>65</v>
      </c>
    </row>
    <row r="506" spans="1:31" ht="15.75" customHeight="1" x14ac:dyDescent="0.35">
      <c r="A506" s="1" t="s">
        <v>137</v>
      </c>
      <c r="B506" t="s">
        <v>1083</v>
      </c>
      <c r="C506" s="1" t="s">
        <v>156</v>
      </c>
      <c r="D506" s="1" t="s">
        <v>240</v>
      </c>
      <c r="E506" s="5">
        <v>45181</v>
      </c>
      <c r="F506" s="4" t="str">
        <f>IF(ISNUMBER(Table13[[#This Row],[Claim_Date2]]),"",Table13[[#This Row],[Claim_Date2]])</f>
        <v/>
      </c>
      <c r="G506" s="4" t="s">
        <v>1098</v>
      </c>
      <c r="H506" s="4" t="str">
        <f>LEFT(Table13[[#This Row],[Values Col 1]],3)</f>
        <v/>
      </c>
      <c r="I506" s="4" t="s">
        <v>1098</v>
      </c>
      <c r="J506" s="4" t="str">
        <f>MID(Table13[[#This Row],[Function Col]],5,2)</f>
        <v/>
      </c>
      <c r="K506" s="4" t="s">
        <v>1098</v>
      </c>
      <c r="L506" s="4" t="str">
        <f>RIGHT(Table13[[#This Row],[Function Col]],4)</f>
        <v/>
      </c>
      <c r="M506" s="4" t="s">
        <v>1098</v>
      </c>
      <c r="N506" s="4" t="str">
        <f>IF(Table13[[#This Row],[Function Col5]]="","",_xlfn.CONCAT(Table13[[#This Row],[Day Col]],"/",Table13[[#This Row],[Month Col]],"/",Table13[[#This Row],[Year Col]]))</f>
        <v/>
      </c>
      <c r="O506" s="4" t="s">
        <v>1098</v>
      </c>
      <c r="P506" s="4">
        <f>IF(ISNUMBER(Table13[[#This Row],[Claim_Date2]]),Table13[[#This Row],[Claim_Date2]],Table13[[#This Row],[Function Col32]])</f>
        <v>45181</v>
      </c>
      <c r="Q506" s="4">
        <v>45181</v>
      </c>
      <c r="R506" s="1" t="s">
        <v>85</v>
      </c>
      <c r="S506" t="s">
        <v>1085</v>
      </c>
      <c r="T506" s="1" t="s">
        <v>54</v>
      </c>
      <c r="U506" s="1"/>
      <c r="W506">
        <f>IF(Table1[[#This Row],[Claim_Amount]]&lt;0,0,Table1[[#This Row],[Claim_Amount]])</f>
        <v>0</v>
      </c>
      <c r="X506" t="str">
        <f>IF(Table1[[#This Row],[Column1]]=0,"",Table1[[#This Row],[Column1]])</f>
        <v/>
      </c>
      <c r="Y506" t="s">
        <v>1098</v>
      </c>
      <c r="Z506">
        <v>2481</v>
      </c>
      <c r="AA506" s="1">
        <v>4487.22</v>
      </c>
      <c r="AB506" s="1" t="s">
        <v>25</v>
      </c>
      <c r="AC506" s="1" t="s">
        <v>57</v>
      </c>
      <c r="AD506" s="1">
        <v>15</v>
      </c>
      <c r="AE506" s="3" t="s">
        <v>65</v>
      </c>
    </row>
    <row r="507" spans="1:31" ht="15.75" customHeight="1" x14ac:dyDescent="0.35">
      <c r="A507" s="1" t="s">
        <v>132</v>
      </c>
      <c r="B507" t="s">
        <v>1083</v>
      </c>
      <c r="C507" s="1" t="s">
        <v>592</v>
      </c>
      <c r="D507" s="1" t="s">
        <v>120</v>
      </c>
      <c r="E507" s="5">
        <v>44981</v>
      </c>
      <c r="F507" s="4" t="str">
        <f>IF(ISNUMBER(Table13[[#This Row],[Claim_Date2]]),"",Table13[[#This Row],[Claim_Date2]])</f>
        <v/>
      </c>
      <c r="G507" s="4" t="s">
        <v>1098</v>
      </c>
      <c r="H507" s="4" t="str">
        <f>LEFT(Table13[[#This Row],[Values Col 1]],3)</f>
        <v/>
      </c>
      <c r="I507" s="4" t="s">
        <v>1098</v>
      </c>
      <c r="J507" s="4" t="str">
        <f>MID(Table13[[#This Row],[Function Col]],5,2)</f>
        <v/>
      </c>
      <c r="K507" s="4" t="s">
        <v>1098</v>
      </c>
      <c r="L507" s="4" t="str">
        <f>RIGHT(Table13[[#This Row],[Function Col]],4)</f>
        <v/>
      </c>
      <c r="M507" s="4" t="s">
        <v>1098</v>
      </c>
      <c r="N507" s="4" t="str">
        <f>IF(Table13[[#This Row],[Function Col5]]="","",_xlfn.CONCAT(Table13[[#This Row],[Day Col]],"/",Table13[[#This Row],[Month Col]],"/",Table13[[#This Row],[Year Col]]))</f>
        <v/>
      </c>
      <c r="O507" s="4" t="s">
        <v>1098</v>
      </c>
      <c r="P507" s="4">
        <f>IF(ISNUMBER(Table13[[#This Row],[Claim_Date2]]),Table13[[#This Row],[Claim_Date2]],Table13[[#This Row],[Function Col32]])</f>
        <v>44981</v>
      </c>
      <c r="Q507" s="4">
        <v>44981</v>
      </c>
      <c r="R507" s="1" t="s">
        <v>92</v>
      </c>
      <c r="S507" s="1" t="s">
        <v>53</v>
      </c>
      <c r="T507" s="1" t="s">
        <v>41</v>
      </c>
      <c r="U507" s="1"/>
      <c r="V507" s="1">
        <v>-75</v>
      </c>
      <c r="W507" s="1">
        <f>IF(Table1[[#This Row],[Claim_Amount]]&lt;0,0,Table1[[#This Row],[Claim_Amount]])</f>
        <v>0</v>
      </c>
      <c r="X507" s="1" t="str">
        <f>IF(Table1[[#This Row],[Column1]]=0,"",Table1[[#This Row],[Column1]])</f>
        <v/>
      </c>
      <c r="Y507" s="1" t="s">
        <v>1098</v>
      </c>
      <c r="Z507" s="1">
        <v>2481</v>
      </c>
      <c r="AA507">
        <v>832</v>
      </c>
      <c r="AB507" s="1" t="s">
        <v>25</v>
      </c>
      <c r="AC507" s="1" t="s">
        <v>18</v>
      </c>
      <c r="AD507">
        <v>9</v>
      </c>
      <c r="AE507" s="3" t="s">
        <v>37</v>
      </c>
    </row>
    <row r="508" spans="1:31" ht="15.75" customHeight="1" x14ac:dyDescent="0.35">
      <c r="A508" s="1" t="s">
        <v>96</v>
      </c>
      <c r="B508" t="s">
        <v>1083</v>
      </c>
      <c r="C508" s="1" t="s">
        <v>581</v>
      </c>
      <c r="D508" s="1" t="s">
        <v>730</v>
      </c>
      <c r="E508" s="5" t="s">
        <v>730</v>
      </c>
      <c r="F508" s="4" t="str">
        <f>IF(ISNUMBER(Table13[[#This Row],[Claim_Date2]]),"",Table13[[#This Row],[Claim_Date2]])</f>
        <v>Jul 13 2023</v>
      </c>
      <c r="G508" s="4" t="s">
        <v>730</v>
      </c>
      <c r="H508" s="4" t="str">
        <f>LEFT(Table13[[#This Row],[Values Col 1]],3)</f>
        <v>Jul</v>
      </c>
      <c r="I508" s="4" t="s">
        <v>1101</v>
      </c>
      <c r="J508" s="4" t="str">
        <f>MID(Table13[[#This Row],[Function Col]],5,2)</f>
        <v>13</v>
      </c>
      <c r="K508" s="4" t="s">
        <v>1114</v>
      </c>
      <c r="L508" s="4" t="str">
        <f>RIGHT(Table13[[#This Row],[Function Col]],4)</f>
        <v>2023</v>
      </c>
      <c r="M508" s="4" t="s">
        <v>1146</v>
      </c>
      <c r="N508" s="4" t="str">
        <f>IF(Table13[[#This Row],[Function Col5]]="","",_xlfn.CONCAT(Table13[[#This Row],[Day Col]],"/",Table13[[#This Row],[Month Col]],"/",Table13[[#This Row],[Year Col]]))</f>
        <v>13/Jul/2023</v>
      </c>
      <c r="O508" s="4" t="s">
        <v>1283</v>
      </c>
      <c r="P508" s="4" t="str">
        <f>IF(ISNUMBER(Table13[[#This Row],[Claim_Date2]]),Table13[[#This Row],[Claim_Date2]],Table13[[#This Row],[Function Col32]])</f>
        <v>13/Jul/2023</v>
      </c>
      <c r="Q508" s="4">
        <v>45120</v>
      </c>
      <c r="R508" s="1" t="s">
        <v>16</v>
      </c>
      <c r="S508" t="s">
        <v>1085</v>
      </c>
      <c r="T508" t="s">
        <v>1086</v>
      </c>
      <c r="V508" s="1">
        <v>-174</v>
      </c>
      <c r="W508" s="1">
        <f>IF(Table1[[#This Row],[Claim_Amount]]&lt;0,0,Table1[[#This Row],[Claim_Amount]])</f>
        <v>0</v>
      </c>
      <c r="X508" s="1" t="str">
        <f>IF(Table1[[#This Row],[Column1]]=0,"",Table1[[#This Row],[Column1]])</f>
        <v/>
      </c>
      <c r="Y508" s="1" t="s">
        <v>1098</v>
      </c>
      <c r="Z508" s="1">
        <v>2481</v>
      </c>
      <c r="AA508" s="1">
        <v>4051.82</v>
      </c>
      <c r="AB508" s="1" t="s">
        <v>42</v>
      </c>
      <c r="AC508" s="1" t="s">
        <v>26</v>
      </c>
      <c r="AD508" s="1">
        <v>18</v>
      </c>
      <c r="AE508" s="3" t="s">
        <v>19</v>
      </c>
    </row>
    <row r="509" spans="1:31" ht="15.75" customHeight="1" x14ac:dyDescent="0.35">
      <c r="A509" s="1" t="s">
        <v>96</v>
      </c>
      <c r="B509" t="s">
        <v>1083</v>
      </c>
      <c r="C509" s="1" t="s">
        <v>463</v>
      </c>
      <c r="D509" s="1" t="s">
        <v>731</v>
      </c>
      <c r="E509" s="5">
        <v>44986</v>
      </c>
      <c r="F509" s="4" t="str">
        <f>IF(ISNUMBER(Table13[[#This Row],[Claim_Date2]]),"",Table13[[#This Row],[Claim_Date2]])</f>
        <v/>
      </c>
      <c r="G509" s="4" t="s">
        <v>1098</v>
      </c>
      <c r="H509" s="4" t="str">
        <f>LEFT(Table13[[#This Row],[Values Col 1]],3)</f>
        <v/>
      </c>
      <c r="I509" s="4" t="s">
        <v>1098</v>
      </c>
      <c r="J509" s="4" t="str">
        <f>MID(Table13[[#This Row],[Function Col]],5,2)</f>
        <v/>
      </c>
      <c r="K509" s="4" t="s">
        <v>1098</v>
      </c>
      <c r="L509" s="4" t="str">
        <f>RIGHT(Table13[[#This Row],[Function Col]],4)</f>
        <v/>
      </c>
      <c r="M509" s="4" t="s">
        <v>1098</v>
      </c>
      <c r="N509" s="4" t="str">
        <f>IF(Table13[[#This Row],[Function Col5]]="","",_xlfn.CONCAT(Table13[[#This Row],[Day Col]],"/",Table13[[#This Row],[Month Col]],"/",Table13[[#This Row],[Year Col]]))</f>
        <v/>
      </c>
      <c r="O509" s="4" t="s">
        <v>1098</v>
      </c>
      <c r="P509" s="4">
        <f>IF(ISNUMBER(Table13[[#This Row],[Claim_Date2]]),Table13[[#This Row],[Claim_Date2]],Table13[[#This Row],[Function Col32]])</f>
        <v>44986</v>
      </c>
      <c r="Q509" s="4">
        <v>44986</v>
      </c>
      <c r="R509" s="1" t="s">
        <v>85</v>
      </c>
      <c r="S509" s="1" t="s">
        <v>31</v>
      </c>
      <c r="T509" s="1" t="s">
        <v>48</v>
      </c>
      <c r="U509" s="1"/>
      <c r="W509">
        <f>IF(Table1[[#This Row],[Claim_Amount]]&lt;0,0,Table1[[#This Row],[Claim_Amount]])</f>
        <v>0</v>
      </c>
      <c r="X509" t="str">
        <f>IF(Table1[[#This Row],[Column1]]=0,"",Table1[[#This Row],[Column1]])</f>
        <v/>
      </c>
      <c r="Y509" t="s">
        <v>1098</v>
      </c>
      <c r="Z509">
        <v>2481</v>
      </c>
      <c r="AA509">
        <v>832</v>
      </c>
      <c r="AB509" s="1" t="s">
        <v>17</v>
      </c>
      <c r="AC509" s="1" t="s">
        <v>1093</v>
      </c>
      <c r="AD509">
        <v>9</v>
      </c>
      <c r="AE509" s="3" t="s">
        <v>27</v>
      </c>
    </row>
    <row r="510" spans="1:31" ht="15.75" customHeight="1" x14ac:dyDescent="0.35">
      <c r="A510" s="1" t="s">
        <v>275</v>
      </c>
      <c r="B510" t="s">
        <v>1083</v>
      </c>
      <c r="C510" s="1" t="s">
        <v>378</v>
      </c>
      <c r="D510" s="1" t="s">
        <v>732</v>
      </c>
      <c r="E510" s="5" t="s">
        <v>732</v>
      </c>
      <c r="F510" s="4" t="str">
        <f>IF(ISNUMBER(Table13[[#This Row],[Claim_Date2]]),"",Table13[[#This Row],[Claim_Date2]])</f>
        <v>Jan 05 2023</v>
      </c>
      <c r="G510" s="4" t="s">
        <v>732</v>
      </c>
      <c r="H510" s="4" t="str">
        <f>LEFT(Table13[[#This Row],[Values Col 1]],3)</f>
        <v>Jan</v>
      </c>
      <c r="I510" s="4" t="s">
        <v>1107</v>
      </c>
      <c r="J510" s="4" t="str">
        <f>MID(Table13[[#This Row],[Function Col]],5,2)</f>
        <v>05</v>
      </c>
      <c r="K510" s="4" t="s">
        <v>1144</v>
      </c>
      <c r="L510" s="4" t="str">
        <f>RIGHT(Table13[[#This Row],[Function Col]],4)</f>
        <v>2023</v>
      </c>
      <c r="M510" s="4" t="s">
        <v>1146</v>
      </c>
      <c r="N510" s="4" t="str">
        <f>IF(Table13[[#This Row],[Function Col5]]="","",_xlfn.CONCAT(Table13[[#This Row],[Day Col]],"/",Table13[[#This Row],[Month Col]],"/",Table13[[#This Row],[Year Col]]))</f>
        <v>05/Jan/2023</v>
      </c>
      <c r="O510" s="4" t="s">
        <v>1284</v>
      </c>
      <c r="P510" s="4" t="str">
        <f>IF(ISNUMBER(Table13[[#This Row],[Claim_Date2]]),Table13[[#This Row],[Claim_Date2]],Table13[[#This Row],[Function Col32]])</f>
        <v>05/Jan/2023</v>
      </c>
      <c r="Q510" s="4">
        <v>44931</v>
      </c>
      <c r="R510" s="1" t="s">
        <v>85</v>
      </c>
      <c r="S510" s="1" t="s">
        <v>53</v>
      </c>
      <c r="T510" s="1" t="s">
        <v>41</v>
      </c>
      <c r="U510" s="1"/>
      <c r="W510">
        <f>IF(Table1[[#This Row],[Claim_Amount]]&lt;0,0,Table1[[#This Row],[Claim_Amount]])</f>
        <v>0</v>
      </c>
      <c r="X510" t="str">
        <f>IF(Table1[[#This Row],[Column1]]=0,"",Table1[[#This Row],[Column1]])</f>
        <v/>
      </c>
      <c r="Y510" t="s">
        <v>1098</v>
      </c>
      <c r="Z510">
        <v>2481</v>
      </c>
      <c r="AA510">
        <v>832</v>
      </c>
      <c r="AB510" s="1" t="s">
        <v>17</v>
      </c>
      <c r="AC510" s="1" t="s">
        <v>57</v>
      </c>
      <c r="AD510" s="1">
        <v>18</v>
      </c>
      <c r="AE510" s="3" t="s">
        <v>19</v>
      </c>
    </row>
    <row r="511" spans="1:31" ht="15.75" customHeight="1" x14ac:dyDescent="0.35">
      <c r="A511" s="1" t="s">
        <v>154</v>
      </c>
      <c r="B511" t="s">
        <v>1083</v>
      </c>
      <c r="C511" s="1" t="s">
        <v>613</v>
      </c>
      <c r="D511" s="1" t="s">
        <v>649</v>
      </c>
      <c r="E511" s="5">
        <v>45288</v>
      </c>
      <c r="F511" s="4" t="str">
        <f>IF(ISNUMBER(Table13[[#This Row],[Claim_Date2]]),"",Table13[[#This Row],[Claim_Date2]])</f>
        <v/>
      </c>
      <c r="G511" s="4" t="s">
        <v>1098</v>
      </c>
      <c r="H511" s="4" t="str">
        <f>LEFT(Table13[[#This Row],[Values Col 1]],3)</f>
        <v/>
      </c>
      <c r="I511" s="4" t="s">
        <v>1098</v>
      </c>
      <c r="J511" s="4" t="str">
        <f>MID(Table13[[#This Row],[Function Col]],5,2)</f>
        <v/>
      </c>
      <c r="K511" s="4" t="s">
        <v>1098</v>
      </c>
      <c r="L511" s="4" t="str">
        <f>RIGHT(Table13[[#This Row],[Function Col]],4)</f>
        <v/>
      </c>
      <c r="M511" s="4" t="s">
        <v>1098</v>
      </c>
      <c r="N511" s="4" t="str">
        <f>IF(Table13[[#This Row],[Function Col5]]="","",_xlfn.CONCAT(Table13[[#This Row],[Day Col]],"/",Table13[[#This Row],[Month Col]],"/",Table13[[#This Row],[Year Col]]))</f>
        <v/>
      </c>
      <c r="O511" s="4" t="s">
        <v>1098</v>
      </c>
      <c r="P511" s="4">
        <f>IF(ISNUMBER(Table13[[#This Row],[Claim_Date2]]),Table13[[#This Row],[Claim_Date2]],Table13[[#This Row],[Function Col32]])</f>
        <v>45288</v>
      </c>
      <c r="Q511" s="4">
        <v>45288</v>
      </c>
      <c r="R511" s="1" t="s">
        <v>16</v>
      </c>
      <c r="S511" s="1" t="s">
        <v>93</v>
      </c>
      <c r="T511" s="1" t="s">
        <v>48</v>
      </c>
      <c r="U511" s="1"/>
      <c r="V511" s="1">
        <v>1492.9</v>
      </c>
      <c r="W511" s="1">
        <f>IF(Table1[[#This Row],[Claim_Amount]]&lt;0,0,Table1[[#This Row],[Claim_Amount]])</f>
        <v>1492.9</v>
      </c>
      <c r="X511" s="1">
        <f>IF(Table1[[#This Row],[Column1]]=0,"",Table1[[#This Row],[Column1]])</f>
        <v>1492.9</v>
      </c>
      <c r="Y511" s="1">
        <v>1492.9</v>
      </c>
      <c r="Z511" s="1">
        <v>1492.9</v>
      </c>
      <c r="AA511">
        <v>832</v>
      </c>
      <c r="AB511" s="1" t="s">
        <v>17</v>
      </c>
      <c r="AC511" s="1" t="s">
        <v>18</v>
      </c>
      <c r="AD511">
        <v>9</v>
      </c>
      <c r="AE511" s="3" t="s">
        <v>65</v>
      </c>
    </row>
    <row r="512" spans="1:31" ht="15.75" customHeight="1" x14ac:dyDescent="0.35">
      <c r="A512" s="1" t="s">
        <v>321</v>
      </c>
      <c r="B512" s="1" t="s">
        <v>733</v>
      </c>
      <c r="C512" s="1" t="s">
        <v>509</v>
      </c>
      <c r="D512" s="1" t="s">
        <v>734</v>
      </c>
      <c r="E512" s="5" t="s">
        <v>734</v>
      </c>
      <c r="F512" s="4" t="str">
        <f>IF(ISNUMBER(Table13[[#This Row],[Claim_Date2]]),"",Table13[[#This Row],[Claim_Date2]])</f>
        <v>Jun 03 2023</v>
      </c>
      <c r="G512" s="4" t="s">
        <v>734</v>
      </c>
      <c r="H512" s="4" t="str">
        <f>LEFT(Table13[[#This Row],[Values Col 1]],3)</f>
        <v>Jun</v>
      </c>
      <c r="I512" s="4" t="s">
        <v>1108</v>
      </c>
      <c r="J512" s="4" t="str">
        <f>MID(Table13[[#This Row],[Function Col]],5,2)</f>
        <v>03</v>
      </c>
      <c r="K512" s="4" t="s">
        <v>1141</v>
      </c>
      <c r="L512" s="4" t="str">
        <f>RIGHT(Table13[[#This Row],[Function Col]],4)</f>
        <v>2023</v>
      </c>
      <c r="M512" s="4" t="s">
        <v>1146</v>
      </c>
      <c r="N512" s="4" t="str">
        <f>IF(Table13[[#This Row],[Function Col5]]="","",_xlfn.CONCAT(Table13[[#This Row],[Day Col]],"/",Table13[[#This Row],[Month Col]],"/",Table13[[#This Row],[Year Col]]))</f>
        <v>03/Jun/2023</v>
      </c>
      <c r="O512" s="4" t="s">
        <v>1285</v>
      </c>
      <c r="P512" s="4" t="str">
        <f>IF(ISNUMBER(Table13[[#This Row],[Claim_Date2]]),Table13[[#This Row],[Claim_Date2]],Table13[[#This Row],[Function Col32]])</f>
        <v>03/Jun/2023</v>
      </c>
      <c r="Q512" s="4">
        <v>45080</v>
      </c>
      <c r="R512" s="1" t="s">
        <v>85</v>
      </c>
      <c r="S512" s="1" t="s">
        <v>93</v>
      </c>
      <c r="T512" s="1" t="s">
        <v>61</v>
      </c>
      <c r="U512" s="1"/>
      <c r="V512" s="1">
        <v>-96</v>
      </c>
      <c r="W512" s="1">
        <f>IF(Table1[[#This Row],[Claim_Amount]]&lt;0,0,Table1[[#This Row],[Claim_Amount]])</f>
        <v>0</v>
      </c>
      <c r="X512" s="1" t="str">
        <f>IF(Table1[[#This Row],[Column1]]=0,"",Table1[[#This Row],[Column1]])</f>
        <v/>
      </c>
      <c r="Y512" s="1" t="s">
        <v>1098</v>
      </c>
      <c r="Z512" s="1">
        <v>2481</v>
      </c>
      <c r="AA512">
        <v>832</v>
      </c>
      <c r="AB512" s="1" t="s">
        <v>25</v>
      </c>
      <c r="AC512" s="1" t="s">
        <v>1093</v>
      </c>
      <c r="AD512">
        <v>9</v>
      </c>
      <c r="AE512" s="3" t="s">
        <v>27</v>
      </c>
    </row>
    <row r="513" spans="1:31" ht="15.75" customHeight="1" x14ac:dyDescent="0.35">
      <c r="A513" s="1" t="s">
        <v>261</v>
      </c>
      <c r="B513" s="1" t="s">
        <v>735</v>
      </c>
      <c r="C513" t="s">
        <v>1084</v>
      </c>
      <c r="D513" s="1" t="s">
        <v>736</v>
      </c>
      <c r="E513" s="5" t="s">
        <v>736</v>
      </c>
      <c r="F513" s="4" t="str">
        <f>IF(ISNUMBER(Table13[[#This Row],[Claim_Date2]]),"",Table13[[#This Row],[Claim_Date2]])</f>
        <v>Jun 15 2023</v>
      </c>
      <c r="G513" s="4" t="s">
        <v>736</v>
      </c>
      <c r="H513" s="4" t="str">
        <f>LEFT(Table13[[#This Row],[Values Col 1]],3)</f>
        <v>Jun</v>
      </c>
      <c r="I513" s="4" t="s">
        <v>1108</v>
      </c>
      <c r="J513" s="4" t="str">
        <f>MID(Table13[[#This Row],[Function Col]],5,2)</f>
        <v>15</v>
      </c>
      <c r="K513" s="4" t="s">
        <v>1116</v>
      </c>
      <c r="L513" s="4" t="str">
        <f>RIGHT(Table13[[#This Row],[Function Col]],4)</f>
        <v>2023</v>
      </c>
      <c r="M513" s="4" t="s">
        <v>1146</v>
      </c>
      <c r="N513" s="4" t="str">
        <f>IF(Table13[[#This Row],[Function Col5]]="","",_xlfn.CONCAT(Table13[[#This Row],[Day Col]],"/",Table13[[#This Row],[Month Col]],"/",Table13[[#This Row],[Year Col]]))</f>
        <v>15/Jun/2023</v>
      </c>
      <c r="O513" s="4" t="s">
        <v>1286</v>
      </c>
      <c r="P513" s="4" t="str">
        <f>IF(ISNUMBER(Table13[[#This Row],[Claim_Date2]]),Table13[[#This Row],[Claim_Date2]],Table13[[#This Row],[Function Col32]])</f>
        <v>15/Jun/2023</v>
      </c>
      <c r="Q513" s="4">
        <v>45092</v>
      </c>
      <c r="R513" s="1" t="s">
        <v>85</v>
      </c>
      <c r="S513" s="1" t="s">
        <v>23</v>
      </c>
      <c r="T513" t="s">
        <v>1086</v>
      </c>
      <c r="W513">
        <f>IF(Table1[[#This Row],[Claim_Amount]]&lt;0,0,Table1[[#This Row],[Claim_Amount]])</f>
        <v>0</v>
      </c>
      <c r="X513" t="str">
        <f>IF(Table1[[#This Row],[Column1]]=0,"",Table1[[#This Row],[Column1]])</f>
        <v/>
      </c>
      <c r="Y513" t="s">
        <v>1098</v>
      </c>
      <c r="Z513">
        <v>2481</v>
      </c>
      <c r="AA513">
        <v>832</v>
      </c>
      <c r="AB513" s="1" t="s">
        <v>25</v>
      </c>
      <c r="AC513" s="1" t="s">
        <v>32</v>
      </c>
      <c r="AD513" s="1">
        <v>57</v>
      </c>
      <c r="AE513" s="3" t="s">
        <v>65</v>
      </c>
    </row>
    <row r="514" spans="1:31" ht="15.75" customHeight="1" x14ac:dyDescent="0.35">
      <c r="A514" s="1" t="s">
        <v>187</v>
      </c>
      <c r="B514" s="1" t="s">
        <v>737</v>
      </c>
      <c r="C514" s="1" t="s">
        <v>278</v>
      </c>
      <c r="D514" s="1" t="s">
        <v>551</v>
      </c>
      <c r="E514" s="5" t="s">
        <v>551</v>
      </c>
      <c r="F514" s="4" t="str">
        <f>IF(ISNUMBER(Table13[[#This Row],[Claim_Date2]]),"",Table13[[#This Row],[Claim_Date2]])</f>
        <v>Feb 22 2023</v>
      </c>
      <c r="G514" s="4" t="s">
        <v>551</v>
      </c>
      <c r="H514" s="4" t="str">
        <f>LEFT(Table13[[#This Row],[Values Col 1]],3)</f>
        <v>Feb</v>
      </c>
      <c r="I514" s="4" t="s">
        <v>1109</v>
      </c>
      <c r="J514" s="4" t="str">
        <f>MID(Table13[[#This Row],[Function Col]],5,2)</f>
        <v>22</v>
      </c>
      <c r="K514" s="4" t="s">
        <v>1122</v>
      </c>
      <c r="L514" s="4" t="str">
        <f>RIGHT(Table13[[#This Row],[Function Col]],4)</f>
        <v>2023</v>
      </c>
      <c r="M514" s="4" t="s">
        <v>1146</v>
      </c>
      <c r="N514" s="4" t="str">
        <f>IF(Table13[[#This Row],[Function Col5]]="","",_xlfn.CONCAT(Table13[[#This Row],[Day Col]],"/",Table13[[#This Row],[Month Col]],"/",Table13[[#This Row],[Year Col]]))</f>
        <v>22/Feb/2023</v>
      </c>
      <c r="O514" s="4" t="s">
        <v>1244</v>
      </c>
      <c r="P514" s="4" t="str">
        <f>IF(ISNUMBER(Table13[[#This Row],[Claim_Date2]]),Table13[[#This Row],[Claim_Date2]],Table13[[#This Row],[Function Col32]])</f>
        <v>22/Feb/2023</v>
      </c>
      <c r="Q514" s="4">
        <v>44979</v>
      </c>
      <c r="R514" s="1" t="s">
        <v>85</v>
      </c>
      <c r="S514" s="1" t="s">
        <v>93</v>
      </c>
      <c r="T514" s="1" t="s">
        <v>48</v>
      </c>
      <c r="U514" s="1"/>
      <c r="W514">
        <f>IF(Table1[[#This Row],[Claim_Amount]]&lt;0,0,Table1[[#This Row],[Claim_Amount]])</f>
        <v>0</v>
      </c>
      <c r="X514" t="str">
        <f>IF(Table1[[#This Row],[Column1]]=0,"",Table1[[#This Row],[Column1]])</f>
        <v/>
      </c>
      <c r="Y514" t="s">
        <v>1098</v>
      </c>
      <c r="Z514">
        <v>2481</v>
      </c>
      <c r="AA514" s="1">
        <v>4633.63</v>
      </c>
      <c r="AB514" s="1" t="s">
        <v>42</v>
      </c>
      <c r="AC514" s="1" t="s">
        <v>1093</v>
      </c>
      <c r="AD514" s="1">
        <v>11</v>
      </c>
      <c r="AE514" s="3" t="s">
        <v>19</v>
      </c>
    </row>
    <row r="515" spans="1:31" ht="15.75" customHeight="1" x14ac:dyDescent="0.35">
      <c r="A515" s="1" t="s">
        <v>163</v>
      </c>
      <c r="B515" t="s">
        <v>1083</v>
      </c>
      <c r="C515" t="s">
        <v>1084</v>
      </c>
      <c r="D515" s="1" t="s">
        <v>265</v>
      </c>
      <c r="E515" s="5">
        <v>45003</v>
      </c>
      <c r="F515" s="4" t="str">
        <f>IF(ISNUMBER(Table13[[#This Row],[Claim_Date2]]),"",Table13[[#This Row],[Claim_Date2]])</f>
        <v/>
      </c>
      <c r="G515" s="4" t="s">
        <v>1098</v>
      </c>
      <c r="H515" s="4" t="str">
        <f>LEFT(Table13[[#This Row],[Values Col 1]],3)</f>
        <v/>
      </c>
      <c r="I515" s="4" t="s">
        <v>1098</v>
      </c>
      <c r="J515" s="4" t="str">
        <f>MID(Table13[[#This Row],[Function Col]],5,2)</f>
        <v/>
      </c>
      <c r="K515" s="4" t="s">
        <v>1098</v>
      </c>
      <c r="L515" s="4" t="str">
        <f>RIGHT(Table13[[#This Row],[Function Col]],4)</f>
        <v/>
      </c>
      <c r="M515" s="4" t="s">
        <v>1098</v>
      </c>
      <c r="N515" s="4" t="str">
        <f>IF(Table13[[#This Row],[Function Col5]]="","",_xlfn.CONCAT(Table13[[#This Row],[Day Col]],"/",Table13[[#This Row],[Month Col]],"/",Table13[[#This Row],[Year Col]]))</f>
        <v/>
      </c>
      <c r="O515" s="4" t="s">
        <v>1098</v>
      </c>
      <c r="P515" s="4">
        <f>IF(ISNUMBER(Table13[[#This Row],[Claim_Date2]]),Table13[[#This Row],[Claim_Date2]],Table13[[#This Row],[Function Col32]])</f>
        <v>45003</v>
      </c>
      <c r="Q515" s="4">
        <v>45003</v>
      </c>
      <c r="R515" s="1" t="s">
        <v>16</v>
      </c>
      <c r="S515" s="1" t="s">
        <v>23</v>
      </c>
      <c r="T515" s="1" t="s">
        <v>24</v>
      </c>
      <c r="U515" s="1"/>
      <c r="W515">
        <f>IF(Table1[[#This Row],[Claim_Amount]]&lt;0,0,Table1[[#This Row],[Claim_Amount]])</f>
        <v>0</v>
      </c>
      <c r="X515" t="str">
        <f>IF(Table1[[#This Row],[Column1]]=0,"",Table1[[#This Row],[Column1]])</f>
        <v/>
      </c>
      <c r="Y515" t="s">
        <v>1098</v>
      </c>
      <c r="Z515">
        <v>2481</v>
      </c>
      <c r="AA515">
        <v>832</v>
      </c>
      <c r="AB515" s="1" t="s">
        <v>25</v>
      </c>
      <c r="AC515" s="1" t="s">
        <v>1093</v>
      </c>
      <c r="AD515">
        <v>9</v>
      </c>
      <c r="AE515" s="3" t="s">
        <v>37</v>
      </c>
    </row>
    <row r="516" spans="1:31" ht="15.75" customHeight="1" x14ac:dyDescent="0.35">
      <c r="A516" s="1" t="s">
        <v>38</v>
      </c>
      <c r="B516" t="s">
        <v>1083</v>
      </c>
      <c r="C516" t="s">
        <v>1084</v>
      </c>
      <c r="D516" s="1" t="s">
        <v>738</v>
      </c>
      <c r="E516" s="5">
        <v>44932</v>
      </c>
      <c r="F516" s="4" t="str">
        <f>IF(ISNUMBER(Table13[[#This Row],[Claim_Date2]]),"",Table13[[#This Row],[Claim_Date2]])</f>
        <v/>
      </c>
      <c r="G516" s="4" t="s">
        <v>1098</v>
      </c>
      <c r="H516" s="4" t="str">
        <f>LEFT(Table13[[#This Row],[Values Col 1]],3)</f>
        <v/>
      </c>
      <c r="I516" s="4" t="s">
        <v>1098</v>
      </c>
      <c r="J516" s="4" t="str">
        <f>MID(Table13[[#This Row],[Function Col]],5,2)</f>
        <v/>
      </c>
      <c r="K516" s="4" t="s">
        <v>1098</v>
      </c>
      <c r="L516" s="4" t="str">
        <f>RIGHT(Table13[[#This Row],[Function Col]],4)</f>
        <v/>
      </c>
      <c r="M516" s="4" t="s">
        <v>1098</v>
      </c>
      <c r="N516" s="4" t="str">
        <f>IF(Table13[[#This Row],[Function Col5]]="","",_xlfn.CONCAT(Table13[[#This Row],[Day Col]],"/",Table13[[#This Row],[Month Col]],"/",Table13[[#This Row],[Year Col]]))</f>
        <v/>
      </c>
      <c r="O516" s="4" t="s">
        <v>1098</v>
      </c>
      <c r="P516" s="4">
        <f>IF(ISNUMBER(Table13[[#This Row],[Claim_Date2]]),Table13[[#This Row],[Claim_Date2]],Table13[[#This Row],[Function Col32]])</f>
        <v>44932</v>
      </c>
      <c r="Q516" s="4">
        <v>44932</v>
      </c>
      <c r="R516" s="1" t="s">
        <v>16</v>
      </c>
      <c r="S516" s="1" t="s">
        <v>53</v>
      </c>
      <c r="T516" t="s">
        <v>1086</v>
      </c>
      <c r="W516">
        <f>IF(Table1[[#This Row],[Claim_Amount]]&lt;0,0,Table1[[#This Row],[Claim_Amount]])</f>
        <v>0</v>
      </c>
      <c r="X516" t="str">
        <f>IF(Table1[[#This Row],[Column1]]=0,"",Table1[[#This Row],[Column1]])</f>
        <v/>
      </c>
      <c r="Y516" t="s">
        <v>1098</v>
      </c>
      <c r="Z516">
        <v>2481</v>
      </c>
      <c r="AA516">
        <v>832</v>
      </c>
      <c r="AB516" s="1" t="s">
        <v>1091</v>
      </c>
      <c r="AC516" s="1" t="s">
        <v>1093</v>
      </c>
      <c r="AD516">
        <v>9</v>
      </c>
      <c r="AE516" s="3" t="s">
        <v>19</v>
      </c>
    </row>
    <row r="517" spans="1:31" ht="15.75" customHeight="1" x14ac:dyDescent="0.35">
      <c r="A517" s="1" t="s">
        <v>179</v>
      </c>
      <c r="B517" s="1" t="s">
        <v>347</v>
      </c>
      <c r="C517" t="s">
        <v>1084</v>
      </c>
      <c r="D517" s="1" t="s">
        <v>662</v>
      </c>
      <c r="E517" s="5">
        <v>45286</v>
      </c>
      <c r="F517" s="4" t="str">
        <f>IF(ISNUMBER(Table13[[#This Row],[Claim_Date2]]),"",Table13[[#This Row],[Claim_Date2]])</f>
        <v/>
      </c>
      <c r="G517" s="4" t="s">
        <v>1098</v>
      </c>
      <c r="H517" s="4" t="str">
        <f>LEFT(Table13[[#This Row],[Values Col 1]],3)</f>
        <v/>
      </c>
      <c r="I517" s="4" t="s">
        <v>1098</v>
      </c>
      <c r="J517" s="4" t="str">
        <f>MID(Table13[[#This Row],[Function Col]],5,2)</f>
        <v/>
      </c>
      <c r="K517" s="4" t="s">
        <v>1098</v>
      </c>
      <c r="L517" s="4" t="str">
        <f>RIGHT(Table13[[#This Row],[Function Col]],4)</f>
        <v/>
      </c>
      <c r="M517" s="4" t="s">
        <v>1098</v>
      </c>
      <c r="N517" s="4" t="str">
        <f>IF(Table13[[#This Row],[Function Col5]]="","",_xlfn.CONCAT(Table13[[#This Row],[Day Col]],"/",Table13[[#This Row],[Month Col]],"/",Table13[[#This Row],[Year Col]]))</f>
        <v/>
      </c>
      <c r="O517" s="4" t="s">
        <v>1098</v>
      </c>
      <c r="P517" s="4">
        <f>IF(ISNUMBER(Table13[[#This Row],[Claim_Date2]]),Table13[[#This Row],[Claim_Date2]],Table13[[#This Row],[Function Col32]])</f>
        <v>45286</v>
      </c>
      <c r="Q517" s="4">
        <v>45286</v>
      </c>
      <c r="R517" s="1" t="s">
        <v>30</v>
      </c>
      <c r="S517" s="1" t="s">
        <v>93</v>
      </c>
      <c r="T517" s="1" t="s">
        <v>61</v>
      </c>
      <c r="U517" s="1"/>
      <c r="W517">
        <f>IF(Table1[[#This Row],[Claim_Amount]]&lt;0,0,Table1[[#This Row],[Claim_Amount]])</f>
        <v>0</v>
      </c>
      <c r="X517" t="str">
        <f>IF(Table1[[#This Row],[Column1]]=0,"",Table1[[#This Row],[Column1]])</f>
        <v/>
      </c>
      <c r="Y517" t="s">
        <v>1098</v>
      </c>
      <c r="Z517">
        <v>2481</v>
      </c>
      <c r="AA517">
        <v>832</v>
      </c>
      <c r="AB517" s="1" t="s">
        <v>25</v>
      </c>
      <c r="AC517" s="1" t="s">
        <v>1093</v>
      </c>
      <c r="AD517">
        <v>9</v>
      </c>
      <c r="AE517" s="3" t="s">
        <v>1097</v>
      </c>
    </row>
    <row r="518" spans="1:31" ht="15.75" customHeight="1" x14ac:dyDescent="0.35">
      <c r="A518" s="1" t="s">
        <v>117</v>
      </c>
      <c r="B518" t="s">
        <v>1083</v>
      </c>
      <c r="C518" s="1" t="s">
        <v>221</v>
      </c>
      <c r="D518" s="1" t="s">
        <v>739</v>
      </c>
      <c r="E518" s="5">
        <v>45033</v>
      </c>
      <c r="F518" s="4" t="str">
        <f>IF(ISNUMBER(Table13[[#This Row],[Claim_Date2]]),"",Table13[[#This Row],[Claim_Date2]])</f>
        <v/>
      </c>
      <c r="G518" s="4" t="s">
        <v>1098</v>
      </c>
      <c r="H518" s="4" t="str">
        <f>LEFT(Table13[[#This Row],[Values Col 1]],3)</f>
        <v/>
      </c>
      <c r="I518" s="4" t="s">
        <v>1098</v>
      </c>
      <c r="J518" s="4" t="str">
        <f>MID(Table13[[#This Row],[Function Col]],5,2)</f>
        <v/>
      </c>
      <c r="K518" s="4" t="s">
        <v>1098</v>
      </c>
      <c r="L518" s="4" t="str">
        <f>RIGHT(Table13[[#This Row],[Function Col]],4)</f>
        <v/>
      </c>
      <c r="M518" s="4" t="s">
        <v>1098</v>
      </c>
      <c r="N518" s="4" t="str">
        <f>IF(Table13[[#This Row],[Function Col5]]="","",_xlfn.CONCAT(Table13[[#This Row],[Day Col]],"/",Table13[[#This Row],[Month Col]],"/",Table13[[#This Row],[Year Col]]))</f>
        <v/>
      </c>
      <c r="O518" s="4" t="s">
        <v>1098</v>
      </c>
      <c r="P518" s="4">
        <f>IF(ISNUMBER(Table13[[#This Row],[Claim_Date2]]),Table13[[#This Row],[Claim_Date2]],Table13[[#This Row],[Function Col32]])</f>
        <v>45033</v>
      </c>
      <c r="Q518" s="4">
        <v>45033</v>
      </c>
      <c r="R518" s="1" t="s">
        <v>85</v>
      </c>
      <c r="S518" s="1" t="s">
        <v>47</v>
      </c>
      <c r="T518" t="s">
        <v>1086</v>
      </c>
      <c r="V518" s="1">
        <v>-152</v>
      </c>
      <c r="W518" s="1">
        <f>IF(Table1[[#This Row],[Claim_Amount]]&lt;0,0,Table1[[#This Row],[Claim_Amount]])</f>
        <v>0</v>
      </c>
      <c r="X518" s="1" t="str">
        <f>IF(Table1[[#This Row],[Column1]]=0,"",Table1[[#This Row],[Column1]])</f>
        <v/>
      </c>
      <c r="Y518" s="1" t="s">
        <v>1098</v>
      </c>
      <c r="Z518" s="1">
        <v>2481</v>
      </c>
      <c r="AA518" s="1">
        <v>4012.54</v>
      </c>
      <c r="AB518" s="1" t="s">
        <v>25</v>
      </c>
      <c r="AC518" s="1" t="s">
        <v>18</v>
      </c>
      <c r="AD518" s="1">
        <v>36</v>
      </c>
      <c r="AE518" s="3" t="s">
        <v>65</v>
      </c>
    </row>
    <row r="519" spans="1:31" ht="15.75" customHeight="1" x14ac:dyDescent="0.35">
      <c r="A519" s="1" t="s">
        <v>96</v>
      </c>
      <c r="B519" t="s">
        <v>1083</v>
      </c>
      <c r="C519" s="1" t="s">
        <v>63</v>
      </c>
      <c r="D519" s="1" t="s">
        <v>740</v>
      </c>
      <c r="E519" s="5">
        <v>44990</v>
      </c>
      <c r="F519" s="4" t="str">
        <f>IF(ISNUMBER(Table13[[#This Row],[Claim_Date2]]),"",Table13[[#This Row],[Claim_Date2]])</f>
        <v/>
      </c>
      <c r="G519" s="4" t="s">
        <v>1098</v>
      </c>
      <c r="H519" s="4" t="str">
        <f>LEFT(Table13[[#This Row],[Values Col 1]],3)</f>
        <v/>
      </c>
      <c r="I519" s="4" t="s">
        <v>1098</v>
      </c>
      <c r="J519" s="4" t="str">
        <f>MID(Table13[[#This Row],[Function Col]],5,2)</f>
        <v/>
      </c>
      <c r="K519" s="4" t="s">
        <v>1098</v>
      </c>
      <c r="L519" s="4" t="str">
        <f>RIGHT(Table13[[#This Row],[Function Col]],4)</f>
        <v/>
      </c>
      <c r="M519" s="4" t="s">
        <v>1098</v>
      </c>
      <c r="N519" s="4" t="str">
        <f>IF(Table13[[#This Row],[Function Col5]]="","",_xlfn.CONCAT(Table13[[#This Row],[Day Col]],"/",Table13[[#This Row],[Month Col]],"/",Table13[[#This Row],[Year Col]]))</f>
        <v/>
      </c>
      <c r="O519" s="4" t="s">
        <v>1098</v>
      </c>
      <c r="P519" s="4">
        <f>IF(ISNUMBER(Table13[[#This Row],[Claim_Date2]]),Table13[[#This Row],[Claim_Date2]],Table13[[#This Row],[Function Col32]])</f>
        <v>44990</v>
      </c>
      <c r="Q519" s="4">
        <v>44990</v>
      </c>
      <c r="R519" s="1" t="s">
        <v>92</v>
      </c>
      <c r="S519" s="1" t="s">
        <v>47</v>
      </c>
      <c r="T519" s="1" t="s">
        <v>24</v>
      </c>
      <c r="U519" s="1"/>
      <c r="V519" s="1">
        <v>2144.1</v>
      </c>
      <c r="W519" s="1">
        <f>IF(Table1[[#This Row],[Claim_Amount]]&lt;0,0,Table1[[#This Row],[Claim_Amount]])</f>
        <v>2144.1</v>
      </c>
      <c r="X519" s="1">
        <f>IF(Table1[[#This Row],[Column1]]=0,"",Table1[[#This Row],[Column1]])</f>
        <v>2144.1</v>
      </c>
      <c r="Y519" s="1">
        <v>2144.1</v>
      </c>
      <c r="Z519" s="1">
        <v>2144.1</v>
      </c>
      <c r="AA519" s="1">
        <v>1279.27</v>
      </c>
      <c r="AB519" s="1" t="s">
        <v>1091</v>
      </c>
      <c r="AC519" s="1" t="s">
        <v>32</v>
      </c>
      <c r="AD519">
        <v>9</v>
      </c>
      <c r="AE519" s="3" t="s">
        <v>37</v>
      </c>
    </row>
    <row r="520" spans="1:31" ht="15.75" customHeight="1" x14ac:dyDescent="0.35">
      <c r="A520" s="1" t="s">
        <v>277</v>
      </c>
      <c r="B520" t="s">
        <v>1083</v>
      </c>
      <c r="C520" t="s">
        <v>1084</v>
      </c>
      <c r="D520" s="1" t="s">
        <v>113</v>
      </c>
      <c r="E520" s="5" t="s">
        <v>113</v>
      </c>
      <c r="F520" s="4" t="str">
        <f>IF(ISNUMBER(Table13[[#This Row],[Claim_Date2]]),"",Table13[[#This Row],[Claim_Date2]])</f>
        <v>Nov 07 2023</v>
      </c>
      <c r="G520" s="4" t="s">
        <v>113</v>
      </c>
      <c r="H520" s="4" t="str">
        <f>LEFT(Table13[[#This Row],[Values Col 1]],3)</f>
        <v>Nov</v>
      </c>
      <c r="I520" s="4" t="s">
        <v>1105</v>
      </c>
      <c r="J520" s="4" t="str">
        <f>MID(Table13[[#This Row],[Function Col]],5,2)</f>
        <v>07</v>
      </c>
      <c r="K520" s="4" t="s">
        <v>1120</v>
      </c>
      <c r="L520" s="4" t="str">
        <f>RIGHT(Table13[[#This Row],[Function Col]],4)</f>
        <v>2023</v>
      </c>
      <c r="M520" s="4" t="s">
        <v>1146</v>
      </c>
      <c r="N520" s="4" t="str">
        <f>IF(Table13[[#This Row],[Function Col5]]="","",_xlfn.CONCAT(Table13[[#This Row],[Day Col]],"/",Table13[[#This Row],[Month Col]],"/",Table13[[#This Row],[Year Col]]))</f>
        <v>07/Nov/2023</v>
      </c>
      <c r="O520" s="4" t="s">
        <v>1159</v>
      </c>
      <c r="P520" s="4" t="str">
        <f>IF(ISNUMBER(Table13[[#This Row],[Claim_Date2]]),Table13[[#This Row],[Claim_Date2]],Table13[[#This Row],[Function Col32]])</f>
        <v>07/Nov/2023</v>
      </c>
      <c r="Q520" s="4">
        <v>45237</v>
      </c>
      <c r="R520" s="1" t="s">
        <v>30</v>
      </c>
      <c r="S520" s="1" t="s">
        <v>93</v>
      </c>
      <c r="T520" t="s">
        <v>1086</v>
      </c>
      <c r="W520">
        <f>IF(Table1[[#This Row],[Claim_Amount]]&lt;0,0,Table1[[#This Row],[Claim_Amount]])</f>
        <v>0</v>
      </c>
      <c r="X520" t="str">
        <f>IF(Table1[[#This Row],[Column1]]=0,"",Table1[[#This Row],[Column1]])</f>
        <v/>
      </c>
      <c r="Y520" t="s">
        <v>1098</v>
      </c>
      <c r="Z520">
        <v>2481</v>
      </c>
      <c r="AA520" s="1">
        <v>231.83</v>
      </c>
      <c r="AB520" s="1" t="s">
        <v>42</v>
      </c>
      <c r="AC520" s="1" t="s">
        <v>18</v>
      </c>
      <c r="AD520">
        <v>9</v>
      </c>
      <c r="AE520" s="3" t="s">
        <v>1097</v>
      </c>
    </row>
    <row r="521" spans="1:31" ht="15.75" customHeight="1" x14ac:dyDescent="0.35">
      <c r="A521" s="1" t="s">
        <v>187</v>
      </c>
      <c r="B521" t="s">
        <v>1083</v>
      </c>
      <c r="C521" s="1" t="s">
        <v>97</v>
      </c>
      <c r="D521" s="1" t="s">
        <v>741</v>
      </c>
      <c r="E521" s="5" t="s">
        <v>741</v>
      </c>
      <c r="F521" s="4" t="str">
        <f>IF(ISNUMBER(Table13[[#This Row],[Claim_Date2]]),"",Table13[[#This Row],[Claim_Date2]])</f>
        <v>Feb 08 2023</v>
      </c>
      <c r="G521" s="4" t="s">
        <v>741</v>
      </c>
      <c r="H521" s="4" t="str">
        <f>LEFT(Table13[[#This Row],[Values Col 1]],3)</f>
        <v>Feb</v>
      </c>
      <c r="I521" s="4" t="s">
        <v>1109</v>
      </c>
      <c r="J521" s="4" t="str">
        <f>MID(Table13[[#This Row],[Function Col]],5,2)</f>
        <v>08</v>
      </c>
      <c r="K521" s="4" t="s">
        <v>1119</v>
      </c>
      <c r="L521" s="4" t="str">
        <f>RIGHT(Table13[[#This Row],[Function Col]],4)</f>
        <v>2023</v>
      </c>
      <c r="M521" s="4" t="s">
        <v>1146</v>
      </c>
      <c r="N521" s="4" t="str">
        <f>IF(Table13[[#This Row],[Function Col5]]="","",_xlfn.CONCAT(Table13[[#This Row],[Day Col]],"/",Table13[[#This Row],[Month Col]],"/",Table13[[#This Row],[Year Col]]))</f>
        <v>08/Feb/2023</v>
      </c>
      <c r="O521" s="4" t="s">
        <v>1287</v>
      </c>
      <c r="P521" s="4" t="str">
        <f>IF(ISNUMBER(Table13[[#This Row],[Claim_Date2]]),Table13[[#This Row],[Claim_Date2]],Table13[[#This Row],[Function Col32]])</f>
        <v>08/Feb/2023</v>
      </c>
      <c r="Q521" s="4">
        <v>44965</v>
      </c>
      <c r="R521" s="1" t="s">
        <v>92</v>
      </c>
      <c r="S521" s="1" t="s">
        <v>31</v>
      </c>
      <c r="T521" s="1" t="s">
        <v>48</v>
      </c>
      <c r="U521" s="1"/>
      <c r="V521" s="1">
        <v>-51</v>
      </c>
      <c r="W521" s="1">
        <f>IF(Table1[[#This Row],[Claim_Amount]]&lt;0,0,Table1[[#This Row],[Claim_Amount]])</f>
        <v>0</v>
      </c>
      <c r="X521" s="1" t="str">
        <f>IF(Table1[[#This Row],[Column1]]=0,"",Table1[[#This Row],[Column1]])</f>
        <v/>
      </c>
      <c r="Y521" s="1" t="s">
        <v>1098</v>
      </c>
      <c r="Z521" s="1">
        <v>2481</v>
      </c>
      <c r="AA521">
        <v>832</v>
      </c>
      <c r="AB521" s="1" t="s">
        <v>25</v>
      </c>
      <c r="AC521" s="1" t="s">
        <v>18</v>
      </c>
      <c r="AD521" s="1">
        <v>34</v>
      </c>
      <c r="AE521" s="3" t="s">
        <v>19</v>
      </c>
    </row>
    <row r="522" spans="1:31" ht="15.75" customHeight="1" x14ac:dyDescent="0.35">
      <c r="A522" s="1" t="s">
        <v>13</v>
      </c>
      <c r="B522" t="s">
        <v>1083</v>
      </c>
      <c r="C522" s="1" t="s">
        <v>308</v>
      </c>
      <c r="D522" s="1" t="s">
        <v>655</v>
      </c>
      <c r="E522" s="5" t="s">
        <v>655</v>
      </c>
      <c r="F522" s="4" t="str">
        <f>IF(ISNUMBER(Table13[[#This Row],[Claim_Date2]]),"",Table13[[#This Row],[Claim_Date2]])</f>
        <v>Oct 16 2023</v>
      </c>
      <c r="G522" s="4" t="s">
        <v>655</v>
      </c>
      <c r="H522" s="4" t="str">
        <f>LEFT(Table13[[#This Row],[Values Col 1]],3)</f>
        <v>Oct</v>
      </c>
      <c r="I522" s="4" t="s">
        <v>1103</v>
      </c>
      <c r="J522" s="4" t="str">
        <f>MID(Table13[[#This Row],[Function Col]],5,2)</f>
        <v>16</v>
      </c>
      <c r="K522" s="4" t="s">
        <v>1125</v>
      </c>
      <c r="L522" s="4" t="str">
        <f>RIGHT(Table13[[#This Row],[Function Col]],4)</f>
        <v>2023</v>
      </c>
      <c r="M522" s="4" t="s">
        <v>1146</v>
      </c>
      <c r="N522" s="4" t="str">
        <f>IF(Table13[[#This Row],[Function Col5]]="","",_xlfn.CONCAT(Table13[[#This Row],[Day Col]],"/",Table13[[#This Row],[Month Col]],"/",Table13[[#This Row],[Year Col]]))</f>
        <v>16/Oct/2023</v>
      </c>
      <c r="O522" s="4" t="s">
        <v>1264</v>
      </c>
      <c r="P522" s="4" t="str">
        <f>IF(ISNUMBER(Table13[[#This Row],[Claim_Date2]]),Table13[[#This Row],[Claim_Date2]],Table13[[#This Row],[Function Col32]])</f>
        <v>16/Oct/2023</v>
      </c>
      <c r="Q522" s="4">
        <v>45215</v>
      </c>
      <c r="R522" s="1" t="s">
        <v>16</v>
      </c>
      <c r="S522" s="1" t="s">
        <v>47</v>
      </c>
      <c r="T522" s="1" t="s">
        <v>54</v>
      </c>
      <c r="U522" s="1"/>
      <c r="W522">
        <f>IF(Table1[[#This Row],[Claim_Amount]]&lt;0,0,Table1[[#This Row],[Claim_Amount]])</f>
        <v>0</v>
      </c>
      <c r="X522" t="str">
        <f>IF(Table1[[#This Row],[Column1]]=0,"",Table1[[#This Row],[Column1]])</f>
        <v/>
      </c>
      <c r="Y522" t="s">
        <v>1098</v>
      </c>
      <c r="Z522">
        <v>2481</v>
      </c>
      <c r="AA522">
        <v>832</v>
      </c>
      <c r="AB522" s="1" t="s">
        <v>25</v>
      </c>
      <c r="AC522" s="1" t="s">
        <v>26</v>
      </c>
      <c r="AD522" s="1">
        <v>38</v>
      </c>
      <c r="AE522" s="3" t="s">
        <v>19</v>
      </c>
    </row>
    <row r="523" spans="1:31" ht="15.75" customHeight="1" x14ac:dyDescent="0.35">
      <c r="A523" s="1" t="s">
        <v>38</v>
      </c>
      <c r="B523" t="s">
        <v>1083</v>
      </c>
      <c r="C523" t="s">
        <v>1084</v>
      </c>
      <c r="D523" s="1" t="s">
        <v>742</v>
      </c>
      <c r="E523" s="5">
        <v>44960</v>
      </c>
      <c r="F523" s="4" t="str">
        <f>IF(ISNUMBER(Table13[[#This Row],[Claim_Date2]]),"",Table13[[#This Row],[Claim_Date2]])</f>
        <v/>
      </c>
      <c r="G523" s="4" t="s">
        <v>1098</v>
      </c>
      <c r="H523" s="4" t="str">
        <f>LEFT(Table13[[#This Row],[Values Col 1]],3)</f>
        <v/>
      </c>
      <c r="I523" s="4" t="s">
        <v>1098</v>
      </c>
      <c r="J523" s="4" t="str">
        <f>MID(Table13[[#This Row],[Function Col]],5,2)</f>
        <v/>
      </c>
      <c r="K523" s="4" t="s">
        <v>1098</v>
      </c>
      <c r="L523" s="4" t="str">
        <f>RIGHT(Table13[[#This Row],[Function Col]],4)</f>
        <v/>
      </c>
      <c r="M523" s="4" t="s">
        <v>1098</v>
      </c>
      <c r="N523" s="4" t="str">
        <f>IF(Table13[[#This Row],[Function Col5]]="","",_xlfn.CONCAT(Table13[[#This Row],[Day Col]],"/",Table13[[#This Row],[Month Col]],"/",Table13[[#This Row],[Year Col]]))</f>
        <v/>
      </c>
      <c r="O523" s="4" t="s">
        <v>1098</v>
      </c>
      <c r="P523" s="4">
        <f>IF(ISNUMBER(Table13[[#This Row],[Claim_Date2]]),Table13[[#This Row],[Claim_Date2]],Table13[[#This Row],[Function Col32]])</f>
        <v>44960</v>
      </c>
      <c r="Q523" s="4">
        <v>44960</v>
      </c>
      <c r="R523" s="1" t="s">
        <v>92</v>
      </c>
      <c r="S523" s="1" t="s">
        <v>31</v>
      </c>
      <c r="T523" s="1" t="s">
        <v>41</v>
      </c>
      <c r="U523" s="1"/>
      <c r="W523">
        <f>IF(Table1[[#This Row],[Claim_Amount]]&lt;0,0,Table1[[#This Row],[Claim_Amount]])</f>
        <v>0</v>
      </c>
      <c r="X523" t="str">
        <f>IF(Table1[[#This Row],[Column1]]=0,"",Table1[[#This Row],[Column1]])</f>
        <v/>
      </c>
      <c r="Y523" t="s">
        <v>1098</v>
      </c>
      <c r="Z523">
        <v>2481</v>
      </c>
      <c r="AA523">
        <v>832</v>
      </c>
      <c r="AB523" s="1" t="s">
        <v>17</v>
      </c>
      <c r="AC523" s="1" t="s">
        <v>1093</v>
      </c>
      <c r="AD523" s="1">
        <v>60</v>
      </c>
      <c r="AE523" s="3" t="s">
        <v>19</v>
      </c>
    </row>
    <row r="524" spans="1:31" ht="15.75" customHeight="1" x14ac:dyDescent="0.35">
      <c r="A524" s="1" t="s">
        <v>102</v>
      </c>
      <c r="B524" t="s">
        <v>1083</v>
      </c>
      <c r="C524" t="s">
        <v>1084</v>
      </c>
      <c r="D524" s="1" t="s">
        <v>743</v>
      </c>
      <c r="E524" s="5" t="s">
        <v>743</v>
      </c>
      <c r="F524" s="4" t="str">
        <f>IF(ISNUMBER(Table13[[#This Row],[Claim_Date2]]),"",Table13[[#This Row],[Claim_Date2]])</f>
        <v>Jun 28 2023</v>
      </c>
      <c r="G524" s="4" t="s">
        <v>743</v>
      </c>
      <c r="H524" s="4" t="str">
        <f>LEFT(Table13[[#This Row],[Values Col 1]],3)</f>
        <v>Jun</v>
      </c>
      <c r="I524" s="4" t="s">
        <v>1108</v>
      </c>
      <c r="J524" s="4" t="str">
        <f>MID(Table13[[#This Row],[Function Col]],5,2)</f>
        <v>28</v>
      </c>
      <c r="K524" s="4" t="s">
        <v>1134</v>
      </c>
      <c r="L524" s="4" t="str">
        <f>RIGHT(Table13[[#This Row],[Function Col]],4)</f>
        <v>2023</v>
      </c>
      <c r="M524" s="4" t="s">
        <v>1146</v>
      </c>
      <c r="N524" s="4" t="str">
        <f>IF(Table13[[#This Row],[Function Col5]]="","",_xlfn.CONCAT(Table13[[#This Row],[Day Col]],"/",Table13[[#This Row],[Month Col]],"/",Table13[[#This Row],[Year Col]]))</f>
        <v>28/Jun/2023</v>
      </c>
      <c r="O524" s="4" t="s">
        <v>1288</v>
      </c>
      <c r="P524" s="4" t="str">
        <f>IF(ISNUMBER(Table13[[#This Row],[Claim_Date2]]),Table13[[#This Row],[Claim_Date2]],Table13[[#This Row],[Function Col32]])</f>
        <v>28/Jun/2023</v>
      </c>
      <c r="Q524" s="4">
        <v>45105</v>
      </c>
      <c r="R524" s="1" t="s">
        <v>30</v>
      </c>
      <c r="S524" s="1" t="s">
        <v>31</v>
      </c>
      <c r="T524" s="1" t="s">
        <v>54</v>
      </c>
      <c r="U524" s="1"/>
      <c r="V524" s="1">
        <v>1391.72</v>
      </c>
      <c r="W524" s="1">
        <f>IF(Table1[[#This Row],[Claim_Amount]]&lt;0,0,Table1[[#This Row],[Claim_Amount]])</f>
        <v>1391.72</v>
      </c>
      <c r="X524" s="1">
        <f>IF(Table1[[#This Row],[Column1]]=0,"",Table1[[#This Row],[Column1]])</f>
        <v>1391.72</v>
      </c>
      <c r="Y524" s="1">
        <v>1391.72</v>
      </c>
      <c r="Z524" s="1">
        <v>1391.72</v>
      </c>
      <c r="AA524">
        <v>832</v>
      </c>
      <c r="AB524" s="1" t="s">
        <v>17</v>
      </c>
      <c r="AC524" s="1" t="s">
        <v>32</v>
      </c>
      <c r="AD524">
        <v>9</v>
      </c>
      <c r="AE524" s="3" t="s">
        <v>1097</v>
      </c>
    </row>
    <row r="525" spans="1:31" ht="15.75" customHeight="1" x14ac:dyDescent="0.35">
      <c r="A525" s="1" t="s">
        <v>20</v>
      </c>
      <c r="B525" t="s">
        <v>1083</v>
      </c>
      <c r="C525" s="1" t="s">
        <v>642</v>
      </c>
      <c r="D525" s="1" t="s">
        <v>643</v>
      </c>
      <c r="E525" s="5" t="s">
        <v>643</v>
      </c>
      <c r="F525" s="4" t="str">
        <f>IF(ISNUMBER(Table13[[#This Row],[Claim_Date2]]),"",Table13[[#This Row],[Claim_Date2]])</f>
        <v>Dec 18 2023</v>
      </c>
      <c r="G525" s="4" t="s">
        <v>643</v>
      </c>
      <c r="H525" s="4" t="str">
        <f>LEFT(Table13[[#This Row],[Values Col 1]],3)</f>
        <v>Dec</v>
      </c>
      <c r="I525" s="4" t="s">
        <v>1111</v>
      </c>
      <c r="J525" s="4" t="str">
        <f>MID(Table13[[#This Row],[Function Col]],5,2)</f>
        <v>18</v>
      </c>
      <c r="K525" s="4" t="s">
        <v>1129</v>
      </c>
      <c r="L525" s="4" t="str">
        <f>RIGHT(Table13[[#This Row],[Function Col]],4)</f>
        <v>2023</v>
      </c>
      <c r="M525" s="4" t="s">
        <v>1146</v>
      </c>
      <c r="N525" s="4" t="str">
        <f>IF(Table13[[#This Row],[Function Col5]]="","",_xlfn.CONCAT(Table13[[#This Row],[Day Col]],"/",Table13[[#This Row],[Month Col]],"/",Table13[[#This Row],[Year Col]]))</f>
        <v>18/Dec/2023</v>
      </c>
      <c r="O525" s="4" t="s">
        <v>1262</v>
      </c>
      <c r="P525" s="4" t="str">
        <f>IF(ISNUMBER(Table13[[#This Row],[Claim_Date2]]),Table13[[#This Row],[Claim_Date2]],Table13[[#This Row],[Function Col32]])</f>
        <v>18/Dec/2023</v>
      </c>
      <c r="Q525" s="4">
        <v>45278</v>
      </c>
      <c r="R525" s="1" t="s">
        <v>16</v>
      </c>
      <c r="S525" s="1" t="s">
        <v>93</v>
      </c>
      <c r="T525" t="s">
        <v>1086</v>
      </c>
      <c r="W525">
        <f>IF(Table1[[#This Row],[Claim_Amount]]&lt;0,0,Table1[[#This Row],[Claim_Amount]])</f>
        <v>0</v>
      </c>
      <c r="X525" t="str">
        <f>IF(Table1[[#This Row],[Column1]]=0,"",Table1[[#This Row],[Column1]])</f>
        <v/>
      </c>
      <c r="Y525" t="s">
        <v>1098</v>
      </c>
      <c r="Z525">
        <v>2481</v>
      </c>
      <c r="AA525">
        <v>832</v>
      </c>
      <c r="AB525" s="1" t="s">
        <v>42</v>
      </c>
      <c r="AC525" s="1" t="s">
        <v>18</v>
      </c>
      <c r="AD525">
        <v>9</v>
      </c>
      <c r="AE525" s="3" t="s">
        <v>37</v>
      </c>
    </row>
    <row r="526" spans="1:31" ht="15.75" customHeight="1" x14ac:dyDescent="0.35">
      <c r="A526" s="1" t="s">
        <v>137</v>
      </c>
      <c r="B526" s="1" t="s">
        <v>44</v>
      </c>
      <c r="C526" t="s">
        <v>1084</v>
      </c>
      <c r="D526" s="1" t="s">
        <v>744</v>
      </c>
      <c r="E526" s="5">
        <v>45184</v>
      </c>
      <c r="F526" s="4" t="str">
        <f>IF(ISNUMBER(Table13[[#This Row],[Claim_Date2]]),"",Table13[[#This Row],[Claim_Date2]])</f>
        <v/>
      </c>
      <c r="G526" s="4" t="s">
        <v>1098</v>
      </c>
      <c r="H526" s="4" t="str">
        <f>LEFT(Table13[[#This Row],[Values Col 1]],3)</f>
        <v/>
      </c>
      <c r="I526" s="4" t="s">
        <v>1098</v>
      </c>
      <c r="J526" s="4" t="str">
        <f>MID(Table13[[#This Row],[Function Col]],5,2)</f>
        <v/>
      </c>
      <c r="K526" s="4" t="s">
        <v>1098</v>
      </c>
      <c r="L526" s="4" t="str">
        <f>RIGHT(Table13[[#This Row],[Function Col]],4)</f>
        <v/>
      </c>
      <c r="M526" s="4" t="s">
        <v>1098</v>
      </c>
      <c r="N526" s="4" t="str">
        <f>IF(Table13[[#This Row],[Function Col5]]="","",_xlfn.CONCAT(Table13[[#This Row],[Day Col]],"/",Table13[[#This Row],[Month Col]],"/",Table13[[#This Row],[Year Col]]))</f>
        <v/>
      </c>
      <c r="O526" s="4" t="s">
        <v>1098</v>
      </c>
      <c r="P526" s="4">
        <f>IF(ISNUMBER(Table13[[#This Row],[Claim_Date2]]),Table13[[#This Row],[Claim_Date2]],Table13[[#This Row],[Function Col32]])</f>
        <v>45184</v>
      </c>
      <c r="Q526" s="4">
        <v>45184</v>
      </c>
      <c r="R526" s="1" t="s">
        <v>77</v>
      </c>
      <c r="S526" s="1" t="s">
        <v>47</v>
      </c>
      <c r="T526" t="s">
        <v>1086</v>
      </c>
      <c r="W526">
        <f>IF(Table1[[#This Row],[Claim_Amount]]&lt;0,0,Table1[[#This Row],[Claim_Amount]])</f>
        <v>0</v>
      </c>
      <c r="X526" t="str">
        <f>IF(Table1[[#This Row],[Column1]]=0,"",Table1[[#This Row],[Column1]])</f>
        <v/>
      </c>
      <c r="Y526" t="s">
        <v>1098</v>
      </c>
      <c r="Z526">
        <v>2481</v>
      </c>
      <c r="AA526" s="1">
        <v>3196.39</v>
      </c>
      <c r="AB526" s="1" t="s">
        <v>42</v>
      </c>
      <c r="AC526" s="1" t="s">
        <v>1093</v>
      </c>
      <c r="AD526">
        <v>9</v>
      </c>
      <c r="AE526" s="3" t="s">
        <v>19</v>
      </c>
    </row>
    <row r="527" spans="1:31" ht="15.75" customHeight="1" x14ac:dyDescent="0.35">
      <c r="A527" s="1" t="s">
        <v>13</v>
      </c>
      <c r="B527" s="1" t="s">
        <v>745</v>
      </c>
      <c r="C527" s="1" t="s">
        <v>183</v>
      </c>
      <c r="D527" s="1" t="s">
        <v>470</v>
      </c>
      <c r="E527" s="5">
        <v>44974</v>
      </c>
      <c r="F527" s="4" t="str">
        <f>IF(ISNUMBER(Table13[[#This Row],[Claim_Date2]]),"",Table13[[#This Row],[Claim_Date2]])</f>
        <v/>
      </c>
      <c r="G527" s="4" t="s">
        <v>1098</v>
      </c>
      <c r="H527" s="4" t="str">
        <f>LEFT(Table13[[#This Row],[Values Col 1]],3)</f>
        <v/>
      </c>
      <c r="I527" s="4" t="s">
        <v>1098</v>
      </c>
      <c r="J527" s="4" t="str">
        <f>MID(Table13[[#This Row],[Function Col]],5,2)</f>
        <v/>
      </c>
      <c r="K527" s="4" t="s">
        <v>1098</v>
      </c>
      <c r="L527" s="4" t="str">
        <f>RIGHT(Table13[[#This Row],[Function Col]],4)</f>
        <v/>
      </c>
      <c r="M527" s="4" t="s">
        <v>1098</v>
      </c>
      <c r="N527" s="4" t="str">
        <f>IF(Table13[[#This Row],[Function Col5]]="","",_xlfn.CONCAT(Table13[[#This Row],[Day Col]],"/",Table13[[#This Row],[Month Col]],"/",Table13[[#This Row],[Year Col]]))</f>
        <v/>
      </c>
      <c r="O527" s="4" t="s">
        <v>1098</v>
      </c>
      <c r="P527" s="4">
        <f>IF(ISNUMBER(Table13[[#This Row],[Claim_Date2]]),Table13[[#This Row],[Claim_Date2]],Table13[[#This Row],[Function Col32]])</f>
        <v>44974</v>
      </c>
      <c r="Q527" s="4">
        <v>44974</v>
      </c>
      <c r="R527" s="1" t="s">
        <v>16</v>
      </c>
      <c r="S527" t="s">
        <v>1085</v>
      </c>
      <c r="T527" s="1" t="s">
        <v>41</v>
      </c>
      <c r="U527" s="1"/>
      <c r="V527" s="1">
        <v>2793.09</v>
      </c>
      <c r="W527" s="1">
        <f>IF(Table1[[#This Row],[Claim_Amount]]&lt;0,0,Table1[[#This Row],[Claim_Amount]])</f>
        <v>2793.09</v>
      </c>
      <c r="X527" s="1">
        <f>IF(Table1[[#This Row],[Column1]]=0,"",Table1[[#This Row],[Column1]])</f>
        <v>2793.09</v>
      </c>
      <c r="Y527" s="1">
        <v>2793.09</v>
      </c>
      <c r="Z527" s="1">
        <v>2793.09</v>
      </c>
      <c r="AA527">
        <v>832</v>
      </c>
      <c r="AB527" s="1" t="s">
        <v>1091</v>
      </c>
      <c r="AC527" s="1" t="s">
        <v>18</v>
      </c>
      <c r="AD527">
        <v>9</v>
      </c>
      <c r="AE527" s="3" t="s">
        <v>1097</v>
      </c>
    </row>
    <row r="528" spans="1:31" ht="15.75" customHeight="1" x14ac:dyDescent="0.35">
      <c r="A528" s="1" t="s">
        <v>275</v>
      </c>
      <c r="B528" t="s">
        <v>1083</v>
      </c>
      <c r="C528" s="1" t="s">
        <v>592</v>
      </c>
      <c r="D528" s="1" t="s">
        <v>706</v>
      </c>
      <c r="E528" s="5">
        <v>45134</v>
      </c>
      <c r="F528" s="4" t="str">
        <f>IF(ISNUMBER(Table13[[#This Row],[Claim_Date2]]),"",Table13[[#This Row],[Claim_Date2]])</f>
        <v/>
      </c>
      <c r="G528" s="4" t="s">
        <v>1098</v>
      </c>
      <c r="H528" s="4" t="str">
        <f>LEFT(Table13[[#This Row],[Values Col 1]],3)</f>
        <v/>
      </c>
      <c r="I528" s="4" t="s">
        <v>1098</v>
      </c>
      <c r="J528" s="4" t="str">
        <f>MID(Table13[[#This Row],[Function Col]],5,2)</f>
        <v/>
      </c>
      <c r="K528" s="4" t="s">
        <v>1098</v>
      </c>
      <c r="L528" s="4" t="str">
        <f>RIGHT(Table13[[#This Row],[Function Col]],4)</f>
        <v/>
      </c>
      <c r="M528" s="4" t="s">
        <v>1098</v>
      </c>
      <c r="N528" s="4" t="str">
        <f>IF(Table13[[#This Row],[Function Col5]]="","",_xlfn.CONCAT(Table13[[#This Row],[Day Col]],"/",Table13[[#This Row],[Month Col]],"/",Table13[[#This Row],[Year Col]]))</f>
        <v/>
      </c>
      <c r="O528" s="4" t="s">
        <v>1098</v>
      </c>
      <c r="P528" s="4">
        <f>IF(ISNUMBER(Table13[[#This Row],[Claim_Date2]]),Table13[[#This Row],[Claim_Date2]],Table13[[#This Row],[Function Col32]])</f>
        <v>45134</v>
      </c>
      <c r="Q528" s="4">
        <v>45134</v>
      </c>
      <c r="R528" s="1" t="s">
        <v>85</v>
      </c>
      <c r="S528" t="s">
        <v>1085</v>
      </c>
      <c r="T528" s="1" t="s">
        <v>61</v>
      </c>
      <c r="U528" s="1"/>
      <c r="W528">
        <f>IF(Table1[[#This Row],[Claim_Amount]]&lt;0,0,Table1[[#This Row],[Claim_Amount]])</f>
        <v>0</v>
      </c>
      <c r="X528" t="str">
        <f>IF(Table1[[#This Row],[Column1]]=0,"",Table1[[#This Row],[Column1]])</f>
        <v/>
      </c>
      <c r="Y528" t="s">
        <v>1098</v>
      </c>
      <c r="Z528">
        <v>2481</v>
      </c>
      <c r="AA528">
        <v>832</v>
      </c>
      <c r="AB528" s="1" t="s">
        <v>1091</v>
      </c>
      <c r="AC528" s="1" t="s">
        <v>57</v>
      </c>
      <c r="AD528">
        <v>9</v>
      </c>
      <c r="AE528" s="3" t="s">
        <v>37</v>
      </c>
    </row>
    <row r="529" spans="1:31" ht="15.75" customHeight="1" x14ac:dyDescent="0.35">
      <c r="A529" s="1" t="s">
        <v>132</v>
      </c>
      <c r="B529" t="s">
        <v>1083</v>
      </c>
      <c r="C529" s="1" t="s">
        <v>581</v>
      </c>
      <c r="D529" s="1" t="s">
        <v>746</v>
      </c>
      <c r="E529" s="5" t="s">
        <v>746</v>
      </c>
      <c r="F529" s="4" t="str">
        <f>IF(ISNUMBER(Table13[[#This Row],[Claim_Date2]]),"",Table13[[#This Row],[Claim_Date2]])</f>
        <v>Mar 10 2023</v>
      </c>
      <c r="G529" s="4" t="s">
        <v>746</v>
      </c>
      <c r="H529" s="4" t="str">
        <f>LEFT(Table13[[#This Row],[Values Col 1]],3)</f>
        <v>Mar</v>
      </c>
      <c r="I529" s="4" t="s">
        <v>1100</v>
      </c>
      <c r="J529" s="4" t="str">
        <f>MID(Table13[[#This Row],[Function Col]],5,2)</f>
        <v>10</v>
      </c>
      <c r="K529" s="4" t="s">
        <v>1128</v>
      </c>
      <c r="L529" s="4" t="str">
        <f>RIGHT(Table13[[#This Row],[Function Col]],4)</f>
        <v>2023</v>
      </c>
      <c r="M529" s="4" t="s">
        <v>1146</v>
      </c>
      <c r="N529" s="4" t="str">
        <f>IF(Table13[[#This Row],[Function Col5]]="","",_xlfn.CONCAT(Table13[[#This Row],[Day Col]],"/",Table13[[#This Row],[Month Col]],"/",Table13[[#This Row],[Year Col]]))</f>
        <v>10/Mar/2023</v>
      </c>
      <c r="O529" s="4" t="s">
        <v>1289</v>
      </c>
      <c r="P529" s="4" t="str">
        <f>IF(ISNUMBER(Table13[[#This Row],[Claim_Date2]]),Table13[[#This Row],[Claim_Date2]],Table13[[#This Row],[Function Col32]])</f>
        <v>10/Mar/2023</v>
      </c>
      <c r="Q529" s="4">
        <v>44995</v>
      </c>
      <c r="R529" s="1" t="s">
        <v>92</v>
      </c>
      <c r="S529" s="1" t="s">
        <v>23</v>
      </c>
      <c r="T529" s="1" t="s">
        <v>48</v>
      </c>
      <c r="U529" s="1"/>
      <c r="W529">
        <f>IF(Table1[[#This Row],[Claim_Amount]]&lt;0,0,Table1[[#This Row],[Claim_Amount]])</f>
        <v>0</v>
      </c>
      <c r="X529" t="str">
        <f>IF(Table1[[#This Row],[Column1]]=0,"",Table1[[#This Row],[Column1]])</f>
        <v/>
      </c>
      <c r="Y529" t="s">
        <v>1098</v>
      </c>
      <c r="Z529">
        <v>2481</v>
      </c>
      <c r="AA529">
        <v>832</v>
      </c>
      <c r="AB529" s="1" t="s">
        <v>17</v>
      </c>
      <c r="AC529" s="1" t="s">
        <v>57</v>
      </c>
      <c r="AD529" s="1">
        <v>54</v>
      </c>
      <c r="AE529" s="3" t="s">
        <v>27</v>
      </c>
    </row>
    <row r="530" spans="1:31" ht="15.75" customHeight="1" x14ac:dyDescent="0.35">
      <c r="A530" s="1" t="s">
        <v>192</v>
      </c>
      <c r="B530" t="s">
        <v>1083</v>
      </c>
      <c r="C530" s="1" t="s">
        <v>45</v>
      </c>
      <c r="D530" s="1" t="s">
        <v>747</v>
      </c>
      <c r="E530" s="5">
        <v>45250</v>
      </c>
      <c r="F530" s="4" t="str">
        <f>IF(ISNUMBER(Table13[[#This Row],[Claim_Date2]]),"",Table13[[#This Row],[Claim_Date2]])</f>
        <v/>
      </c>
      <c r="G530" s="4" t="s">
        <v>1098</v>
      </c>
      <c r="H530" s="4" t="str">
        <f>LEFT(Table13[[#This Row],[Values Col 1]],3)</f>
        <v/>
      </c>
      <c r="I530" s="4" t="s">
        <v>1098</v>
      </c>
      <c r="J530" s="4" t="str">
        <f>MID(Table13[[#This Row],[Function Col]],5,2)</f>
        <v/>
      </c>
      <c r="K530" s="4" t="s">
        <v>1098</v>
      </c>
      <c r="L530" s="4" t="str">
        <f>RIGHT(Table13[[#This Row],[Function Col]],4)</f>
        <v/>
      </c>
      <c r="M530" s="4" t="s">
        <v>1098</v>
      </c>
      <c r="N530" s="4" t="str">
        <f>IF(Table13[[#This Row],[Function Col5]]="","",_xlfn.CONCAT(Table13[[#This Row],[Day Col]],"/",Table13[[#This Row],[Month Col]],"/",Table13[[#This Row],[Year Col]]))</f>
        <v/>
      </c>
      <c r="O530" s="4" t="s">
        <v>1098</v>
      </c>
      <c r="P530" s="4">
        <f>IF(ISNUMBER(Table13[[#This Row],[Claim_Date2]]),Table13[[#This Row],[Claim_Date2]],Table13[[#This Row],[Function Col32]])</f>
        <v>45250</v>
      </c>
      <c r="Q530" s="4">
        <v>45250</v>
      </c>
      <c r="R530" s="1" t="s">
        <v>85</v>
      </c>
      <c r="S530" s="1" t="s">
        <v>31</v>
      </c>
      <c r="T530" t="s">
        <v>1086</v>
      </c>
      <c r="V530" s="1">
        <v>-19</v>
      </c>
      <c r="W530" s="1">
        <f>IF(Table1[[#This Row],[Claim_Amount]]&lt;0,0,Table1[[#This Row],[Claim_Amount]])</f>
        <v>0</v>
      </c>
      <c r="X530" s="1" t="str">
        <f>IF(Table1[[#This Row],[Column1]]=0,"",Table1[[#This Row],[Column1]])</f>
        <v/>
      </c>
      <c r="Y530" s="1" t="s">
        <v>1098</v>
      </c>
      <c r="Z530" s="1">
        <v>2481</v>
      </c>
      <c r="AA530">
        <v>832</v>
      </c>
      <c r="AB530" s="1" t="s">
        <v>25</v>
      </c>
      <c r="AC530" s="1" t="s">
        <v>32</v>
      </c>
      <c r="AD530">
        <v>9</v>
      </c>
      <c r="AE530" s="3" t="s">
        <v>37</v>
      </c>
    </row>
    <row r="531" spans="1:31" ht="15.75" customHeight="1" x14ac:dyDescent="0.35">
      <c r="A531" s="1" t="s">
        <v>114</v>
      </c>
      <c r="B531" t="s">
        <v>1083</v>
      </c>
      <c r="C531" s="1" t="s">
        <v>479</v>
      </c>
      <c r="D531" s="1" t="s">
        <v>608</v>
      </c>
      <c r="E531" s="5">
        <v>45022</v>
      </c>
      <c r="F531" s="4" t="str">
        <f>IF(ISNUMBER(Table13[[#This Row],[Claim_Date2]]),"",Table13[[#This Row],[Claim_Date2]])</f>
        <v/>
      </c>
      <c r="G531" s="4" t="s">
        <v>1098</v>
      </c>
      <c r="H531" s="4" t="str">
        <f>LEFT(Table13[[#This Row],[Values Col 1]],3)</f>
        <v/>
      </c>
      <c r="I531" s="4" t="s">
        <v>1098</v>
      </c>
      <c r="J531" s="4" t="str">
        <f>MID(Table13[[#This Row],[Function Col]],5,2)</f>
        <v/>
      </c>
      <c r="K531" s="4" t="s">
        <v>1098</v>
      </c>
      <c r="L531" s="4" t="str">
        <f>RIGHT(Table13[[#This Row],[Function Col]],4)</f>
        <v/>
      </c>
      <c r="M531" s="4" t="s">
        <v>1098</v>
      </c>
      <c r="N531" s="4" t="str">
        <f>IF(Table13[[#This Row],[Function Col5]]="","",_xlfn.CONCAT(Table13[[#This Row],[Day Col]],"/",Table13[[#This Row],[Month Col]],"/",Table13[[#This Row],[Year Col]]))</f>
        <v/>
      </c>
      <c r="O531" s="4" t="s">
        <v>1098</v>
      </c>
      <c r="P531" s="4">
        <f>IF(ISNUMBER(Table13[[#This Row],[Claim_Date2]]),Table13[[#This Row],[Claim_Date2]],Table13[[#This Row],[Function Col32]])</f>
        <v>45022</v>
      </c>
      <c r="Q531" s="4">
        <v>45022</v>
      </c>
      <c r="R531" s="1" t="s">
        <v>16</v>
      </c>
      <c r="S531" s="1" t="s">
        <v>23</v>
      </c>
      <c r="T531" s="1" t="s">
        <v>48</v>
      </c>
      <c r="U531" s="1"/>
      <c r="W531">
        <f>IF(Table1[[#This Row],[Claim_Amount]]&lt;0,0,Table1[[#This Row],[Claim_Amount]])</f>
        <v>0</v>
      </c>
      <c r="X531" t="str">
        <f>IF(Table1[[#This Row],[Column1]]=0,"",Table1[[#This Row],[Column1]])</f>
        <v/>
      </c>
      <c r="Y531" t="s">
        <v>1098</v>
      </c>
      <c r="Z531">
        <v>2481</v>
      </c>
      <c r="AA531">
        <v>832</v>
      </c>
      <c r="AB531" s="1" t="s">
        <v>25</v>
      </c>
      <c r="AC531" s="1" t="s">
        <v>18</v>
      </c>
      <c r="AD531">
        <v>9</v>
      </c>
      <c r="AE531" s="3" t="s">
        <v>27</v>
      </c>
    </row>
    <row r="532" spans="1:31" ht="15.75" customHeight="1" x14ac:dyDescent="0.35">
      <c r="A532" s="1" t="s">
        <v>198</v>
      </c>
      <c r="B532" t="s">
        <v>1083</v>
      </c>
      <c r="C532" t="s">
        <v>1084</v>
      </c>
      <c r="D532" s="1" t="s">
        <v>384</v>
      </c>
      <c r="E532" s="5" t="s">
        <v>384</v>
      </c>
      <c r="F532" s="4" t="str">
        <f>IF(ISNUMBER(Table13[[#This Row],[Claim_Date2]]),"",Table13[[#This Row],[Claim_Date2]])</f>
        <v>Apr 04 2023</v>
      </c>
      <c r="G532" s="4" t="s">
        <v>384</v>
      </c>
      <c r="H532" s="4" t="str">
        <f>LEFT(Table13[[#This Row],[Values Col 1]],3)</f>
        <v>Apr</v>
      </c>
      <c r="I532" s="4" t="s">
        <v>1104</v>
      </c>
      <c r="J532" s="4" t="str">
        <f>MID(Table13[[#This Row],[Function Col]],5,2)</f>
        <v>04</v>
      </c>
      <c r="K532" s="4" t="s">
        <v>1142</v>
      </c>
      <c r="L532" s="4" t="str">
        <f>RIGHT(Table13[[#This Row],[Function Col]],4)</f>
        <v>2023</v>
      </c>
      <c r="M532" s="4" t="s">
        <v>1146</v>
      </c>
      <c r="N532" s="4" t="str">
        <f>IF(Table13[[#This Row],[Function Col5]]="","",_xlfn.CONCAT(Table13[[#This Row],[Day Col]],"/",Table13[[#This Row],[Month Col]],"/",Table13[[#This Row],[Year Col]]))</f>
        <v>04/Apr/2023</v>
      </c>
      <c r="O532" s="4" t="s">
        <v>1206</v>
      </c>
      <c r="P532" s="4" t="str">
        <f>IF(ISNUMBER(Table13[[#This Row],[Claim_Date2]]),Table13[[#This Row],[Claim_Date2]],Table13[[#This Row],[Function Col32]])</f>
        <v>04/Apr/2023</v>
      </c>
      <c r="Q532" s="4">
        <v>45020</v>
      </c>
      <c r="R532" s="1" t="s">
        <v>85</v>
      </c>
      <c r="S532" s="1" t="s">
        <v>31</v>
      </c>
      <c r="T532" s="1" t="s">
        <v>61</v>
      </c>
      <c r="U532" s="1"/>
      <c r="V532" s="1">
        <v>-178</v>
      </c>
      <c r="W532" s="1">
        <f>IF(Table1[[#This Row],[Claim_Amount]]&lt;0,0,Table1[[#This Row],[Claim_Amount]])</f>
        <v>0</v>
      </c>
      <c r="X532" s="1" t="str">
        <f>IF(Table1[[#This Row],[Column1]]=0,"",Table1[[#This Row],[Column1]])</f>
        <v/>
      </c>
      <c r="Y532" s="1" t="s">
        <v>1098</v>
      </c>
      <c r="Z532" s="1">
        <v>2481</v>
      </c>
      <c r="AA532">
        <v>832</v>
      </c>
      <c r="AB532" s="1" t="s">
        <v>25</v>
      </c>
      <c r="AC532" s="1" t="s">
        <v>26</v>
      </c>
      <c r="AD532">
        <v>9</v>
      </c>
      <c r="AE532" s="3" t="s">
        <v>65</v>
      </c>
    </row>
    <row r="533" spans="1:31" ht="15.75" customHeight="1" x14ac:dyDescent="0.35">
      <c r="A533" s="1" t="s">
        <v>55</v>
      </c>
      <c r="B533" t="s">
        <v>1083</v>
      </c>
      <c r="C533" s="1" t="s">
        <v>238</v>
      </c>
      <c r="D533" s="1" t="s">
        <v>748</v>
      </c>
      <c r="E533" s="5">
        <v>45129</v>
      </c>
      <c r="F533" s="4" t="str">
        <f>IF(ISNUMBER(Table13[[#This Row],[Claim_Date2]]),"",Table13[[#This Row],[Claim_Date2]])</f>
        <v/>
      </c>
      <c r="G533" s="4" t="s">
        <v>1098</v>
      </c>
      <c r="H533" s="4" t="str">
        <f>LEFT(Table13[[#This Row],[Values Col 1]],3)</f>
        <v/>
      </c>
      <c r="I533" s="4" t="s">
        <v>1098</v>
      </c>
      <c r="J533" s="4" t="str">
        <f>MID(Table13[[#This Row],[Function Col]],5,2)</f>
        <v/>
      </c>
      <c r="K533" s="4" t="s">
        <v>1098</v>
      </c>
      <c r="L533" s="4" t="str">
        <f>RIGHT(Table13[[#This Row],[Function Col]],4)</f>
        <v/>
      </c>
      <c r="M533" s="4" t="s">
        <v>1098</v>
      </c>
      <c r="N533" s="4" t="str">
        <f>IF(Table13[[#This Row],[Function Col5]]="","",_xlfn.CONCAT(Table13[[#This Row],[Day Col]],"/",Table13[[#This Row],[Month Col]],"/",Table13[[#This Row],[Year Col]]))</f>
        <v/>
      </c>
      <c r="O533" s="4" t="s">
        <v>1098</v>
      </c>
      <c r="P533" s="4">
        <f>IF(ISNUMBER(Table13[[#This Row],[Claim_Date2]]),Table13[[#This Row],[Claim_Date2]],Table13[[#This Row],[Function Col32]])</f>
        <v>45129</v>
      </c>
      <c r="Q533" s="4">
        <v>45129</v>
      </c>
      <c r="R533" s="1" t="s">
        <v>85</v>
      </c>
      <c r="S533" t="s">
        <v>1085</v>
      </c>
      <c r="T533" s="1" t="s">
        <v>24</v>
      </c>
      <c r="U533" s="1"/>
      <c r="W533">
        <f>IF(Table1[[#This Row],[Claim_Amount]]&lt;0,0,Table1[[#This Row],[Claim_Amount]])</f>
        <v>0</v>
      </c>
      <c r="X533" t="str">
        <f>IF(Table1[[#This Row],[Column1]]=0,"",Table1[[#This Row],[Column1]])</f>
        <v/>
      </c>
      <c r="Y533" t="s">
        <v>1098</v>
      </c>
      <c r="Z533">
        <v>2481</v>
      </c>
      <c r="AA533">
        <v>832</v>
      </c>
      <c r="AB533" s="1" t="s">
        <v>1091</v>
      </c>
      <c r="AC533" s="1" t="s">
        <v>1093</v>
      </c>
      <c r="AD533">
        <v>9</v>
      </c>
      <c r="AE533" s="3" t="s">
        <v>65</v>
      </c>
    </row>
    <row r="534" spans="1:31" ht="15.75" customHeight="1" x14ac:dyDescent="0.35">
      <c r="A534" s="1" t="s">
        <v>58</v>
      </c>
      <c r="B534" t="s">
        <v>1083</v>
      </c>
      <c r="C534" t="s">
        <v>1084</v>
      </c>
      <c r="D534" s="1" t="s">
        <v>749</v>
      </c>
      <c r="E534" s="5">
        <v>44994</v>
      </c>
      <c r="F534" s="4" t="str">
        <f>IF(ISNUMBER(Table13[[#This Row],[Claim_Date2]]),"",Table13[[#This Row],[Claim_Date2]])</f>
        <v/>
      </c>
      <c r="G534" s="4" t="s">
        <v>1098</v>
      </c>
      <c r="H534" s="4" t="str">
        <f>LEFT(Table13[[#This Row],[Values Col 1]],3)</f>
        <v/>
      </c>
      <c r="I534" s="4" t="s">
        <v>1098</v>
      </c>
      <c r="J534" s="4" t="str">
        <f>MID(Table13[[#This Row],[Function Col]],5,2)</f>
        <v/>
      </c>
      <c r="K534" s="4" t="s">
        <v>1098</v>
      </c>
      <c r="L534" s="4" t="str">
        <f>RIGHT(Table13[[#This Row],[Function Col]],4)</f>
        <v/>
      </c>
      <c r="M534" s="4" t="s">
        <v>1098</v>
      </c>
      <c r="N534" s="4" t="str">
        <f>IF(Table13[[#This Row],[Function Col5]]="","",_xlfn.CONCAT(Table13[[#This Row],[Day Col]],"/",Table13[[#This Row],[Month Col]],"/",Table13[[#This Row],[Year Col]]))</f>
        <v/>
      </c>
      <c r="O534" s="4" t="s">
        <v>1098</v>
      </c>
      <c r="P534" s="4">
        <f>IF(ISNUMBER(Table13[[#This Row],[Claim_Date2]]),Table13[[#This Row],[Claim_Date2]],Table13[[#This Row],[Function Col32]])</f>
        <v>44994</v>
      </c>
      <c r="Q534" s="4">
        <v>44994</v>
      </c>
      <c r="R534" s="1" t="s">
        <v>85</v>
      </c>
      <c r="S534" s="1" t="s">
        <v>93</v>
      </c>
      <c r="T534" s="1" t="s">
        <v>41</v>
      </c>
      <c r="U534" s="1"/>
      <c r="W534">
        <f>IF(Table1[[#This Row],[Claim_Amount]]&lt;0,0,Table1[[#This Row],[Claim_Amount]])</f>
        <v>0</v>
      </c>
      <c r="X534" t="str">
        <f>IF(Table1[[#This Row],[Column1]]=0,"",Table1[[#This Row],[Column1]])</f>
        <v/>
      </c>
      <c r="Y534" t="s">
        <v>1098</v>
      </c>
      <c r="Z534">
        <v>2481</v>
      </c>
      <c r="AA534">
        <v>832</v>
      </c>
      <c r="AB534" s="1" t="s">
        <v>25</v>
      </c>
      <c r="AC534" s="1" t="s">
        <v>57</v>
      </c>
      <c r="AD534" s="1">
        <v>47</v>
      </c>
      <c r="AE534" s="3" t="s">
        <v>37</v>
      </c>
    </row>
    <row r="535" spans="1:31" ht="15.75" customHeight="1" x14ac:dyDescent="0.35">
      <c r="A535" s="1" t="s">
        <v>285</v>
      </c>
      <c r="B535" t="s">
        <v>1083</v>
      </c>
      <c r="C535" s="1" t="s">
        <v>486</v>
      </c>
      <c r="D535" s="1" t="s">
        <v>413</v>
      </c>
      <c r="E535" s="5">
        <v>45146</v>
      </c>
      <c r="F535" s="4" t="str">
        <f>IF(ISNUMBER(Table13[[#This Row],[Claim_Date2]]),"",Table13[[#This Row],[Claim_Date2]])</f>
        <v/>
      </c>
      <c r="G535" s="4" t="s">
        <v>1098</v>
      </c>
      <c r="H535" s="4" t="str">
        <f>LEFT(Table13[[#This Row],[Values Col 1]],3)</f>
        <v/>
      </c>
      <c r="I535" s="4" t="s">
        <v>1098</v>
      </c>
      <c r="J535" s="4" t="str">
        <f>MID(Table13[[#This Row],[Function Col]],5,2)</f>
        <v/>
      </c>
      <c r="K535" s="4" t="s">
        <v>1098</v>
      </c>
      <c r="L535" s="4" t="str">
        <f>RIGHT(Table13[[#This Row],[Function Col]],4)</f>
        <v/>
      </c>
      <c r="M535" s="4" t="s">
        <v>1098</v>
      </c>
      <c r="N535" s="4" t="str">
        <f>IF(Table13[[#This Row],[Function Col5]]="","",_xlfn.CONCAT(Table13[[#This Row],[Day Col]],"/",Table13[[#This Row],[Month Col]],"/",Table13[[#This Row],[Year Col]]))</f>
        <v/>
      </c>
      <c r="O535" s="4" t="s">
        <v>1098</v>
      </c>
      <c r="P535" s="4">
        <f>IF(ISNUMBER(Table13[[#This Row],[Claim_Date2]]),Table13[[#This Row],[Claim_Date2]],Table13[[#This Row],[Function Col32]])</f>
        <v>45146</v>
      </c>
      <c r="Q535" s="4">
        <v>45146</v>
      </c>
      <c r="R535" s="1" t="s">
        <v>16</v>
      </c>
      <c r="S535" s="1" t="s">
        <v>47</v>
      </c>
      <c r="T535" s="1" t="s">
        <v>24</v>
      </c>
      <c r="U535" s="1"/>
      <c r="W535">
        <f>IF(Table1[[#This Row],[Claim_Amount]]&lt;0,0,Table1[[#This Row],[Claim_Amount]])</f>
        <v>0</v>
      </c>
      <c r="X535" t="str">
        <f>IF(Table1[[#This Row],[Column1]]=0,"",Table1[[#This Row],[Column1]])</f>
        <v/>
      </c>
      <c r="Y535" t="s">
        <v>1098</v>
      </c>
      <c r="Z535">
        <v>2481</v>
      </c>
      <c r="AA535" s="1">
        <v>4971.57</v>
      </c>
      <c r="AB535" s="1" t="s">
        <v>25</v>
      </c>
      <c r="AC535" s="1" t="s">
        <v>18</v>
      </c>
      <c r="AD535">
        <v>9</v>
      </c>
      <c r="AE535" s="3" t="s">
        <v>19</v>
      </c>
    </row>
    <row r="536" spans="1:31" ht="15.75" customHeight="1" x14ac:dyDescent="0.35">
      <c r="A536" s="1" t="s">
        <v>321</v>
      </c>
      <c r="B536" t="s">
        <v>1083</v>
      </c>
      <c r="C536" s="1" t="s">
        <v>263</v>
      </c>
      <c r="D536" s="1" t="s">
        <v>656</v>
      </c>
      <c r="E536" s="5" t="s">
        <v>656</v>
      </c>
      <c r="F536" s="4" t="str">
        <f>IF(ISNUMBER(Table13[[#This Row],[Claim_Date2]]),"",Table13[[#This Row],[Claim_Date2]])</f>
        <v>Nov 19 2023</v>
      </c>
      <c r="G536" s="4" t="s">
        <v>656</v>
      </c>
      <c r="H536" s="4" t="str">
        <f>LEFT(Table13[[#This Row],[Values Col 1]],3)</f>
        <v>Nov</v>
      </c>
      <c r="I536" s="4" t="s">
        <v>1105</v>
      </c>
      <c r="J536" s="4" t="str">
        <f>MID(Table13[[#This Row],[Function Col]],5,2)</f>
        <v>19</v>
      </c>
      <c r="K536" s="4" t="s">
        <v>1137</v>
      </c>
      <c r="L536" s="4" t="str">
        <f>RIGHT(Table13[[#This Row],[Function Col]],4)</f>
        <v>2023</v>
      </c>
      <c r="M536" s="4" t="s">
        <v>1146</v>
      </c>
      <c r="N536" s="4" t="str">
        <f>IF(Table13[[#This Row],[Function Col5]]="","",_xlfn.CONCAT(Table13[[#This Row],[Day Col]],"/",Table13[[#This Row],[Month Col]],"/",Table13[[#This Row],[Year Col]]))</f>
        <v>19/Nov/2023</v>
      </c>
      <c r="O536" s="4" t="s">
        <v>1265</v>
      </c>
      <c r="P536" s="4" t="str">
        <f>IF(ISNUMBER(Table13[[#This Row],[Claim_Date2]]),Table13[[#This Row],[Claim_Date2]],Table13[[#This Row],[Function Col32]])</f>
        <v>19/Nov/2023</v>
      </c>
      <c r="Q536" s="4">
        <v>45249</v>
      </c>
      <c r="R536" s="1" t="s">
        <v>85</v>
      </c>
      <c r="S536" s="1" t="s">
        <v>93</v>
      </c>
      <c r="T536" s="1" t="s">
        <v>61</v>
      </c>
      <c r="U536" s="1"/>
      <c r="W536">
        <f>IF(Table1[[#This Row],[Claim_Amount]]&lt;0,0,Table1[[#This Row],[Claim_Amount]])</f>
        <v>0</v>
      </c>
      <c r="X536" t="str">
        <f>IF(Table1[[#This Row],[Column1]]=0,"",Table1[[#This Row],[Column1]])</f>
        <v/>
      </c>
      <c r="Y536" t="s">
        <v>1098</v>
      </c>
      <c r="Z536">
        <v>2481</v>
      </c>
      <c r="AA536" s="1">
        <v>4952.47</v>
      </c>
      <c r="AB536" s="1" t="s">
        <v>25</v>
      </c>
      <c r="AC536" s="1" t="s">
        <v>26</v>
      </c>
      <c r="AD536" s="1">
        <v>39</v>
      </c>
      <c r="AE536" s="3" t="s">
        <v>19</v>
      </c>
    </row>
    <row r="537" spans="1:31" ht="15.75" customHeight="1" x14ac:dyDescent="0.35">
      <c r="A537" s="1" t="s">
        <v>82</v>
      </c>
      <c r="B537" t="s">
        <v>1083</v>
      </c>
      <c r="C537" t="s">
        <v>1084</v>
      </c>
      <c r="D537" s="1" t="s">
        <v>569</v>
      </c>
      <c r="E537" s="5">
        <v>45285</v>
      </c>
      <c r="F537" s="4" t="str">
        <f>IF(ISNUMBER(Table13[[#This Row],[Claim_Date2]]),"",Table13[[#This Row],[Claim_Date2]])</f>
        <v/>
      </c>
      <c r="G537" s="4" t="s">
        <v>1098</v>
      </c>
      <c r="H537" s="4" t="str">
        <f>LEFT(Table13[[#This Row],[Values Col 1]],3)</f>
        <v/>
      </c>
      <c r="I537" s="4" t="s">
        <v>1098</v>
      </c>
      <c r="J537" s="4" t="str">
        <f>MID(Table13[[#This Row],[Function Col]],5,2)</f>
        <v/>
      </c>
      <c r="K537" s="4" t="s">
        <v>1098</v>
      </c>
      <c r="L537" s="4" t="str">
        <f>RIGHT(Table13[[#This Row],[Function Col]],4)</f>
        <v/>
      </c>
      <c r="M537" s="4" t="s">
        <v>1098</v>
      </c>
      <c r="N537" s="4" t="str">
        <f>IF(Table13[[#This Row],[Function Col5]]="","",_xlfn.CONCAT(Table13[[#This Row],[Day Col]],"/",Table13[[#This Row],[Month Col]],"/",Table13[[#This Row],[Year Col]]))</f>
        <v/>
      </c>
      <c r="O537" s="4" t="s">
        <v>1098</v>
      </c>
      <c r="P537" s="4">
        <f>IF(ISNUMBER(Table13[[#This Row],[Claim_Date2]]),Table13[[#This Row],[Claim_Date2]],Table13[[#This Row],[Function Col32]])</f>
        <v>45285</v>
      </c>
      <c r="Q537" s="4">
        <v>45285</v>
      </c>
      <c r="R537" s="1" t="s">
        <v>92</v>
      </c>
      <c r="S537" s="1" t="s">
        <v>53</v>
      </c>
      <c r="T537" s="1" t="s">
        <v>48</v>
      </c>
      <c r="U537" s="1"/>
      <c r="V537" s="1">
        <v>353.68</v>
      </c>
      <c r="W537" s="1">
        <f>IF(Table1[[#This Row],[Claim_Amount]]&lt;0,0,Table1[[#This Row],[Claim_Amount]])</f>
        <v>353.68</v>
      </c>
      <c r="X537" s="1">
        <f>IF(Table1[[#This Row],[Column1]]=0,"",Table1[[#This Row],[Column1]])</f>
        <v>353.68</v>
      </c>
      <c r="Y537" s="1">
        <v>353.68</v>
      </c>
      <c r="Z537" s="1">
        <v>353.68</v>
      </c>
      <c r="AA537">
        <v>832</v>
      </c>
      <c r="AB537" s="1" t="s">
        <v>42</v>
      </c>
      <c r="AC537" s="1" t="s">
        <v>32</v>
      </c>
      <c r="AD537">
        <v>9</v>
      </c>
      <c r="AE537" s="3" t="s">
        <v>37</v>
      </c>
    </row>
    <row r="538" spans="1:31" ht="15.75" customHeight="1" x14ac:dyDescent="0.35">
      <c r="A538" s="1" t="s">
        <v>170</v>
      </c>
      <c r="B538" s="1" t="s">
        <v>299</v>
      </c>
      <c r="C538" s="1" t="s">
        <v>200</v>
      </c>
      <c r="D538" s="1" t="s">
        <v>750</v>
      </c>
      <c r="E538" s="5" t="s">
        <v>750</v>
      </c>
      <c r="F538" s="4" t="str">
        <f>IF(ISNUMBER(Table13[[#This Row],[Claim_Date2]]),"",Table13[[#This Row],[Claim_Date2]])</f>
        <v>Dec 05 2023</v>
      </c>
      <c r="G538" s="4" t="s">
        <v>750</v>
      </c>
      <c r="H538" s="4" t="str">
        <f>LEFT(Table13[[#This Row],[Values Col 1]],3)</f>
        <v>Dec</v>
      </c>
      <c r="I538" s="4" t="s">
        <v>1111</v>
      </c>
      <c r="J538" s="4" t="str">
        <f>MID(Table13[[#This Row],[Function Col]],5,2)</f>
        <v>05</v>
      </c>
      <c r="K538" s="4" t="s">
        <v>1144</v>
      </c>
      <c r="L538" s="4" t="str">
        <f>RIGHT(Table13[[#This Row],[Function Col]],4)</f>
        <v>2023</v>
      </c>
      <c r="M538" s="4" t="s">
        <v>1146</v>
      </c>
      <c r="N538" s="4" t="str">
        <f>IF(Table13[[#This Row],[Function Col5]]="","",_xlfn.CONCAT(Table13[[#This Row],[Day Col]],"/",Table13[[#This Row],[Month Col]],"/",Table13[[#This Row],[Year Col]]))</f>
        <v>05/Dec/2023</v>
      </c>
      <c r="O538" s="4" t="s">
        <v>1290</v>
      </c>
      <c r="P538" s="4" t="str">
        <f>IF(ISNUMBER(Table13[[#This Row],[Claim_Date2]]),Table13[[#This Row],[Claim_Date2]],Table13[[#This Row],[Function Col32]])</f>
        <v>05/Dec/2023</v>
      </c>
      <c r="Q538" s="4">
        <v>45265</v>
      </c>
      <c r="R538" s="1" t="s">
        <v>92</v>
      </c>
      <c r="S538" s="1" t="s">
        <v>93</v>
      </c>
      <c r="T538" s="1" t="s">
        <v>41</v>
      </c>
      <c r="U538" s="1"/>
      <c r="V538" s="1">
        <v>2386.69</v>
      </c>
      <c r="W538" s="1">
        <f>IF(Table1[[#This Row],[Claim_Amount]]&lt;0,0,Table1[[#This Row],[Claim_Amount]])</f>
        <v>2386.69</v>
      </c>
      <c r="X538" s="1">
        <f>IF(Table1[[#This Row],[Column1]]=0,"",Table1[[#This Row],[Column1]])</f>
        <v>2386.69</v>
      </c>
      <c r="Y538" s="1">
        <v>2386.69</v>
      </c>
      <c r="Z538" s="1">
        <v>2386.69</v>
      </c>
      <c r="AA538">
        <v>832</v>
      </c>
      <c r="AB538" s="1" t="s">
        <v>25</v>
      </c>
      <c r="AC538" s="1" t="s">
        <v>32</v>
      </c>
      <c r="AD538">
        <v>9</v>
      </c>
      <c r="AE538" s="3" t="s">
        <v>19</v>
      </c>
    </row>
    <row r="539" spans="1:31" ht="15.75" customHeight="1" x14ac:dyDescent="0.35">
      <c r="A539" s="1" t="s">
        <v>108</v>
      </c>
      <c r="B539" s="1" t="s">
        <v>462</v>
      </c>
      <c r="C539" s="1" t="s">
        <v>135</v>
      </c>
      <c r="D539" s="1" t="s">
        <v>751</v>
      </c>
      <c r="E539" s="5" t="s">
        <v>751</v>
      </c>
      <c r="F539" s="4" t="str">
        <f>IF(ISNUMBER(Table13[[#This Row],[Claim_Date2]]),"",Table13[[#This Row],[Claim_Date2]])</f>
        <v>Jul 05 2023</v>
      </c>
      <c r="G539" s="4" t="s">
        <v>751</v>
      </c>
      <c r="H539" s="4" t="str">
        <f>LEFT(Table13[[#This Row],[Values Col 1]],3)</f>
        <v>Jul</v>
      </c>
      <c r="I539" s="4" t="s">
        <v>1101</v>
      </c>
      <c r="J539" s="4" t="str">
        <f>MID(Table13[[#This Row],[Function Col]],5,2)</f>
        <v>05</v>
      </c>
      <c r="K539" s="4" t="s">
        <v>1144</v>
      </c>
      <c r="L539" s="4" t="str">
        <f>RIGHT(Table13[[#This Row],[Function Col]],4)</f>
        <v>2023</v>
      </c>
      <c r="M539" s="4" t="s">
        <v>1146</v>
      </c>
      <c r="N539" s="4" t="str">
        <f>IF(Table13[[#This Row],[Function Col5]]="","",_xlfn.CONCAT(Table13[[#This Row],[Day Col]],"/",Table13[[#This Row],[Month Col]],"/",Table13[[#This Row],[Year Col]]))</f>
        <v>05/Jul/2023</v>
      </c>
      <c r="O539" s="4" t="s">
        <v>1291</v>
      </c>
      <c r="P539" s="4" t="str">
        <f>IF(ISNUMBER(Table13[[#This Row],[Claim_Date2]]),Table13[[#This Row],[Claim_Date2]],Table13[[#This Row],[Function Col32]])</f>
        <v>05/Jul/2023</v>
      </c>
      <c r="Q539" s="4">
        <v>45112</v>
      </c>
      <c r="R539" s="1" t="s">
        <v>85</v>
      </c>
      <c r="S539" s="1" t="s">
        <v>47</v>
      </c>
      <c r="T539" s="1" t="s">
        <v>54</v>
      </c>
      <c r="U539" s="1"/>
      <c r="W539">
        <f>IF(Table1[[#This Row],[Claim_Amount]]&lt;0,0,Table1[[#This Row],[Claim_Amount]])</f>
        <v>0</v>
      </c>
      <c r="X539" t="str">
        <f>IF(Table1[[#This Row],[Column1]]=0,"",Table1[[#This Row],[Column1]])</f>
        <v/>
      </c>
      <c r="Y539" t="s">
        <v>1098</v>
      </c>
      <c r="Z539">
        <v>2481</v>
      </c>
      <c r="AA539">
        <v>832</v>
      </c>
      <c r="AB539" s="1" t="s">
        <v>25</v>
      </c>
      <c r="AC539" s="1" t="s">
        <v>26</v>
      </c>
      <c r="AD539">
        <v>9</v>
      </c>
      <c r="AE539" s="3" t="s">
        <v>1097</v>
      </c>
    </row>
    <row r="540" spans="1:31" ht="15.75" customHeight="1" x14ac:dyDescent="0.35">
      <c r="A540" s="1" t="s">
        <v>55</v>
      </c>
      <c r="B540" t="s">
        <v>1083</v>
      </c>
      <c r="C540" s="1" t="s">
        <v>130</v>
      </c>
      <c r="D540" s="1" t="s">
        <v>752</v>
      </c>
      <c r="E540" s="5">
        <v>45025</v>
      </c>
      <c r="F540" s="4" t="str">
        <f>IF(ISNUMBER(Table13[[#This Row],[Claim_Date2]]),"",Table13[[#This Row],[Claim_Date2]])</f>
        <v/>
      </c>
      <c r="G540" s="4" t="s">
        <v>1098</v>
      </c>
      <c r="H540" s="4" t="str">
        <f>LEFT(Table13[[#This Row],[Values Col 1]],3)</f>
        <v/>
      </c>
      <c r="I540" s="4" t="s">
        <v>1098</v>
      </c>
      <c r="J540" s="4" t="str">
        <f>MID(Table13[[#This Row],[Function Col]],5,2)</f>
        <v/>
      </c>
      <c r="K540" s="4" t="s">
        <v>1098</v>
      </c>
      <c r="L540" s="4" t="str">
        <f>RIGHT(Table13[[#This Row],[Function Col]],4)</f>
        <v/>
      </c>
      <c r="M540" s="4" t="s">
        <v>1098</v>
      </c>
      <c r="N540" s="4" t="str">
        <f>IF(Table13[[#This Row],[Function Col5]]="","",_xlfn.CONCAT(Table13[[#This Row],[Day Col]],"/",Table13[[#This Row],[Month Col]],"/",Table13[[#This Row],[Year Col]]))</f>
        <v/>
      </c>
      <c r="O540" s="4" t="s">
        <v>1098</v>
      </c>
      <c r="P540" s="4">
        <f>IF(ISNUMBER(Table13[[#This Row],[Claim_Date2]]),Table13[[#This Row],[Claim_Date2]],Table13[[#This Row],[Function Col32]])</f>
        <v>45025</v>
      </c>
      <c r="Q540" s="4">
        <v>45025</v>
      </c>
      <c r="R540" s="1" t="s">
        <v>16</v>
      </c>
      <c r="S540" s="1" t="s">
        <v>47</v>
      </c>
      <c r="T540" s="1" t="s">
        <v>54</v>
      </c>
      <c r="U540" s="1"/>
      <c r="V540" s="1">
        <v>-195</v>
      </c>
      <c r="W540" s="1">
        <f>IF(Table1[[#This Row],[Claim_Amount]]&lt;0,0,Table1[[#This Row],[Claim_Amount]])</f>
        <v>0</v>
      </c>
      <c r="X540" s="1" t="str">
        <f>IF(Table1[[#This Row],[Column1]]=0,"",Table1[[#This Row],[Column1]])</f>
        <v/>
      </c>
      <c r="Y540" s="1" t="s">
        <v>1098</v>
      </c>
      <c r="Z540" s="1">
        <v>2481</v>
      </c>
      <c r="AA540" s="1">
        <v>4948.74</v>
      </c>
      <c r="AB540" s="1" t="s">
        <v>1091</v>
      </c>
      <c r="AC540" s="1" t="s">
        <v>18</v>
      </c>
      <c r="AD540" s="1">
        <v>2</v>
      </c>
      <c r="AE540" s="3" t="s">
        <v>65</v>
      </c>
    </row>
    <row r="541" spans="1:31" ht="15.75" customHeight="1" x14ac:dyDescent="0.35">
      <c r="A541" s="1" t="s">
        <v>70</v>
      </c>
      <c r="B541" t="s">
        <v>1083</v>
      </c>
      <c r="C541" t="s">
        <v>1084</v>
      </c>
      <c r="D541" s="1" t="s">
        <v>656</v>
      </c>
      <c r="E541" s="5" t="s">
        <v>656</v>
      </c>
      <c r="F541" s="4" t="str">
        <f>IF(ISNUMBER(Table13[[#This Row],[Claim_Date2]]),"",Table13[[#This Row],[Claim_Date2]])</f>
        <v>Nov 19 2023</v>
      </c>
      <c r="G541" s="4" t="s">
        <v>656</v>
      </c>
      <c r="H541" s="4" t="str">
        <f>LEFT(Table13[[#This Row],[Values Col 1]],3)</f>
        <v>Nov</v>
      </c>
      <c r="I541" s="4" t="s">
        <v>1105</v>
      </c>
      <c r="J541" s="4" t="str">
        <f>MID(Table13[[#This Row],[Function Col]],5,2)</f>
        <v>19</v>
      </c>
      <c r="K541" s="4" t="s">
        <v>1137</v>
      </c>
      <c r="L541" s="4" t="str">
        <f>RIGHT(Table13[[#This Row],[Function Col]],4)</f>
        <v>2023</v>
      </c>
      <c r="M541" s="4" t="s">
        <v>1146</v>
      </c>
      <c r="N541" s="4" t="str">
        <f>IF(Table13[[#This Row],[Function Col5]]="","",_xlfn.CONCAT(Table13[[#This Row],[Day Col]],"/",Table13[[#This Row],[Month Col]],"/",Table13[[#This Row],[Year Col]]))</f>
        <v>19/Nov/2023</v>
      </c>
      <c r="O541" s="4" t="s">
        <v>1265</v>
      </c>
      <c r="P541" s="4" t="str">
        <f>IF(ISNUMBER(Table13[[#This Row],[Claim_Date2]]),Table13[[#This Row],[Claim_Date2]],Table13[[#This Row],[Function Col32]])</f>
        <v>19/Nov/2023</v>
      </c>
      <c r="Q541" s="4">
        <v>45249</v>
      </c>
      <c r="R541" s="1" t="s">
        <v>16</v>
      </c>
      <c r="S541" s="1" t="s">
        <v>53</v>
      </c>
      <c r="T541" s="1" t="s">
        <v>61</v>
      </c>
      <c r="U541" s="1"/>
      <c r="V541" s="1">
        <v>2439.96</v>
      </c>
      <c r="W541" s="1">
        <f>IF(Table1[[#This Row],[Claim_Amount]]&lt;0,0,Table1[[#This Row],[Claim_Amount]])</f>
        <v>2439.96</v>
      </c>
      <c r="X541" s="1">
        <f>IF(Table1[[#This Row],[Column1]]=0,"",Table1[[#This Row],[Column1]])</f>
        <v>2439.96</v>
      </c>
      <c r="Y541" s="1">
        <v>2439.96</v>
      </c>
      <c r="Z541" s="1">
        <v>2439.96</v>
      </c>
      <c r="AA541">
        <v>832</v>
      </c>
      <c r="AB541" s="1" t="s">
        <v>17</v>
      </c>
      <c r="AC541" s="1" t="s">
        <v>32</v>
      </c>
      <c r="AD541">
        <v>9</v>
      </c>
      <c r="AE541" s="3" t="s">
        <v>19</v>
      </c>
    </row>
    <row r="542" spans="1:31" ht="15.75" customHeight="1" x14ac:dyDescent="0.35">
      <c r="A542" s="1" t="s">
        <v>179</v>
      </c>
      <c r="B542" s="1" t="s">
        <v>753</v>
      </c>
      <c r="C542" t="s">
        <v>1084</v>
      </c>
      <c r="D542" s="1" t="s">
        <v>635</v>
      </c>
      <c r="E542" s="5" t="s">
        <v>635</v>
      </c>
      <c r="F542" s="4" t="str">
        <f>IF(ISNUMBER(Table13[[#This Row],[Claim_Date2]]),"",Table13[[#This Row],[Claim_Date2]])</f>
        <v>Sep 30 2023</v>
      </c>
      <c r="G542" s="4" t="s">
        <v>635</v>
      </c>
      <c r="H542" s="4" t="str">
        <f>LEFT(Table13[[#This Row],[Values Col 1]],3)</f>
        <v>Sep</v>
      </c>
      <c r="I542" s="4" t="s">
        <v>1102</v>
      </c>
      <c r="J542" s="4" t="str">
        <f>MID(Table13[[#This Row],[Function Col]],5,2)</f>
        <v>30</v>
      </c>
      <c r="K542" s="4" t="s">
        <v>1126</v>
      </c>
      <c r="L542" s="4" t="str">
        <f>RIGHT(Table13[[#This Row],[Function Col]],4)</f>
        <v>2023</v>
      </c>
      <c r="M542" s="4" t="s">
        <v>1146</v>
      </c>
      <c r="N542" s="4" t="str">
        <f>IF(Table13[[#This Row],[Function Col5]]="","",_xlfn.CONCAT(Table13[[#This Row],[Day Col]],"/",Table13[[#This Row],[Month Col]],"/",Table13[[#This Row],[Year Col]]))</f>
        <v>30/Sep/2023</v>
      </c>
      <c r="O542" s="4" t="s">
        <v>1261</v>
      </c>
      <c r="P542" s="4" t="str">
        <f>IF(ISNUMBER(Table13[[#This Row],[Claim_Date2]]),Table13[[#This Row],[Claim_Date2]],Table13[[#This Row],[Function Col32]])</f>
        <v>30/Sep/2023</v>
      </c>
      <c r="Q542" s="4">
        <v>45199</v>
      </c>
      <c r="R542" s="1" t="s">
        <v>16</v>
      </c>
      <c r="S542" s="1" t="s">
        <v>93</v>
      </c>
      <c r="T542" s="1" t="s">
        <v>48</v>
      </c>
      <c r="U542" s="1"/>
      <c r="V542" s="1">
        <v>-108</v>
      </c>
      <c r="W542" s="1">
        <f>IF(Table1[[#This Row],[Claim_Amount]]&lt;0,0,Table1[[#This Row],[Claim_Amount]])</f>
        <v>0</v>
      </c>
      <c r="X542" s="1" t="str">
        <f>IF(Table1[[#This Row],[Column1]]=0,"",Table1[[#This Row],[Column1]])</f>
        <v/>
      </c>
      <c r="Y542" s="1" t="s">
        <v>1098</v>
      </c>
      <c r="Z542" s="1">
        <v>2481</v>
      </c>
      <c r="AA542">
        <v>832</v>
      </c>
      <c r="AB542" s="1" t="s">
        <v>17</v>
      </c>
      <c r="AC542" s="1" t="s">
        <v>18</v>
      </c>
      <c r="AD542" s="1">
        <v>9</v>
      </c>
      <c r="AE542" s="3" t="s">
        <v>1097</v>
      </c>
    </row>
    <row r="543" spans="1:31" ht="15.75" customHeight="1" x14ac:dyDescent="0.35">
      <c r="A543" s="1" t="s">
        <v>187</v>
      </c>
      <c r="B543" t="s">
        <v>1083</v>
      </c>
      <c r="C543" t="s">
        <v>1084</v>
      </c>
      <c r="D543" s="1" t="s">
        <v>324</v>
      </c>
      <c r="E543" s="5">
        <v>45289</v>
      </c>
      <c r="F543" s="4" t="str">
        <f>IF(ISNUMBER(Table13[[#This Row],[Claim_Date2]]),"",Table13[[#This Row],[Claim_Date2]])</f>
        <v/>
      </c>
      <c r="G543" s="4" t="s">
        <v>1098</v>
      </c>
      <c r="H543" s="4" t="str">
        <f>LEFT(Table13[[#This Row],[Values Col 1]],3)</f>
        <v/>
      </c>
      <c r="I543" s="4" t="s">
        <v>1098</v>
      </c>
      <c r="J543" s="4" t="str">
        <f>MID(Table13[[#This Row],[Function Col]],5,2)</f>
        <v/>
      </c>
      <c r="K543" s="4" t="s">
        <v>1098</v>
      </c>
      <c r="L543" s="4" t="str">
        <f>RIGHT(Table13[[#This Row],[Function Col]],4)</f>
        <v/>
      </c>
      <c r="M543" s="4" t="s">
        <v>1098</v>
      </c>
      <c r="N543" s="4" t="str">
        <f>IF(Table13[[#This Row],[Function Col5]]="","",_xlfn.CONCAT(Table13[[#This Row],[Day Col]],"/",Table13[[#This Row],[Month Col]],"/",Table13[[#This Row],[Year Col]]))</f>
        <v/>
      </c>
      <c r="O543" s="4" t="s">
        <v>1098</v>
      </c>
      <c r="P543" s="4">
        <f>IF(ISNUMBER(Table13[[#This Row],[Claim_Date2]]),Table13[[#This Row],[Claim_Date2]],Table13[[#This Row],[Function Col32]])</f>
        <v>45289</v>
      </c>
      <c r="Q543" s="4">
        <v>45289</v>
      </c>
      <c r="R543" s="1" t="s">
        <v>92</v>
      </c>
      <c r="S543" s="1" t="s">
        <v>93</v>
      </c>
      <c r="T543" s="1" t="s">
        <v>41</v>
      </c>
      <c r="U543" s="1"/>
      <c r="V543" s="1">
        <v>3555.86</v>
      </c>
      <c r="W543" s="1">
        <f>IF(Table1[[#This Row],[Claim_Amount]]&lt;0,0,Table1[[#This Row],[Claim_Amount]])</f>
        <v>3555.86</v>
      </c>
      <c r="X543" s="1">
        <f>IF(Table1[[#This Row],[Column1]]=0,"",Table1[[#This Row],[Column1]])</f>
        <v>3555.86</v>
      </c>
      <c r="Y543" s="1">
        <v>3555.86</v>
      </c>
      <c r="Z543" s="1">
        <v>3555.86</v>
      </c>
      <c r="AA543" s="1">
        <v>896.99</v>
      </c>
      <c r="AB543" s="1" t="s">
        <v>1091</v>
      </c>
      <c r="AC543" s="1" t="s">
        <v>18</v>
      </c>
      <c r="AD543" s="1">
        <v>18</v>
      </c>
      <c r="AE543" s="3" t="s">
        <v>65</v>
      </c>
    </row>
    <row r="544" spans="1:31" ht="15.75" customHeight="1" x14ac:dyDescent="0.35">
      <c r="A544" s="1" t="s">
        <v>38</v>
      </c>
      <c r="B544" t="s">
        <v>1083</v>
      </c>
      <c r="C544" s="1" t="s">
        <v>416</v>
      </c>
      <c r="D544" s="1" t="s">
        <v>570</v>
      </c>
      <c r="E544" s="5">
        <v>45034</v>
      </c>
      <c r="F544" s="4" t="str">
        <f>IF(ISNUMBER(Table13[[#This Row],[Claim_Date2]]),"",Table13[[#This Row],[Claim_Date2]])</f>
        <v/>
      </c>
      <c r="G544" s="4" t="s">
        <v>1098</v>
      </c>
      <c r="H544" s="4" t="str">
        <f>LEFT(Table13[[#This Row],[Values Col 1]],3)</f>
        <v/>
      </c>
      <c r="I544" s="4" t="s">
        <v>1098</v>
      </c>
      <c r="J544" s="4" t="str">
        <f>MID(Table13[[#This Row],[Function Col]],5,2)</f>
        <v/>
      </c>
      <c r="K544" s="4" t="s">
        <v>1098</v>
      </c>
      <c r="L544" s="4" t="str">
        <f>RIGHT(Table13[[#This Row],[Function Col]],4)</f>
        <v/>
      </c>
      <c r="M544" s="4" t="s">
        <v>1098</v>
      </c>
      <c r="N544" s="4" t="str">
        <f>IF(Table13[[#This Row],[Function Col5]]="","",_xlfn.CONCAT(Table13[[#This Row],[Day Col]],"/",Table13[[#This Row],[Month Col]],"/",Table13[[#This Row],[Year Col]]))</f>
        <v/>
      </c>
      <c r="O544" s="4" t="s">
        <v>1098</v>
      </c>
      <c r="P544" s="4">
        <f>IF(ISNUMBER(Table13[[#This Row],[Claim_Date2]]),Table13[[#This Row],[Claim_Date2]],Table13[[#This Row],[Function Col32]])</f>
        <v>45034</v>
      </c>
      <c r="Q544" s="4">
        <v>45034</v>
      </c>
      <c r="R544" s="1" t="s">
        <v>16</v>
      </c>
      <c r="S544" s="1" t="s">
        <v>31</v>
      </c>
      <c r="T544" t="s">
        <v>1086</v>
      </c>
      <c r="W544">
        <f>IF(Table1[[#This Row],[Claim_Amount]]&lt;0,0,Table1[[#This Row],[Claim_Amount]])</f>
        <v>0</v>
      </c>
      <c r="X544" t="str">
        <f>IF(Table1[[#This Row],[Column1]]=0,"",Table1[[#This Row],[Column1]])</f>
        <v/>
      </c>
      <c r="Y544" t="s">
        <v>1098</v>
      </c>
      <c r="Z544">
        <v>2481</v>
      </c>
      <c r="AA544">
        <v>832</v>
      </c>
      <c r="AB544" s="1" t="s">
        <v>1091</v>
      </c>
      <c r="AC544" s="1" t="s">
        <v>32</v>
      </c>
      <c r="AD544" s="1">
        <v>46</v>
      </c>
      <c r="AE544" s="3" t="s">
        <v>37</v>
      </c>
    </row>
    <row r="545" spans="1:31" ht="15.75" customHeight="1" x14ac:dyDescent="0.35">
      <c r="A545" s="1" t="s">
        <v>110</v>
      </c>
      <c r="B545" t="s">
        <v>1083</v>
      </c>
      <c r="C545" s="1" t="s">
        <v>83</v>
      </c>
      <c r="D545" s="1" t="s">
        <v>754</v>
      </c>
      <c r="E545" s="5">
        <v>45109</v>
      </c>
      <c r="F545" s="4" t="str">
        <f>IF(ISNUMBER(Table13[[#This Row],[Claim_Date2]]),"",Table13[[#This Row],[Claim_Date2]])</f>
        <v/>
      </c>
      <c r="G545" s="4" t="s">
        <v>1098</v>
      </c>
      <c r="H545" s="4" t="str">
        <f>LEFT(Table13[[#This Row],[Values Col 1]],3)</f>
        <v/>
      </c>
      <c r="I545" s="4" t="s">
        <v>1098</v>
      </c>
      <c r="J545" s="4" t="str">
        <f>MID(Table13[[#This Row],[Function Col]],5,2)</f>
        <v/>
      </c>
      <c r="K545" s="4" t="s">
        <v>1098</v>
      </c>
      <c r="L545" s="4" t="str">
        <f>RIGHT(Table13[[#This Row],[Function Col]],4)</f>
        <v/>
      </c>
      <c r="M545" s="4" t="s">
        <v>1098</v>
      </c>
      <c r="N545" s="4" t="str">
        <f>IF(Table13[[#This Row],[Function Col5]]="","",_xlfn.CONCAT(Table13[[#This Row],[Day Col]],"/",Table13[[#This Row],[Month Col]],"/",Table13[[#This Row],[Year Col]]))</f>
        <v/>
      </c>
      <c r="O545" s="4" t="s">
        <v>1098</v>
      </c>
      <c r="P545" s="4">
        <f>IF(ISNUMBER(Table13[[#This Row],[Claim_Date2]]),Table13[[#This Row],[Claim_Date2]],Table13[[#This Row],[Function Col32]])</f>
        <v>45109</v>
      </c>
      <c r="Q545" s="4">
        <v>45109</v>
      </c>
      <c r="R545" s="1" t="s">
        <v>92</v>
      </c>
      <c r="S545" s="1" t="s">
        <v>23</v>
      </c>
      <c r="T545" s="1" t="s">
        <v>54</v>
      </c>
      <c r="U545" s="1"/>
      <c r="V545" s="1">
        <v>3303.72</v>
      </c>
      <c r="W545" s="1">
        <f>IF(Table1[[#This Row],[Claim_Amount]]&lt;0,0,Table1[[#This Row],[Claim_Amount]])</f>
        <v>3303.72</v>
      </c>
      <c r="X545" s="1">
        <f>IF(Table1[[#This Row],[Column1]]=0,"",Table1[[#This Row],[Column1]])</f>
        <v>3303.72</v>
      </c>
      <c r="Y545" s="1">
        <v>3303.72</v>
      </c>
      <c r="Z545" s="1">
        <v>3303.72</v>
      </c>
      <c r="AA545">
        <v>832</v>
      </c>
      <c r="AB545" s="1" t="s">
        <v>25</v>
      </c>
      <c r="AC545" s="1" t="s">
        <v>32</v>
      </c>
      <c r="AD545">
        <v>9</v>
      </c>
      <c r="AE545" s="3" t="s">
        <v>1097</v>
      </c>
    </row>
    <row r="546" spans="1:31" ht="15.75" customHeight="1" x14ac:dyDescent="0.35">
      <c r="A546" s="1" t="s">
        <v>20</v>
      </c>
      <c r="B546" t="s">
        <v>1083</v>
      </c>
      <c r="C546" t="s">
        <v>1084</v>
      </c>
      <c r="D546" s="1" t="s">
        <v>755</v>
      </c>
      <c r="E546" s="5" t="s">
        <v>755</v>
      </c>
      <c r="F546" s="4" t="str">
        <f>IF(ISNUMBER(Table13[[#This Row],[Claim_Date2]]),"",Table13[[#This Row],[Claim_Date2]])</f>
        <v>Oct 25 2023</v>
      </c>
      <c r="G546" s="4" t="s">
        <v>755</v>
      </c>
      <c r="H546" s="4" t="str">
        <f>LEFT(Table13[[#This Row],[Values Col 1]],3)</f>
        <v>Oct</v>
      </c>
      <c r="I546" s="4" t="s">
        <v>1103</v>
      </c>
      <c r="J546" s="4" t="str">
        <f>MID(Table13[[#This Row],[Function Col]],5,2)</f>
        <v>25</v>
      </c>
      <c r="K546" s="4" t="s">
        <v>1123</v>
      </c>
      <c r="L546" s="4" t="str">
        <f>RIGHT(Table13[[#This Row],[Function Col]],4)</f>
        <v>2023</v>
      </c>
      <c r="M546" s="4" t="s">
        <v>1146</v>
      </c>
      <c r="N546" s="4" t="str">
        <f>IF(Table13[[#This Row],[Function Col5]]="","",_xlfn.CONCAT(Table13[[#This Row],[Day Col]],"/",Table13[[#This Row],[Month Col]],"/",Table13[[#This Row],[Year Col]]))</f>
        <v>25/Oct/2023</v>
      </c>
      <c r="O546" s="4" t="s">
        <v>1292</v>
      </c>
      <c r="P546" s="4" t="str">
        <f>IF(ISNUMBER(Table13[[#This Row],[Claim_Date2]]),Table13[[#This Row],[Claim_Date2]],Table13[[#This Row],[Function Col32]])</f>
        <v>25/Oct/2023</v>
      </c>
      <c r="Q546" s="4">
        <v>45224</v>
      </c>
      <c r="R546" s="1" t="s">
        <v>85</v>
      </c>
      <c r="S546" s="1" t="s">
        <v>53</v>
      </c>
      <c r="T546" s="1" t="s">
        <v>24</v>
      </c>
      <c r="U546" s="1"/>
      <c r="V546" s="1">
        <v>-196</v>
      </c>
      <c r="W546" s="1">
        <f>IF(Table1[[#This Row],[Claim_Amount]]&lt;0,0,Table1[[#This Row],[Claim_Amount]])</f>
        <v>0</v>
      </c>
      <c r="X546" s="1" t="str">
        <f>IF(Table1[[#This Row],[Column1]]=0,"",Table1[[#This Row],[Column1]])</f>
        <v/>
      </c>
      <c r="Y546" s="1" t="s">
        <v>1098</v>
      </c>
      <c r="Z546" s="1">
        <v>2481</v>
      </c>
      <c r="AA546">
        <v>832</v>
      </c>
      <c r="AB546" s="1" t="s">
        <v>25</v>
      </c>
      <c r="AC546" s="1" t="s">
        <v>1093</v>
      </c>
      <c r="AD546">
        <v>9</v>
      </c>
      <c r="AE546" s="3" t="s">
        <v>65</v>
      </c>
    </row>
    <row r="547" spans="1:31" ht="15.75" customHeight="1" x14ac:dyDescent="0.35">
      <c r="A547" s="1" t="s">
        <v>102</v>
      </c>
      <c r="B547" t="s">
        <v>1083</v>
      </c>
      <c r="C547" s="1" t="s">
        <v>486</v>
      </c>
      <c r="D547" s="1" t="s">
        <v>756</v>
      </c>
      <c r="E547" s="5">
        <v>45071</v>
      </c>
      <c r="F547" s="4" t="str">
        <f>IF(ISNUMBER(Table13[[#This Row],[Claim_Date2]]),"",Table13[[#This Row],[Claim_Date2]])</f>
        <v/>
      </c>
      <c r="G547" s="4" t="s">
        <v>1098</v>
      </c>
      <c r="H547" s="4" t="str">
        <f>LEFT(Table13[[#This Row],[Values Col 1]],3)</f>
        <v/>
      </c>
      <c r="I547" s="4" t="s">
        <v>1098</v>
      </c>
      <c r="J547" s="4" t="str">
        <f>MID(Table13[[#This Row],[Function Col]],5,2)</f>
        <v/>
      </c>
      <c r="K547" s="4" t="s">
        <v>1098</v>
      </c>
      <c r="L547" s="4" t="str">
        <f>RIGHT(Table13[[#This Row],[Function Col]],4)</f>
        <v/>
      </c>
      <c r="M547" s="4" t="s">
        <v>1098</v>
      </c>
      <c r="N547" s="4" t="str">
        <f>IF(Table13[[#This Row],[Function Col5]]="","",_xlfn.CONCAT(Table13[[#This Row],[Day Col]],"/",Table13[[#This Row],[Month Col]],"/",Table13[[#This Row],[Year Col]]))</f>
        <v/>
      </c>
      <c r="O547" s="4" t="s">
        <v>1098</v>
      </c>
      <c r="P547" s="4">
        <f>IF(ISNUMBER(Table13[[#This Row],[Claim_Date2]]),Table13[[#This Row],[Claim_Date2]],Table13[[#This Row],[Function Col32]])</f>
        <v>45071</v>
      </c>
      <c r="Q547" s="4">
        <v>45071</v>
      </c>
      <c r="R547" s="1" t="s">
        <v>85</v>
      </c>
      <c r="S547" s="1" t="s">
        <v>93</v>
      </c>
      <c r="T547" s="1" t="s">
        <v>48</v>
      </c>
      <c r="U547" s="1"/>
      <c r="V547" s="1">
        <v>3452.47</v>
      </c>
      <c r="W547" s="1">
        <f>IF(Table1[[#This Row],[Claim_Amount]]&lt;0,0,Table1[[#This Row],[Claim_Amount]])</f>
        <v>3452.47</v>
      </c>
      <c r="X547" s="1">
        <f>IF(Table1[[#This Row],[Column1]]=0,"",Table1[[#This Row],[Column1]])</f>
        <v>3452.47</v>
      </c>
      <c r="Y547" s="1">
        <v>3452.47</v>
      </c>
      <c r="Z547" s="1">
        <v>3452.47</v>
      </c>
      <c r="AA547">
        <v>832</v>
      </c>
      <c r="AB547" s="1" t="s">
        <v>17</v>
      </c>
      <c r="AC547" s="1" t="s">
        <v>1093</v>
      </c>
      <c r="AD547">
        <v>9</v>
      </c>
      <c r="AE547" s="3" t="s">
        <v>37</v>
      </c>
    </row>
    <row r="548" spans="1:31" ht="15.75" customHeight="1" x14ac:dyDescent="0.35">
      <c r="A548" s="1" t="s">
        <v>108</v>
      </c>
      <c r="B548" t="s">
        <v>1083</v>
      </c>
      <c r="C548" s="1" t="s">
        <v>422</v>
      </c>
      <c r="D548" s="1" t="s">
        <v>757</v>
      </c>
      <c r="E548" s="5">
        <v>44978</v>
      </c>
      <c r="F548" s="4" t="str">
        <f>IF(ISNUMBER(Table13[[#This Row],[Claim_Date2]]),"",Table13[[#This Row],[Claim_Date2]])</f>
        <v/>
      </c>
      <c r="G548" s="4" t="s">
        <v>1098</v>
      </c>
      <c r="H548" s="4" t="str">
        <f>LEFT(Table13[[#This Row],[Values Col 1]],3)</f>
        <v/>
      </c>
      <c r="I548" s="4" t="s">
        <v>1098</v>
      </c>
      <c r="J548" s="4" t="str">
        <f>MID(Table13[[#This Row],[Function Col]],5,2)</f>
        <v/>
      </c>
      <c r="K548" s="4" t="s">
        <v>1098</v>
      </c>
      <c r="L548" s="4" t="str">
        <f>RIGHT(Table13[[#This Row],[Function Col]],4)</f>
        <v/>
      </c>
      <c r="M548" s="4" t="s">
        <v>1098</v>
      </c>
      <c r="N548" s="4" t="str">
        <f>IF(Table13[[#This Row],[Function Col5]]="","",_xlfn.CONCAT(Table13[[#This Row],[Day Col]],"/",Table13[[#This Row],[Month Col]],"/",Table13[[#This Row],[Year Col]]))</f>
        <v/>
      </c>
      <c r="O548" s="4" t="s">
        <v>1098</v>
      </c>
      <c r="P548" s="4">
        <f>IF(ISNUMBER(Table13[[#This Row],[Claim_Date2]]),Table13[[#This Row],[Claim_Date2]],Table13[[#This Row],[Function Col32]])</f>
        <v>44978</v>
      </c>
      <c r="Q548" s="4">
        <v>44978</v>
      </c>
      <c r="R548" s="1" t="s">
        <v>16</v>
      </c>
      <c r="S548" s="1" t="s">
        <v>23</v>
      </c>
      <c r="T548" s="1" t="s">
        <v>61</v>
      </c>
      <c r="U548" s="1"/>
      <c r="V548" s="1">
        <v>3829.06</v>
      </c>
      <c r="W548" s="1">
        <f>IF(Table1[[#This Row],[Claim_Amount]]&lt;0,0,Table1[[#This Row],[Claim_Amount]])</f>
        <v>3829.06</v>
      </c>
      <c r="X548" s="1">
        <f>IF(Table1[[#This Row],[Column1]]=0,"",Table1[[#This Row],[Column1]])</f>
        <v>3829.06</v>
      </c>
      <c r="Y548" s="1">
        <v>3829.06</v>
      </c>
      <c r="Z548" s="1">
        <v>3829.06</v>
      </c>
      <c r="AA548" s="1">
        <v>704.29</v>
      </c>
      <c r="AB548" s="1" t="s">
        <v>42</v>
      </c>
      <c r="AC548" s="1" t="s">
        <v>18</v>
      </c>
      <c r="AD548">
        <v>9</v>
      </c>
      <c r="AE548" s="3" t="s">
        <v>1097</v>
      </c>
    </row>
    <row r="549" spans="1:31" ht="15.75" customHeight="1" x14ac:dyDescent="0.35">
      <c r="A549" s="1" t="s">
        <v>89</v>
      </c>
      <c r="B549" s="1" t="s">
        <v>758</v>
      </c>
      <c r="C549" t="s">
        <v>1084</v>
      </c>
      <c r="D549" s="1" t="s">
        <v>759</v>
      </c>
      <c r="E549" s="5">
        <v>45289</v>
      </c>
      <c r="F549" s="4" t="str">
        <f>IF(ISNUMBER(Table13[[#This Row],[Claim_Date2]]),"",Table13[[#This Row],[Claim_Date2]])</f>
        <v/>
      </c>
      <c r="G549" s="4" t="s">
        <v>1098</v>
      </c>
      <c r="H549" s="4" t="str">
        <f>LEFT(Table13[[#This Row],[Values Col 1]],3)</f>
        <v/>
      </c>
      <c r="I549" s="4" t="s">
        <v>1098</v>
      </c>
      <c r="J549" s="4" t="str">
        <f>MID(Table13[[#This Row],[Function Col]],5,2)</f>
        <v/>
      </c>
      <c r="K549" s="4" t="s">
        <v>1098</v>
      </c>
      <c r="L549" s="4" t="str">
        <f>RIGHT(Table13[[#This Row],[Function Col]],4)</f>
        <v/>
      </c>
      <c r="M549" s="4" t="s">
        <v>1098</v>
      </c>
      <c r="N549" s="4" t="str">
        <f>IF(Table13[[#This Row],[Function Col5]]="","",_xlfn.CONCAT(Table13[[#This Row],[Day Col]],"/",Table13[[#This Row],[Month Col]],"/",Table13[[#This Row],[Year Col]]))</f>
        <v/>
      </c>
      <c r="O549" s="4" t="s">
        <v>1098</v>
      </c>
      <c r="P549" s="4">
        <f>IF(ISNUMBER(Table13[[#This Row],[Claim_Date2]]),Table13[[#This Row],[Claim_Date2]],Table13[[#This Row],[Function Col32]])</f>
        <v>45289</v>
      </c>
      <c r="Q549" s="4">
        <v>45289</v>
      </c>
      <c r="R549" s="1" t="s">
        <v>77</v>
      </c>
      <c r="S549" s="1" t="s">
        <v>47</v>
      </c>
      <c r="T549" s="1" t="s">
        <v>48</v>
      </c>
      <c r="U549" s="1"/>
      <c r="W549">
        <f>IF(Table1[[#This Row],[Claim_Amount]]&lt;0,0,Table1[[#This Row],[Claim_Amount]])</f>
        <v>0</v>
      </c>
      <c r="X549" t="str">
        <f>IF(Table1[[#This Row],[Column1]]=0,"",Table1[[#This Row],[Column1]])</f>
        <v/>
      </c>
      <c r="Y549" t="s">
        <v>1098</v>
      </c>
      <c r="Z549">
        <v>2481</v>
      </c>
      <c r="AA549" s="1">
        <v>2420.6</v>
      </c>
      <c r="AB549" s="1" t="s">
        <v>25</v>
      </c>
      <c r="AC549" s="1" t="s">
        <v>57</v>
      </c>
      <c r="AD549">
        <v>9</v>
      </c>
      <c r="AE549" s="3" t="s">
        <v>1097</v>
      </c>
    </row>
    <row r="550" spans="1:31" ht="15.75" customHeight="1" x14ac:dyDescent="0.35">
      <c r="A550" s="1" t="s">
        <v>55</v>
      </c>
      <c r="B550" s="1" t="s">
        <v>760</v>
      </c>
      <c r="C550" t="s">
        <v>1084</v>
      </c>
      <c r="D550" s="1" t="s">
        <v>432</v>
      </c>
      <c r="E550" s="5">
        <v>44979</v>
      </c>
      <c r="F550" s="4" t="str">
        <f>IF(ISNUMBER(Table13[[#This Row],[Claim_Date2]]),"",Table13[[#This Row],[Claim_Date2]])</f>
        <v/>
      </c>
      <c r="G550" s="4" t="s">
        <v>1098</v>
      </c>
      <c r="H550" s="4" t="str">
        <f>LEFT(Table13[[#This Row],[Values Col 1]],3)</f>
        <v/>
      </c>
      <c r="I550" s="4" t="s">
        <v>1098</v>
      </c>
      <c r="J550" s="4" t="str">
        <f>MID(Table13[[#This Row],[Function Col]],5,2)</f>
        <v/>
      </c>
      <c r="K550" s="4" t="s">
        <v>1098</v>
      </c>
      <c r="L550" s="4" t="str">
        <f>RIGHT(Table13[[#This Row],[Function Col]],4)</f>
        <v/>
      </c>
      <c r="M550" s="4" t="s">
        <v>1098</v>
      </c>
      <c r="N550" s="4" t="str">
        <f>IF(Table13[[#This Row],[Function Col5]]="","",_xlfn.CONCAT(Table13[[#This Row],[Day Col]],"/",Table13[[#This Row],[Month Col]],"/",Table13[[#This Row],[Year Col]]))</f>
        <v/>
      </c>
      <c r="O550" s="4" t="s">
        <v>1098</v>
      </c>
      <c r="P550" s="4">
        <f>IF(ISNUMBER(Table13[[#This Row],[Claim_Date2]]),Table13[[#This Row],[Claim_Date2]],Table13[[#This Row],[Function Col32]])</f>
        <v>44979</v>
      </c>
      <c r="Q550" s="4">
        <v>44979</v>
      </c>
      <c r="R550" s="1" t="s">
        <v>16</v>
      </c>
      <c r="S550" s="1" t="s">
        <v>93</v>
      </c>
      <c r="T550" s="1" t="s">
        <v>61</v>
      </c>
      <c r="U550" s="1"/>
      <c r="W550">
        <f>IF(Table1[[#This Row],[Claim_Amount]]&lt;0,0,Table1[[#This Row],[Claim_Amount]])</f>
        <v>0</v>
      </c>
      <c r="X550" t="str">
        <f>IF(Table1[[#This Row],[Column1]]=0,"",Table1[[#This Row],[Column1]])</f>
        <v/>
      </c>
      <c r="Y550" t="s">
        <v>1098</v>
      </c>
      <c r="Z550">
        <v>2481</v>
      </c>
      <c r="AA550">
        <v>832</v>
      </c>
      <c r="AB550" s="1" t="s">
        <v>17</v>
      </c>
      <c r="AC550" s="1" t="s">
        <v>1093</v>
      </c>
      <c r="AD550">
        <v>9</v>
      </c>
      <c r="AE550" s="3" t="s">
        <v>19</v>
      </c>
    </row>
    <row r="551" spans="1:31" ht="15.75" customHeight="1" x14ac:dyDescent="0.35">
      <c r="A551" s="1" t="s">
        <v>117</v>
      </c>
      <c r="B551" s="1" t="s">
        <v>761</v>
      </c>
      <c r="C551" s="1" t="s">
        <v>581</v>
      </c>
      <c r="D551" s="1" t="s">
        <v>762</v>
      </c>
      <c r="E551" s="5" t="s">
        <v>762</v>
      </c>
      <c r="F551" s="4" t="str">
        <f>IF(ISNUMBER(Table13[[#This Row],[Claim_Date2]]),"",Table13[[#This Row],[Claim_Date2]])</f>
        <v>Feb 09 2023</v>
      </c>
      <c r="G551" s="4" t="s">
        <v>762</v>
      </c>
      <c r="H551" s="4" t="str">
        <f>LEFT(Table13[[#This Row],[Values Col 1]],3)</f>
        <v>Feb</v>
      </c>
      <c r="I551" s="4" t="s">
        <v>1109</v>
      </c>
      <c r="J551" s="4" t="str">
        <f>MID(Table13[[#This Row],[Function Col]],5,2)</f>
        <v>09</v>
      </c>
      <c r="K551" s="4" t="s">
        <v>1127</v>
      </c>
      <c r="L551" s="4" t="str">
        <f>RIGHT(Table13[[#This Row],[Function Col]],4)</f>
        <v>2023</v>
      </c>
      <c r="M551" s="4" t="s">
        <v>1146</v>
      </c>
      <c r="N551" s="4" t="str">
        <f>IF(Table13[[#This Row],[Function Col5]]="","",_xlfn.CONCAT(Table13[[#This Row],[Day Col]],"/",Table13[[#This Row],[Month Col]],"/",Table13[[#This Row],[Year Col]]))</f>
        <v>09/Feb/2023</v>
      </c>
      <c r="O551" s="4" t="s">
        <v>1293</v>
      </c>
      <c r="P551" s="4" t="str">
        <f>IF(ISNUMBER(Table13[[#This Row],[Claim_Date2]]),Table13[[#This Row],[Claim_Date2]],Table13[[#This Row],[Function Col32]])</f>
        <v>09/Feb/2023</v>
      </c>
      <c r="Q551" s="4">
        <v>44966</v>
      </c>
      <c r="R551" s="1" t="s">
        <v>92</v>
      </c>
      <c r="S551" s="1" t="s">
        <v>23</v>
      </c>
      <c r="T551" s="1" t="s">
        <v>41</v>
      </c>
      <c r="U551" s="1"/>
      <c r="V551" s="1">
        <v>4620.43</v>
      </c>
      <c r="W551" s="1">
        <f>IF(Table1[[#This Row],[Claim_Amount]]&lt;0,0,Table1[[#This Row],[Claim_Amount]])</f>
        <v>4620.43</v>
      </c>
      <c r="X551" s="1">
        <f>IF(Table1[[#This Row],[Column1]]=0,"",Table1[[#This Row],[Column1]])</f>
        <v>4620.43</v>
      </c>
      <c r="Y551" s="1">
        <v>4620.43</v>
      </c>
      <c r="Z551" s="1">
        <v>4620.43</v>
      </c>
      <c r="AA551" s="1">
        <v>3042.31</v>
      </c>
      <c r="AB551" s="1" t="s">
        <v>25</v>
      </c>
      <c r="AC551" s="1" t="s">
        <v>57</v>
      </c>
      <c r="AD551">
        <v>9</v>
      </c>
      <c r="AE551" s="3" t="s">
        <v>65</v>
      </c>
    </row>
    <row r="552" spans="1:31" ht="15.75" customHeight="1" x14ac:dyDescent="0.35">
      <c r="A552" s="1" t="s">
        <v>275</v>
      </c>
      <c r="B552" s="1" t="s">
        <v>763</v>
      </c>
      <c r="C552" t="s">
        <v>1084</v>
      </c>
      <c r="D552" s="1" t="s">
        <v>764</v>
      </c>
      <c r="E552" s="5">
        <v>45246</v>
      </c>
      <c r="F552" s="4" t="str">
        <f>IF(ISNUMBER(Table13[[#This Row],[Claim_Date2]]),"",Table13[[#This Row],[Claim_Date2]])</f>
        <v/>
      </c>
      <c r="G552" s="4" t="s">
        <v>1098</v>
      </c>
      <c r="H552" s="4" t="str">
        <f>LEFT(Table13[[#This Row],[Values Col 1]],3)</f>
        <v/>
      </c>
      <c r="I552" s="4" t="s">
        <v>1098</v>
      </c>
      <c r="J552" s="4" t="str">
        <f>MID(Table13[[#This Row],[Function Col]],5,2)</f>
        <v/>
      </c>
      <c r="K552" s="4" t="s">
        <v>1098</v>
      </c>
      <c r="L552" s="4" t="str">
        <f>RIGHT(Table13[[#This Row],[Function Col]],4)</f>
        <v/>
      </c>
      <c r="M552" s="4" t="s">
        <v>1098</v>
      </c>
      <c r="N552" s="4" t="str">
        <f>IF(Table13[[#This Row],[Function Col5]]="","",_xlfn.CONCAT(Table13[[#This Row],[Day Col]],"/",Table13[[#This Row],[Month Col]],"/",Table13[[#This Row],[Year Col]]))</f>
        <v/>
      </c>
      <c r="O552" s="4" t="s">
        <v>1098</v>
      </c>
      <c r="P552" s="4">
        <f>IF(ISNUMBER(Table13[[#This Row],[Claim_Date2]]),Table13[[#This Row],[Claim_Date2]],Table13[[#This Row],[Function Col32]])</f>
        <v>45246</v>
      </c>
      <c r="Q552" s="4">
        <v>45246</v>
      </c>
      <c r="R552" s="1" t="s">
        <v>92</v>
      </c>
      <c r="S552" s="1" t="s">
        <v>53</v>
      </c>
      <c r="T552" t="s">
        <v>1086</v>
      </c>
      <c r="V552" s="1">
        <v>1877.11</v>
      </c>
      <c r="W552" s="1">
        <f>IF(Table1[[#This Row],[Claim_Amount]]&lt;0,0,Table1[[#This Row],[Claim_Amount]])</f>
        <v>1877.11</v>
      </c>
      <c r="X552" s="1">
        <f>IF(Table1[[#This Row],[Column1]]=0,"",Table1[[#This Row],[Column1]])</f>
        <v>1877.11</v>
      </c>
      <c r="Y552" s="1">
        <v>1877.11</v>
      </c>
      <c r="Z552" s="1">
        <v>1877.11</v>
      </c>
      <c r="AA552" s="1">
        <v>3954.84</v>
      </c>
      <c r="AB552" s="1" t="s">
        <v>17</v>
      </c>
      <c r="AC552" s="1" t="s">
        <v>32</v>
      </c>
      <c r="AD552">
        <v>9</v>
      </c>
      <c r="AE552" s="3" t="s">
        <v>37</v>
      </c>
    </row>
    <row r="553" spans="1:31" ht="15.75" customHeight="1" x14ac:dyDescent="0.35">
      <c r="A553" s="1" t="s">
        <v>168</v>
      </c>
      <c r="B553" s="1" t="s">
        <v>765</v>
      </c>
      <c r="C553" t="s">
        <v>1084</v>
      </c>
      <c r="D553" s="1" t="s">
        <v>641</v>
      </c>
      <c r="E553" s="5">
        <v>45001</v>
      </c>
      <c r="F553" s="4" t="str">
        <f>IF(ISNUMBER(Table13[[#This Row],[Claim_Date2]]),"",Table13[[#This Row],[Claim_Date2]])</f>
        <v/>
      </c>
      <c r="G553" s="4" t="s">
        <v>1098</v>
      </c>
      <c r="H553" s="4" t="str">
        <f>LEFT(Table13[[#This Row],[Values Col 1]],3)</f>
        <v/>
      </c>
      <c r="I553" s="4" t="s">
        <v>1098</v>
      </c>
      <c r="J553" s="4" t="str">
        <f>MID(Table13[[#This Row],[Function Col]],5,2)</f>
        <v/>
      </c>
      <c r="K553" s="4" t="s">
        <v>1098</v>
      </c>
      <c r="L553" s="4" t="str">
        <f>RIGHT(Table13[[#This Row],[Function Col]],4)</f>
        <v/>
      </c>
      <c r="M553" s="4" t="s">
        <v>1098</v>
      </c>
      <c r="N553" s="4" t="str">
        <f>IF(Table13[[#This Row],[Function Col5]]="","",_xlfn.CONCAT(Table13[[#This Row],[Day Col]],"/",Table13[[#This Row],[Month Col]],"/",Table13[[#This Row],[Year Col]]))</f>
        <v/>
      </c>
      <c r="O553" s="4" t="s">
        <v>1098</v>
      </c>
      <c r="P553" s="4">
        <f>IF(ISNUMBER(Table13[[#This Row],[Claim_Date2]]),Table13[[#This Row],[Claim_Date2]],Table13[[#This Row],[Function Col32]])</f>
        <v>45001</v>
      </c>
      <c r="Q553" s="4">
        <v>45001</v>
      </c>
      <c r="R553" s="1" t="s">
        <v>85</v>
      </c>
      <c r="S553" s="1" t="s">
        <v>93</v>
      </c>
      <c r="T553" s="1" t="s">
        <v>48</v>
      </c>
      <c r="U553" s="1"/>
      <c r="V553" s="1">
        <v>-136</v>
      </c>
      <c r="W553" s="1">
        <f>IF(Table1[[#This Row],[Claim_Amount]]&lt;0,0,Table1[[#This Row],[Claim_Amount]])</f>
        <v>0</v>
      </c>
      <c r="X553" s="1" t="str">
        <f>IF(Table1[[#This Row],[Column1]]=0,"",Table1[[#This Row],[Column1]])</f>
        <v/>
      </c>
      <c r="Y553" s="1" t="s">
        <v>1098</v>
      </c>
      <c r="Z553" s="1">
        <v>2481</v>
      </c>
      <c r="AA553">
        <v>832</v>
      </c>
      <c r="AB553" s="1" t="s">
        <v>1091</v>
      </c>
      <c r="AC553" s="1" t="s">
        <v>32</v>
      </c>
      <c r="AD553">
        <v>9</v>
      </c>
      <c r="AE553" s="3" t="s">
        <v>65</v>
      </c>
    </row>
    <row r="554" spans="1:31" ht="15.75" customHeight="1" x14ac:dyDescent="0.35">
      <c r="A554" s="1" t="s">
        <v>33</v>
      </c>
      <c r="B554" t="s">
        <v>1083</v>
      </c>
      <c r="C554" t="s">
        <v>1084</v>
      </c>
      <c r="D554" s="1" t="s">
        <v>766</v>
      </c>
      <c r="E554" s="5">
        <v>45201</v>
      </c>
      <c r="F554" s="4" t="str">
        <f>IF(ISNUMBER(Table13[[#This Row],[Claim_Date2]]),"",Table13[[#This Row],[Claim_Date2]])</f>
        <v/>
      </c>
      <c r="G554" s="4" t="s">
        <v>1098</v>
      </c>
      <c r="H554" s="4" t="str">
        <f>LEFT(Table13[[#This Row],[Values Col 1]],3)</f>
        <v/>
      </c>
      <c r="I554" s="4" t="s">
        <v>1098</v>
      </c>
      <c r="J554" s="4" t="str">
        <f>MID(Table13[[#This Row],[Function Col]],5,2)</f>
        <v/>
      </c>
      <c r="K554" s="4" t="s">
        <v>1098</v>
      </c>
      <c r="L554" s="4" t="str">
        <f>RIGHT(Table13[[#This Row],[Function Col]],4)</f>
        <v/>
      </c>
      <c r="M554" s="4" t="s">
        <v>1098</v>
      </c>
      <c r="N554" s="4" t="str">
        <f>IF(Table13[[#This Row],[Function Col5]]="","",_xlfn.CONCAT(Table13[[#This Row],[Day Col]],"/",Table13[[#This Row],[Month Col]],"/",Table13[[#This Row],[Year Col]]))</f>
        <v/>
      </c>
      <c r="O554" s="4" t="s">
        <v>1098</v>
      </c>
      <c r="P554" s="4">
        <f>IF(ISNUMBER(Table13[[#This Row],[Claim_Date2]]),Table13[[#This Row],[Claim_Date2]],Table13[[#This Row],[Function Col32]])</f>
        <v>45201</v>
      </c>
      <c r="Q554" s="4">
        <v>45201</v>
      </c>
      <c r="R554" s="1" t="s">
        <v>16</v>
      </c>
      <c r="S554" s="1" t="s">
        <v>47</v>
      </c>
      <c r="T554" t="s">
        <v>1086</v>
      </c>
      <c r="W554">
        <f>IF(Table1[[#This Row],[Claim_Amount]]&lt;0,0,Table1[[#This Row],[Claim_Amount]])</f>
        <v>0</v>
      </c>
      <c r="X554" t="str">
        <f>IF(Table1[[#This Row],[Column1]]=0,"",Table1[[#This Row],[Column1]])</f>
        <v/>
      </c>
      <c r="Y554" t="s">
        <v>1098</v>
      </c>
      <c r="Z554">
        <v>2481</v>
      </c>
      <c r="AA554" s="1">
        <v>3530.31</v>
      </c>
      <c r="AB554" s="1" t="s">
        <v>42</v>
      </c>
      <c r="AC554" s="1" t="s">
        <v>26</v>
      </c>
      <c r="AD554" s="1">
        <v>13</v>
      </c>
      <c r="AE554" s="3" t="s">
        <v>27</v>
      </c>
    </row>
    <row r="555" spans="1:31" ht="15.75" customHeight="1" x14ac:dyDescent="0.35">
      <c r="A555" s="1" t="s">
        <v>20</v>
      </c>
      <c r="B555" s="1" t="s">
        <v>767</v>
      </c>
      <c r="C555" s="1" t="s">
        <v>425</v>
      </c>
      <c r="D555" s="1" t="s">
        <v>768</v>
      </c>
      <c r="E555" s="5">
        <v>45111</v>
      </c>
      <c r="F555" s="4" t="str">
        <f>IF(ISNUMBER(Table13[[#This Row],[Claim_Date2]]),"",Table13[[#This Row],[Claim_Date2]])</f>
        <v/>
      </c>
      <c r="G555" s="4" t="s">
        <v>1098</v>
      </c>
      <c r="H555" s="4" t="str">
        <f>LEFT(Table13[[#This Row],[Values Col 1]],3)</f>
        <v/>
      </c>
      <c r="I555" s="4" t="s">
        <v>1098</v>
      </c>
      <c r="J555" s="4" t="str">
        <f>MID(Table13[[#This Row],[Function Col]],5,2)</f>
        <v/>
      </c>
      <c r="K555" s="4" t="s">
        <v>1098</v>
      </c>
      <c r="L555" s="4" t="str">
        <f>RIGHT(Table13[[#This Row],[Function Col]],4)</f>
        <v/>
      </c>
      <c r="M555" s="4" t="s">
        <v>1098</v>
      </c>
      <c r="N555" s="4" t="str">
        <f>IF(Table13[[#This Row],[Function Col5]]="","",_xlfn.CONCAT(Table13[[#This Row],[Day Col]],"/",Table13[[#This Row],[Month Col]],"/",Table13[[#This Row],[Year Col]]))</f>
        <v/>
      </c>
      <c r="O555" s="4" t="s">
        <v>1098</v>
      </c>
      <c r="P555" s="4">
        <f>IF(ISNUMBER(Table13[[#This Row],[Claim_Date2]]),Table13[[#This Row],[Claim_Date2]],Table13[[#This Row],[Function Col32]])</f>
        <v>45111</v>
      </c>
      <c r="Q555" s="4">
        <v>45111</v>
      </c>
      <c r="R555" s="1" t="s">
        <v>77</v>
      </c>
      <c r="S555" s="1" t="s">
        <v>93</v>
      </c>
      <c r="T555" s="1" t="s">
        <v>54</v>
      </c>
      <c r="U555" s="1"/>
      <c r="W555">
        <f>IF(Table1[[#This Row],[Claim_Amount]]&lt;0,0,Table1[[#This Row],[Claim_Amount]])</f>
        <v>0</v>
      </c>
      <c r="X555" t="str">
        <f>IF(Table1[[#This Row],[Column1]]=0,"",Table1[[#This Row],[Column1]])</f>
        <v/>
      </c>
      <c r="Y555" t="s">
        <v>1098</v>
      </c>
      <c r="Z555">
        <v>2481</v>
      </c>
      <c r="AA555" s="1">
        <v>1093.1500000000001</v>
      </c>
      <c r="AB555" s="1" t="s">
        <v>25</v>
      </c>
      <c r="AC555" s="1" t="s">
        <v>18</v>
      </c>
      <c r="AD555">
        <v>9</v>
      </c>
      <c r="AE555" s="3" t="s">
        <v>65</v>
      </c>
    </row>
    <row r="556" spans="1:31" ht="15.75" customHeight="1" x14ac:dyDescent="0.35">
      <c r="A556" s="1" t="s">
        <v>33</v>
      </c>
      <c r="B556" s="1" t="s">
        <v>769</v>
      </c>
      <c r="C556" t="s">
        <v>1084</v>
      </c>
      <c r="D556" s="1" t="s">
        <v>770</v>
      </c>
      <c r="E556" s="5">
        <v>45117</v>
      </c>
      <c r="F556" s="4" t="str">
        <f>IF(ISNUMBER(Table13[[#This Row],[Claim_Date2]]),"",Table13[[#This Row],[Claim_Date2]])</f>
        <v/>
      </c>
      <c r="G556" s="4" t="s">
        <v>1098</v>
      </c>
      <c r="H556" s="4" t="str">
        <f>LEFT(Table13[[#This Row],[Values Col 1]],3)</f>
        <v/>
      </c>
      <c r="I556" s="4" t="s">
        <v>1098</v>
      </c>
      <c r="J556" s="4" t="str">
        <f>MID(Table13[[#This Row],[Function Col]],5,2)</f>
        <v/>
      </c>
      <c r="K556" s="4" t="s">
        <v>1098</v>
      </c>
      <c r="L556" s="4" t="str">
        <f>RIGHT(Table13[[#This Row],[Function Col]],4)</f>
        <v/>
      </c>
      <c r="M556" s="4" t="s">
        <v>1098</v>
      </c>
      <c r="N556" s="4" t="str">
        <f>IF(Table13[[#This Row],[Function Col5]]="","",_xlfn.CONCAT(Table13[[#This Row],[Day Col]],"/",Table13[[#This Row],[Month Col]],"/",Table13[[#This Row],[Year Col]]))</f>
        <v/>
      </c>
      <c r="O556" s="4" t="s">
        <v>1098</v>
      </c>
      <c r="P556" s="4">
        <f>IF(ISNUMBER(Table13[[#This Row],[Claim_Date2]]),Table13[[#This Row],[Claim_Date2]],Table13[[#This Row],[Function Col32]])</f>
        <v>45117</v>
      </c>
      <c r="Q556" s="4">
        <v>45117</v>
      </c>
      <c r="R556" s="1" t="s">
        <v>16</v>
      </c>
      <c r="S556" s="1" t="s">
        <v>47</v>
      </c>
      <c r="T556" s="1" t="s">
        <v>61</v>
      </c>
      <c r="U556" s="1"/>
      <c r="W556">
        <f>IF(Table1[[#This Row],[Claim_Amount]]&lt;0,0,Table1[[#This Row],[Claim_Amount]])</f>
        <v>0</v>
      </c>
      <c r="X556" t="str">
        <f>IF(Table1[[#This Row],[Column1]]=0,"",Table1[[#This Row],[Column1]])</f>
        <v/>
      </c>
      <c r="Y556" t="s">
        <v>1098</v>
      </c>
      <c r="Z556">
        <v>2481</v>
      </c>
      <c r="AA556">
        <v>832</v>
      </c>
      <c r="AB556" s="1" t="s">
        <v>17</v>
      </c>
      <c r="AC556" s="1" t="s">
        <v>26</v>
      </c>
      <c r="AD556" s="1">
        <v>15</v>
      </c>
      <c r="AE556" s="3" t="s">
        <v>19</v>
      </c>
    </row>
    <row r="557" spans="1:31" ht="15.75" customHeight="1" x14ac:dyDescent="0.35">
      <c r="A557" s="1" t="s">
        <v>209</v>
      </c>
      <c r="B557" s="1" t="s">
        <v>771</v>
      </c>
      <c r="C557" s="1" t="s">
        <v>245</v>
      </c>
      <c r="D557" s="1" t="s">
        <v>772</v>
      </c>
      <c r="E557" s="5" t="s">
        <v>772</v>
      </c>
      <c r="F557" s="4" t="str">
        <f>IF(ISNUMBER(Table13[[#This Row],[Claim_Date2]]),"",Table13[[#This Row],[Claim_Date2]])</f>
        <v>Sep 28 2023</v>
      </c>
      <c r="G557" s="4" t="s">
        <v>772</v>
      </c>
      <c r="H557" s="4" t="str">
        <f>LEFT(Table13[[#This Row],[Values Col 1]],3)</f>
        <v>Sep</v>
      </c>
      <c r="I557" s="4" t="s">
        <v>1102</v>
      </c>
      <c r="J557" s="4" t="str">
        <f>MID(Table13[[#This Row],[Function Col]],5,2)</f>
        <v>28</v>
      </c>
      <c r="K557" s="4" t="s">
        <v>1134</v>
      </c>
      <c r="L557" s="4" t="str">
        <f>RIGHT(Table13[[#This Row],[Function Col]],4)</f>
        <v>2023</v>
      </c>
      <c r="M557" s="4" t="s">
        <v>1146</v>
      </c>
      <c r="N557" s="4" t="str">
        <f>IF(Table13[[#This Row],[Function Col5]]="","",_xlfn.CONCAT(Table13[[#This Row],[Day Col]],"/",Table13[[#This Row],[Month Col]],"/",Table13[[#This Row],[Year Col]]))</f>
        <v>28/Sep/2023</v>
      </c>
      <c r="O557" s="4" t="s">
        <v>1294</v>
      </c>
      <c r="P557" s="4" t="str">
        <f>IF(ISNUMBER(Table13[[#This Row],[Claim_Date2]]),Table13[[#This Row],[Claim_Date2]],Table13[[#This Row],[Function Col32]])</f>
        <v>28/Sep/2023</v>
      </c>
      <c r="Q557" s="4">
        <v>45197</v>
      </c>
      <c r="R557" s="1" t="s">
        <v>92</v>
      </c>
      <c r="S557" s="1" t="s">
        <v>53</v>
      </c>
      <c r="T557" s="1" t="s">
        <v>48</v>
      </c>
      <c r="U557" s="1"/>
      <c r="V557" s="1">
        <v>3626.66</v>
      </c>
      <c r="W557" s="1">
        <f>IF(Table1[[#This Row],[Claim_Amount]]&lt;0,0,Table1[[#This Row],[Claim_Amount]])</f>
        <v>3626.66</v>
      </c>
      <c r="X557" s="1">
        <f>IF(Table1[[#This Row],[Column1]]=0,"",Table1[[#This Row],[Column1]])</f>
        <v>3626.66</v>
      </c>
      <c r="Y557" s="1">
        <v>3626.66</v>
      </c>
      <c r="Z557" s="1">
        <v>3626.66</v>
      </c>
      <c r="AA557" s="1">
        <v>1469.51</v>
      </c>
      <c r="AB557" s="1" t="s">
        <v>25</v>
      </c>
      <c r="AC557" s="1" t="s">
        <v>26</v>
      </c>
      <c r="AD557" s="1">
        <v>38</v>
      </c>
      <c r="AE557" s="3" t="s">
        <v>1097</v>
      </c>
    </row>
    <row r="558" spans="1:31" ht="15.75" customHeight="1" x14ac:dyDescent="0.35">
      <c r="A558" s="1" t="s">
        <v>132</v>
      </c>
      <c r="B558" t="s">
        <v>1083</v>
      </c>
      <c r="C558" t="s">
        <v>1084</v>
      </c>
      <c r="D558" s="1" t="s">
        <v>773</v>
      </c>
      <c r="E558" s="5" t="s">
        <v>773</v>
      </c>
      <c r="F558" s="4" t="str">
        <f>IF(ISNUMBER(Table13[[#This Row],[Claim_Date2]]),"",Table13[[#This Row],[Claim_Date2]])</f>
        <v>May 13 2023</v>
      </c>
      <c r="G558" s="4" t="s">
        <v>773</v>
      </c>
      <c r="H558" s="4" t="str">
        <f>LEFT(Table13[[#This Row],[Values Col 1]],3)</f>
        <v>May</v>
      </c>
      <c r="I558" s="4" t="s">
        <v>1110</v>
      </c>
      <c r="J558" s="4" t="str">
        <f>MID(Table13[[#This Row],[Function Col]],5,2)</f>
        <v>13</v>
      </c>
      <c r="K558" s="4" t="s">
        <v>1114</v>
      </c>
      <c r="L558" s="4" t="str">
        <f>RIGHT(Table13[[#This Row],[Function Col]],4)</f>
        <v>2023</v>
      </c>
      <c r="M558" s="4" t="s">
        <v>1146</v>
      </c>
      <c r="N558" s="4" t="str">
        <f>IF(Table13[[#This Row],[Function Col5]]="","",_xlfn.CONCAT(Table13[[#This Row],[Day Col]],"/",Table13[[#This Row],[Month Col]],"/",Table13[[#This Row],[Year Col]]))</f>
        <v>13/May/2023</v>
      </c>
      <c r="O558" s="4" t="s">
        <v>1295</v>
      </c>
      <c r="P558" s="4" t="str">
        <f>IF(ISNUMBER(Table13[[#This Row],[Claim_Date2]]),Table13[[#This Row],[Claim_Date2]],Table13[[#This Row],[Function Col32]])</f>
        <v>13/May/2023</v>
      </c>
      <c r="Q558" s="4">
        <v>45059</v>
      </c>
      <c r="R558" s="1" t="s">
        <v>30</v>
      </c>
      <c r="S558" s="1" t="s">
        <v>31</v>
      </c>
      <c r="T558" t="s">
        <v>1086</v>
      </c>
      <c r="W558">
        <f>IF(Table1[[#This Row],[Claim_Amount]]&lt;0,0,Table1[[#This Row],[Claim_Amount]])</f>
        <v>0</v>
      </c>
      <c r="X558" t="str">
        <f>IF(Table1[[#This Row],[Column1]]=0,"",Table1[[#This Row],[Column1]])</f>
        <v/>
      </c>
      <c r="Y558" t="s">
        <v>1098</v>
      </c>
      <c r="Z558">
        <v>2481</v>
      </c>
      <c r="AA558">
        <v>832</v>
      </c>
      <c r="AB558" s="1" t="s">
        <v>25</v>
      </c>
      <c r="AC558" s="1" t="s">
        <v>18</v>
      </c>
      <c r="AD558" s="1">
        <v>47</v>
      </c>
      <c r="AE558" s="3" t="s">
        <v>37</v>
      </c>
    </row>
    <row r="559" spans="1:31" ht="15.75" customHeight="1" x14ac:dyDescent="0.35">
      <c r="A559" s="1" t="s">
        <v>110</v>
      </c>
      <c r="B559" s="1" t="s">
        <v>774</v>
      </c>
      <c r="C559" s="1" t="s">
        <v>331</v>
      </c>
      <c r="D559" s="1" t="s">
        <v>762</v>
      </c>
      <c r="E559" s="5" t="s">
        <v>762</v>
      </c>
      <c r="F559" s="4" t="str">
        <f>IF(ISNUMBER(Table13[[#This Row],[Claim_Date2]]),"",Table13[[#This Row],[Claim_Date2]])</f>
        <v>Feb 09 2023</v>
      </c>
      <c r="G559" s="4" t="s">
        <v>762</v>
      </c>
      <c r="H559" s="4" t="str">
        <f>LEFT(Table13[[#This Row],[Values Col 1]],3)</f>
        <v>Feb</v>
      </c>
      <c r="I559" s="4" t="s">
        <v>1109</v>
      </c>
      <c r="J559" s="4" t="str">
        <f>MID(Table13[[#This Row],[Function Col]],5,2)</f>
        <v>09</v>
      </c>
      <c r="K559" s="4" t="s">
        <v>1127</v>
      </c>
      <c r="L559" s="4" t="str">
        <f>RIGHT(Table13[[#This Row],[Function Col]],4)</f>
        <v>2023</v>
      </c>
      <c r="M559" s="4" t="s">
        <v>1146</v>
      </c>
      <c r="N559" s="4" t="str">
        <f>IF(Table13[[#This Row],[Function Col5]]="","",_xlfn.CONCAT(Table13[[#This Row],[Day Col]],"/",Table13[[#This Row],[Month Col]],"/",Table13[[#This Row],[Year Col]]))</f>
        <v>09/Feb/2023</v>
      </c>
      <c r="O559" s="4" t="s">
        <v>1293</v>
      </c>
      <c r="P559" s="4" t="str">
        <f>IF(ISNUMBER(Table13[[#This Row],[Claim_Date2]]),Table13[[#This Row],[Claim_Date2]],Table13[[#This Row],[Function Col32]])</f>
        <v>09/Feb/2023</v>
      </c>
      <c r="Q559" s="4">
        <v>44966</v>
      </c>
      <c r="R559" s="1" t="s">
        <v>77</v>
      </c>
      <c r="S559" s="1" t="s">
        <v>53</v>
      </c>
      <c r="T559" s="1" t="s">
        <v>41</v>
      </c>
      <c r="U559" s="1"/>
      <c r="V559" s="1">
        <v>-113</v>
      </c>
      <c r="W559" s="1">
        <f>IF(Table1[[#This Row],[Claim_Amount]]&lt;0,0,Table1[[#This Row],[Claim_Amount]])</f>
        <v>0</v>
      </c>
      <c r="X559" s="1" t="str">
        <f>IF(Table1[[#This Row],[Column1]]=0,"",Table1[[#This Row],[Column1]])</f>
        <v/>
      </c>
      <c r="Y559" s="1" t="s">
        <v>1098</v>
      </c>
      <c r="Z559" s="1">
        <v>2481</v>
      </c>
      <c r="AA559">
        <v>832</v>
      </c>
      <c r="AB559" s="1" t="s">
        <v>25</v>
      </c>
      <c r="AC559" s="1" t="s">
        <v>18</v>
      </c>
      <c r="AD559" s="1">
        <v>17</v>
      </c>
      <c r="AE559" s="3" t="s">
        <v>19</v>
      </c>
    </row>
    <row r="560" spans="1:31" ht="15.75" customHeight="1" x14ac:dyDescent="0.35">
      <c r="A560" s="1" t="s">
        <v>430</v>
      </c>
      <c r="B560" t="s">
        <v>1083</v>
      </c>
      <c r="C560" t="s">
        <v>1084</v>
      </c>
      <c r="D560" s="1" t="s">
        <v>775</v>
      </c>
      <c r="E560" s="5">
        <v>44941</v>
      </c>
      <c r="F560" s="4" t="str">
        <f>IF(ISNUMBER(Table13[[#This Row],[Claim_Date2]]),"",Table13[[#This Row],[Claim_Date2]])</f>
        <v/>
      </c>
      <c r="G560" s="4" t="s">
        <v>1098</v>
      </c>
      <c r="H560" s="4" t="str">
        <f>LEFT(Table13[[#This Row],[Values Col 1]],3)</f>
        <v/>
      </c>
      <c r="I560" s="4" t="s">
        <v>1098</v>
      </c>
      <c r="J560" s="4" t="str">
        <f>MID(Table13[[#This Row],[Function Col]],5,2)</f>
        <v/>
      </c>
      <c r="K560" s="4" t="s">
        <v>1098</v>
      </c>
      <c r="L560" s="4" t="str">
        <f>RIGHT(Table13[[#This Row],[Function Col]],4)</f>
        <v/>
      </c>
      <c r="M560" s="4" t="s">
        <v>1098</v>
      </c>
      <c r="N560" s="4" t="str">
        <f>IF(Table13[[#This Row],[Function Col5]]="","",_xlfn.CONCAT(Table13[[#This Row],[Day Col]],"/",Table13[[#This Row],[Month Col]],"/",Table13[[#This Row],[Year Col]]))</f>
        <v/>
      </c>
      <c r="O560" s="4" t="s">
        <v>1098</v>
      </c>
      <c r="P560" s="4">
        <f>IF(ISNUMBER(Table13[[#This Row],[Claim_Date2]]),Table13[[#This Row],[Claim_Date2]],Table13[[#This Row],[Function Col32]])</f>
        <v>44941</v>
      </c>
      <c r="Q560" s="4">
        <v>44941</v>
      </c>
      <c r="R560" s="1" t="s">
        <v>30</v>
      </c>
      <c r="S560" s="1" t="s">
        <v>23</v>
      </c>
      <c r="T560" s="1" t="s">
        <v>61</v>
      </c>
      <c r="U560" s="1"/>
      <c r="W560">
        <f>IF(Table1[[#This Row],[Claim_Amount]]&lt;0,0,Table1[[#This Row],[Claim_Amount]])</f>
        <v>0</v>
      </c>
      <c r="X560" t="str">
        <f>IF(Table1[[#This Row],[Column1]]=0,"",Table1[[#This Row],[Column1]])</f>
        <v/>
      </c>
      <c r="Y560" t="s">
        <v>1098</v>
      </c>
      <c r="Z560">
        <v>2481</v>
      </c>
      <c r="AA560" s="1">
        <v>979.33</v>
      </c>
      <c r="AB560" s="1" t="s">
        <v>25</v>
      </c>
      <c r="AC560" s="1" t="s">
        <v>18</v>
      </c>
      <c r="AD560" s="1">
        <v>17</v>
      </c>
      <c r="AE560" s="3" t="s">
        <v>1097</v>
      </c>
    </row>
    <row r="561" spans="1:31" ht="15.75" customHeight="1" x14ac:dyDescent="0.35">
      <c r="A561" s="1" t="s">
        <v>209</v>
      </c>
      <c r="B561" t="s">
        <v>1083</v>
      </c>
      <c r="C561" s="1" t="s">
        <v>642</v>
      </c>
      <c r="D561" s="1" t="s">
        <v>776</v>
      </c>
      <c r="E561" s="5">
        <v>45088</v>
      </c>
      <c r="F561" s="4" t="str">
        <f>IF(ISNUMBER(Table13[[#This Row],[Claim_Date2]]),"",Table13[[#This Row],[Claim_Date2]])</f>
        <v/>
      </c>
      <c r="G561" s="4" t="s">
        <v>1098</v>
      </c>
      <c r="H561" s="4" t="str">
        <f>LEFT(Table13[[#This Row],[Values Col 1]],3)</f>
        <v/>
      </c>
      <c r="I561" s="4" t="s">
        <v>1098</v>
      </c>
      <c r="J561" s="4" t="str">
        <f>MID(Table13[[#This Row],[Function Col]],5,2)</f>
        <v/>
      </c>
      <c r="K561" s="4" t="s">
        <v>1098</v>
      </c>
      <c r="L561" s="4" t="str">
        <f>RIGHT(Table13[[#This Row],[Function Col]],4)</f>
        <v/>
      </c>
      <c r="M561" s="4" t="s">
        <v>1098</v>
      </c>
      <c r="N561" s="4" t="str">
        <f>IF(Table13[[#This Row],[Function Col5]]="","",_xlfn.CONCAT(Table13[[#This Row],[Day Col]],"/",Table13[[#This Row],[Month Col]],"/",Table13[[#This Row],[Year Col]]))</f>
        <v/>
      </c>
      <c r="O561" s="4" t="s">
        <v>1098</v>
      </c>
      <c r="P561" s="4">
        <f>IF(ISNUMBER(Table13[[#This Row],[Claim_Date2]]),Table13[[#This Row],[Claim_Date2]],Table13[[#This Row],[Function Col32]])</f>
        <v>45088</v>
      </c>
      <c r="Q561" s="4">
        <v>45088</v>
      </c>
      <c r="R561" s="1" t="s">
        <v>16</v>
      </c>
      <c r="S561" s="1" t="s">
        <v>31</v>
      </c>
      <c r="T561" s="1" t="s">
        <v>41</v>
      </c>
      <c r="U561" s="1"/>
      <c r="W561">
        <f>IF(Table1[[#This Row],[Claim_Amount]]&lt;0,0,Table1[[#This Row],[Claim_Amount]])</f>
        <v>0</v>
      </c>
      <c r="X561" t="str">
        <f>IF(Table1[[#This Row],[Column1]]=0,"",Table1[[#This Row],[Column1]])</f>
        <v/>
      </c>
      <c r="Y561" t="s">
        <v>1098</v>
      </c>
      <c r="Z561">
        <v>2481</v>
      </c>
      <c r="AA561">
        <v>832</v>
      </c>
      <c r="AB561" s="1" t="s">
        <v>42</v>
      </c>
      <c r="AC561" s="1" t="s">
        <v>18</v>
      </c>
      <c r="AD561">
        <v>9</v>
      </c>
      <c r="AE561" s="3" t="s">
        <v>19</v>
      </c>
    </row>
    <row r="562" spans="1:31" ht="15.75" customHeight="1" x14ac:dyDescent="0.35">
      <c r="A562" s="1" t="s">
        <v>114</v>
      </c>
      <c r="B562" t="s">
        <v>1083</v>
      </c>
      <c r="C562" s="1" t="s">
        <v>613</v>
      </c>
      <c r="D562" s="1" t="s">
        <v>777</v>
      </c>
      <c r="E562" s="5" t="s">
        <v>777</v>
      </c>
      <c r="F562" s="4" t="str">
        <f>IF(ISNUMBER(Table13[[#This Row],[Claim_Date2]]),"",Table13[[#This Row],[Claim_Date2]])</f>
        <v>Jan 13 2023</v>
      </c>
      <c r="G562" s="4" t="s">
        <v>777</v>
      </c>
      <c r="H562" s="4" t="str">
        <f>LEFT(Table13[[#This Row],[Values Col 1]],3)</f>
        <v>Jan</v>
      </c>
      <c r="I562" s="4" t="s">
        <v>1107</v>
      </c>
      <c r="J562" s="4" t="str">
        <f>MID(Table13[[#This Row],[Function Col]],5,2)</f>
        <v>13</v>
      </c>
      <c r="K562" s="4" t="s">
        <v>1114</v>
      </c>
      <c r="L562" s="4" t="str">
        <f>RIGHT(Table13[[#This Row],[Function Col]],4)</f>
        <v>2023</v>
      </c>
      <c r="M562" s="4" t="s">
        <v>1146</v>
      </c>
      <c r="N562" s="4" t="str">
        <f>IF(Table13[[#This Row],[Function Col5]]="","",_xlfn.CONCAT(Table13[[#This Row],[Day Col]],"/",Table13[[#This Row],[Month Col]],"/",Table13[[#This Row],[Year Col]]))</f>
        <v>13/Jan/2023</v>
      </c>
      <c r="O562" s="4" t="s">
        <v>1296</v>
      </c>
      <c r="P562" s="4" t="str">
        <f>IF(ISNUMBER(Table13[[#This Row],[Claim_Date2]]),Table13[[#This Row],[Claim_Date2]],Table13[[#This Row],[Function Col32]])</f>
        <v>13/Jan/2023</v>
      </c>
      <c r="Q562" s="4">
        <v>44939</v>
      </c>
      <c r="R562" s="1" t="s">
        <v>85</v>
      </c>
      <c r="S562" s="1" t="s">
        <v>53</v>
      </c>
      <c r="T562" s="1" t="s">
        <v>48</v>
      </c>
      <c r="U562" s="1"/>
      <c r="W562">
        <f>IF(Table1[[#This Row],[Claim_Amount]]&lt;0,0,Table1[[#This Row],[Claim_Amount]])</f>
        <v>0</v>
      </c>
      <c r="X562" t="str">
        <f>IF(Table1[[#This Row],[Column1]]=0,"",Table1[[#This Row],[Column1]])</f>
        <v/>
      </c>
      <c r="Y562" t="s">
        <v>1098</v>
      </c>
      <c r="Z562">
        <v>2481</v>
      </c>
      <c r="AA562">
        <v>832</v>
      </c>
      <c r="AB562" s="1" t="s">
        <v>25</v>
      </c>
      <c r="AC562" s="1" t="s">
        <v>26</v>
      </c>
      <c r="AD562">
        <v>9</v>
      </c>
      <c r="AE562" s="3" t="s">
        <v>19</v>
      </c>
    </row>
    <row r="563" spans="1:31" ht="15.75" customHeight="1" x14ac:dyDescent="0.35">
      <c r="A563" s="1" t="s">
        <v>137</v>
      </c>
      <c r="B563" s="1" t="s">
        <v>778</v>
      </c>
      <c r="C563" s="1" t="s">
        <v>135</v>
      </c>
      <c r="D563" s="1" t="s">
        <v>779</v>
      </c>
      <c r="E563" s="5" t="s">
        <v>779</v>
      </c>
      <c r="F563" s="4" t="str">
        <f>IF(ISNUMBER(Table13[[#This Row],[Claim_Date2]]),"",Table13[[#This Row],[Claim_Date2]])</f>
        <v>Sep 22 2023</v>
      </c>
      <c r="G563" s="4" t="s">
        <v>779</v>
      </c>
      <c r="H563" s="4" t="str">
        <f>LEFT(Table13[[#This Row],[Values Col 1]],3)</f>
        <v>Sep</v>
      </c>
      <c r="I563" s="4" t="s">
        <v>1102</v>
      </c>
      <c r="J563" s="4" t="str">
        <f>MID(Table13[[#This Row],[Function Col]],5,2)</f>
        <v>22</v>
      </c>
      <c r="K563" s="4" t="s">
        <v>1122</v>
      </c>
      <c r="L563" s="4" t="str">
        <f>RIGHT(Table13[[#This Row],[Function Col]],4)</f>
        <v>2023</v>
      </c>
      <c r="M563" s="4" t="s">
        <v>1146</v>
      </c>
      <c r="N563" s="4" t="str">
        <f>IF(Table13[[#This Row],[Function Col5]]="","",_xlfn.CONCAT(Table13[[#This Row],[Day Col]],"/",Table13[[#This Row],[Month Col]],"/",Table13[[#This Row],[Year Col]]))</f>
        <v>22/Sep/2023</v>
      </c>
      <c r="O563" s="4" t="s">
        <v>1297</v>
      </c>
      <c r="P563" s="4" t="str">
        <f>IF(ISNUMBER(Table13[[#This Row],[Claim_Date2]]),Table13[[#This Row],[Claim_Date2]],Table13[[#This Row],[Function Col32]])</f>
        <v>22/Sep/2023</v>
      </c>
      <c r="Q563" s="4">
        <v>45191</v>
      </c>
      <c r="R563" s="1" t="s">
        <v>30</v>
      </c>
      <c r="S563" t="s">
        <v>1085</v>
      </c>
      <c r="T563" s="1" t="s">
        <v>54</v>
      </c>
      <c r="U563" s="1"/>
      <c r="V563" s="1">
        <v>-97</v>
      </c>
      <c r="W563" s="1">
        <f>IF(Table1[[#This Row],[Claim_Amount]]&lt;0,0,Table1[[#This Row],[Claim_Amount]])</f>
        <v>0</v>
      </c>
      <c r="X563" s="1" t="str">
        <f>IF(Table1[[#This Row],[Column1]]=0,"",Table1[[#This Row],[Column1]])</f>
        <v/>
      </c>
      <c r="Y563" s="1" t="s">
        <v>1098</v>
      </c>
      <c r="Z563" s="1">
        <v>2481</v>
      </c>
      <c r="AA563">
        <v>832</v>
      </c>
      <c r="AB563" s="1" t="s">
        <v>42</v>
      </c>
      <c r="AC563" s="1" t="s">
        <v>32</v>
      </c>
      <c r="AD563">
        <v>9</v>
      </c>
      <c r="AE563" s="3" t="s">
        <v>19</v>
      </c>
    </row>
    <row r="564" spans="1:31" ht="15.75" customHeight="1" x14ac:dyDescent="0.35">
      <c r="A564" s="1" t="s">
        <v>137</v>
      </c>
      <c r="B564" t="s">
        <v>1083</v>
      </c>
      <c r="C564" s="1" t="s">
        <v>447</v>
      </c>
      <c r="D564" s="1" t="s">
        <v>739</v>
      </c>
      <c r="E564" s="5">
        <v>45033</v>
      </c>
      <c r="F564" s="4" t="str">
        <f>IF(ISNUMBER(Table13[[#This Row],[Claim_Date2]]),"",Table13[[#This Row],[Claim_Date2]])</f>
        <v/>
      </c>
      <c r="G564" s="4" t="s">
        <v>1098</v>
      </c>
      <c r="H564" s="4" t="str">
        <f>LEFT(Table13[[#This Row],[Values Col 1]],3)</f>
        <v/>
      </c>
      <c r="I564" s="4" t="s">
        <v>1098</v>
      </c>
      <c r="J564" s="4" t="str">
        <f>MID(Table13[[#This Row],[Function Col]],5,2)</f>
        <v/>
      </c>
      <c r="K564" s="4" t="s">
        <v>1098</v>
      </c>
      <c r="L564" s="4" t="str">
        <f>RIGHT(Table13[[#This Row],[Function Col]],4)</f>
        <v/>
      </c>
      <c r="M564" s="4" t="s">
        <v>1098</v>
      </c>
      <c r="N564" s="4" t="str">
        <f>IF(Table13[[#This Row],[Function Col5]]="","",_xlfn.CONCAT(Table13[[#This Row],[Day Col]],"/",Table13[[#This Row],[Month Col]],"/",Table13[[#This Row],[Year Col]]))</f>
        <v/>
      </c>
      <c r="O564" s="4" t="s">
        <v>1098</v>
      </c>
      <c r="P564" s="4">
        <f>IF(ISNUMBER(Table13[[#This Row],[Claim_Date2]]),Table13[[#This Row],[Claim_Date2]],Table13[[#This Row],[Function Col32]])</f>
        <v>45033</v>
      </c>
      <c r="Q564" s="4">
        <v>45033</v>
      </c>
      <c r="R564" s="1" t="s">
        <v>85</v>
      </c>
      <c r="S564" s="1" t="s">
        <v>47</v>
      </c>
      <c r="T564" t="s">
        <v>1086</v>
      </c>
      <c r="V564" s="1">
        <v>4972.3</v>
      </c>
      <c r="W564" s="1">
        <f>IF(Table1[[#This Row],[Claim_Amount]]&lt;0,0,Table1[[#This Row],[Claim_Amount]])</f>
        <v>4972.3</v>
      </c>
      <c r="X564" s="1">
        <f>IF(Table1[[#This Row],[Column1]]=0,"",Table1[[#This Row],[Column1]])</f>
        <v>4972.3</v>
      </c>
      <c r="Y564" s="1">
        <v>4972.3</v>
      </c>
      <c r="Z564" s="1">
        <v>4972.3</v>
      </c>
      <c r="AA564">
        <v>832</v>
      </c>
      <c r="AB564" s="1" t="s">
        <v>1091</v>
      </c>
      <c r="AC564" s="1" t="s">
        <v>26</v>
      </c>
      <c r="AD564" s="1">
        <v>31</v>
      </c>
      <c r="AE564" s="3" t="s">
        <v>37</v>
      </c>
    </row>
    <row r="565" spans="1:31" ht="15.75" customHeight="1" x14ac:dyDescent="0.35">
      <c r="A565" s="1" t="s">
        <v>58</v>
      </c>
      <c r="B565" t="s">
        <v>1083</v>
      </c>
      <c r="C565" s="1" t="s">
        <v>491</v>
      </c>
      <c r="D565" s="1" t="s">
        <v>344</v>
      </c>
      <c r="E565" s="5">
        <v>45222</v>
      </c>
      <c r="F565" s="4" t="str">
        <f>IF(ISNUMBER(Table13[[#This Row],[Claim_Date2]]),"",Table13[[#This Row],[Claim_Date2]])</f>
        <v/>
      </c>
      <c r="G565" s="4" t="s">
        <v>1098</v>
      </c>
      <c r="H565" s="4" t="str">
        <f>LEFT(Table13[[#This Row],[Values Col 1]],3)</f>
        <v/>
      </c>
      <c r="I565" s="4" t="s">
        <v>1098</v>
      </c>
      <c r="J565" s="4" t="str">
        <f>MID(Table13[[#This Row],[Function Col]],5,2)</f>
        <v/>
      </c>
      <c r="K565" s="4" t="s">
        <v>1098</v>
      </c>
      <c r="L565" s="4" t="str">
        <f>RIGHT(Table13[[#This Row],[Function Col]],4)</f>
        <v/>
      </c>
      <c r="M565" s="4" t="s">
        <v>1098</v>
      </c>
      <c r="N565" s="4" t="str">
        <f>IF(Table13[[#This Row],[Function Col5]]="","",_xlfn.CONCAT(Table13[[#This Row],[Day Col]],"/",Table13[[#This Row],[Month Col]],"/",Table13[[#This Row],[Year Col]]))</f>
        <v/>
      </c>
      <c r="O565" s="4" t="s">
        <v>1098</v>
      </c>
      <c r="P565" s="4">
        <f>IF(ISNUMBER(Table13[[#This Row],[Claim_Date2]]),Table13[[#This Row],[Claim_Date2]],Table13[[#This Row],[Function Col32]])</f>
        <v>45222</v>
      </c>
      <c r="Q565" s="4">
        <v>45222</v>
      </c>
      <c r="R565" s="1" t="s">
        <v>16</v>
      </c>
      <c r="S565" s="1" t="s">
        <v>23</v>
      </c>
      <c r="T565" s="1" t="s">
        <v>24</v>
      </c>
      <c r="U565" s="1"/>
      <c r="W565">
        <f>IF(Table1[[#This Row],[Claim_Amount]]&lt;0,0,Table1[[#This Row],[Claim_Amount]])</f>
        <v>0</v>
      </c>
      <c r="X565" t="str">
        <f>IF(Table1[[#This Row],[Column1]]=0,"",Table1[[#This Row],[Column1]])</f>
        <v/>
      </c>
      <c r="Y565" t="s">
        <v>1098</v>
      </c>
      <c r="Z565">
        <v>2481</v>
      </c>
      <c r="AA565">
        <v>832</v>
      </c>
      <c r="AB565" s="1" t="s">
        <v>25</v>
      </c>
      <c r="AC565" s="1" t="s">
        <v>18</v>
      </c>
      <c r="AD565" s="1">
        <v>60</v>
      </c>
      <c r="AE565" s="3" t="s">
        <v>1097</v>
      </c>
    </row>
    <row r="566" spans="1:31" ht="15.75" customHeight="1" x14ac:dyDescent="0.35">
      <c r="A566" s="1" t="s">
        <v>117</v>
      </c>
      <c r="B566" t="s">
        <v>1083</v>
      </c>
      <c r="C566" t="s">
        <v>1084</v>
      </c>
      <c r="D566" s="1" t="s">
        <v>473</v>
      </c>
      <c r="E566" s="5">
        <v>45136</v>
      </c>
      <c r="F566" s="4" t="str">
        <f>IF(ISNUMBER(Table13[[#This Row],[Claim_Date2]]),"",Table13[[#This Row],[Claim_Date2]])</f>
        <v/>
      </c>
      <c r="G566" s="4" t="s">
        <v>1098</v>
      </c>
      <c r="H566" s="4" t="str">
        <f>LEFT(Table13[[#This Row],[Values Col 1]],3)</f>
        <v/>
      </c>
      <c r="I566" s="4" t="s">
        <v>1098</v>
      </c>
      <c r="J566" s="4" t="str">
        <f>MID(Table13[[#This Row],[Function Col]],5,2)</f>
        <v/>
      </c>
      <c r="K566" s="4" t="s">
        <v>1098</v>
      </c>
      <c r="L566" s="4" t="str">
        <f>RIGHT(Table13[[#This Row],[Function Col]],4)</f>
        <v/>
      </c>
      <c r="M566" s="4" t="s">
        <v>1098</v>
      </c>
      <c r="N566" s="4" t="str">
        <f>IF(Table13[[#This Row],[Function Col5]]="","",_xlfn.CONCAT(Table13[[#This Row],[Day Col]],"/",Table13[[#This Row],[Month Col]],"/",Table13[[#This Row],[Year Col]]))</f>
        <v/>
      </c>
      <c r="O566" s="4" t="s">
        <v>1098</v>
      </c>
      <c r="P566" s="4">
        <f>IF(ISNUMBER(Table13[[#This Row],[Claim_Date2]]),Table13[[#This Row],[Claim_Date2]],Table13[[#This Row],[Function Col32]])</f>
        <v>45136</v>
      </c>
      <c r="Q566" s="4">
        <v>45136</v>
      </c>
      <c r="R566" s="1" t="s">
        <v>77</v>
      </c>
      <c r="S566" s="1" t="s">
        <v>31</v>
      </c>
      <c r="T566" s="1" t="s">
        <v>54</v>
      </c>
      <c r="U566" s="1"/>
      <c r="W566">
        <f>IF(Table1[[#This Row],[Claim_Amount]]&lt;0,0,Table1[[#This Row],[Claim_Amount]])</f>
        <v>0</v>
      </c>
      <c r="X566" t="str">
        <f>IF(Table1[[#This Row],[Column1]]=0,"",Table1[[#This Row],[Column1]])</f>
        <v/>
      </c>
      <c r="Y566" t="s">
        <v>1098</v>
      </c>
      <c r="Z566">
        <v>2481</v>
      </c>
      <c r="AA566">
        <v>832</v>
      </c>
      <c r="AB566" s="1" t="s">
        <v>1091</v>
      </c>
      <c r="AC566" s="1" t="s">
        <v>1093</v>
      </c>
      <c r="AD566">
        <v>9</v>
      </c>
      <c r="AE566" s="3" t="s">
        <v>19</v>
      </c>
    </row>
    <row r="567" spans="1:31" ht="15.75" customHeight="1" x14ac:dyDescent="0.35">
      <c r="A567" s="1" t="s">
        <v>110</v>
      </c>
      <c r="B567" s="1" t="s">
        <v>578</v>
      </c>
      <c r="C567" s="1" t="s">
        <v>278</v>
      </c>
      <c r="D567" s="1" t="s">
        <v>569</v>
      </c>
      <c r="E567" s="5">
        <v>45285</v>
      </c>
      <c r="F567" s="4" t="str">
        <f>IF(ISNUMBER(Table13[[#This Row],[Claim_Date2]]),"",Table13[[#This Row],[Claim_Date2]])</f>
        <v/>
      </c>
      <c r="G567" s="4" t="s">
        <v>1098</v>
      </c>
      <c r="H567" s="4" t="str">
        <f>LEFT(Table13[[#This Row],[Values Col 1]],3)</f>
        <v/>
      </c>
      <c r="I567" s="4" t="s">
        <v>1098</v>
      </c>
      <c r="J567" s="4" t="str">
        <f>MID(Table13[[#This Row],[Function Col]],5,2)</f>
        <v/>
      </c>
      <c r="K567" s="4" t="s">
        <v>1098</v>
      </c>
      <c r="L567" s="4" t="str">
        <f>RIGHT(Table13[[#This Row],[Function Col]],4)</f>
        <v/>
      </c>
      <c r="M567" s="4" t="s">
        <v>1098</v>
      </c>
      <c r="N567" s="4" t="str">
        <f>IF(Table13[[#This Row],[Function Col5]]="","",_xlfn.CONCAT(Table13[[#This Row],[Day Col]],"/",Table13[[#This Row],[Month Col]],"/",Table13[[#This Row],[Year Col]]))</f>
        <v/>
      </c>
      <c r="O567" s="4" t="s">
        <v>1098</v>
      </c>
      <c r="P567" s="4">
        <f>IF(ISNUMBER(Table13[[#This Row],[Claim_Date2]]),Table13[[#This Row],[Claim_Date2]],Table13[[#This Row],[Function Col32]])</f>
        <v>45285</v>
      </c>
      <c r="Q567" s="4">
        <v>45285</v>
      </c>
      <c r="R567" s="1" t="s">
        <v>85</v>
      </c>
      <c r="S567" s="1" t="s">
        <v>23</v>
      </c>
      <c r="T567" s="1" t="s">
        <v>41</v>
      </c>
      <c r="U567" s="1"/>
      <c r="V567" s="1">
        <v>-155</v>
      </c>
      <c r="W567" s="1">
        <f>IF(Table1[[#This Row],[Claim_Amount]]&lt;0,0,Table1[[#This Row],[Claim_Amount]])</f>
        <v>0</v>
      </c>
      <c r="X567" s="1" t="str">
        <f>IF(Table1[[#This Row],[Column1]]=0,"",Table1[[#This Row],[Column1]])</f>
        <v/>
      </c>
      <c r="Y567" s="1" t="s">
        <v>1098</v>
      </c>
      <c r="Z567" s="1">
        <v>2481</v>
      </c>
      <c r="AA567" s="1">
        <v>4276.45</v>
      </c>
      <c r="AB567" s="1" t="s">
        <v>25</v>
      </c>
      <c r="AC567" s="1" t="s">
        <v>1093</v>
      </c>
      <c r="AD567" s="1">
        <v>42</v>
      </c>
      <c r="AE567" s="3" t="s">
        <v>27</v>
      </c>
    </row>
    <row r="568" spans="1:31" ht="15.75" customHeight="1" x14ac:dyDescent="0.35">
      <c r="A568" s="1" t="s">
        <v>173</v>
      </c>
      <c r="B568" t="s">
        <v>1083</v>
      </c>
      <c r="C568" t="s">
        <v>1084</v>
      </c>
      <c r="D568" s="1" t="s">
        <v>780</v>
      </c>
      <c r="E568" s="5" t="s">
        <v>780</v>
      </c>
      <c r="F568" s="4" t="str">
        <f>IF(ISNUMBER(Table13[[#This Row],[Claim_Date2]]),"",Table13[[#This Row],[Claim_Date2]])</f>
        <v>Apr 03 2023</v>
      </c>
      <c r="G568" s="4" t="s">
        <v>780</v>
      </c>
      <c r="H568" s="4" t="str">
        <f>LEFT(Table13[[#This Row],[Values Col 1]],3)</f>
        <v>Apr</v>
      </c>
      <c r="I568" s="4" t="s">
        <v>1104</v>
      </c>
      <c r="J568" s="4" t="str">
        <f>MID(Table13[[#This Row],[Function Col]],5,2)</f>
        <v>03</v>
      </c>
      <c r="K568" s="4" t="s">
        <v>1141</v>
      </c>
      <c r="L568" s="4" t="str">
        <f>RIGHT(Table13[[#This Row],[Function Col]],4)</f>
        <v>2023</v>
      </c>
      <c r="M568" s="4" t="s">
        <v>1146</v>
      </c>
      <c r="N568" s="4" t="str">
        <f>IF(Table13[[#This Row],[Function Col5]]="","",_xlfn.CONCAT(Table13[[#This Row],[Day Col]],"/",Table13[[#This Row],[Month Col]],"/",Table13[[#This Row],[Year Col]]))</f>
        <v>03/Apr/2023</v>
      </c>
      <c r="O568" s="4" t="s">
        <v>1298</v>
      </c>
      <c r="P568" s="4" t="str">
        <f>IF(ISNUMBER(Table13[[#This Row],[Claim_Date2]]),Table13[[#This Row],[Claim_Date2]],Table13[[#This Row],[Function Col32]])</f>
        <v>03/Apr/2023</v>
      </c>
      <c r="Q568" s="4">
        <v>45019</v>
      </c>
      <c r="R568" s="1" t="s">
        <v>16</v>
      </c>
      <c r="S568" s="1" t="s">
        <v>53</v>
      </c>
      <c r="T568" s="1" t="s">
        <v>48</v>
      </c>
      <c r="U568" s="1"/>
      <c r="V568" s="1">
        <v>1037.3800000000001</v>
      </c>
      <c r="W568" s="1">
        <f>IF(Table1[[#This Row],[Claim_Amount]]&lt;0,0,Table1[[#This Row],[Claim_Amount]])</f>
        <v>1037.3800000000001</v>
      </c>
      <c r="X568" s="1">
        <f>IF(Table1[[#This Row],[Column1]]=0,"",Table1[[#This Row],[Column1]])</f>
        <v>1037.3800000000001</v>
      </c>
      <c r="Y568" s="1">
        <v>1037.3800000000001</v>
      </c>
      <c r="Z568" s="1">
        <v>1037.3800000000001</v>
      </c>
      <c r="AA568">
        <v>832</v>
      </c>
      <c r="AB568" s="1" t="s">
        <v>25</v>
      </c>
      <c r="AC568" s="1" t="s">
        <v>18</v>
      </c>
      <c r="AD568">
        <v>9</v>
      </c>
      <c r="AE568" s="3" t="s">
        <v>37</v>
      </c>
    </row>
    <row r="569" spans="1:31" ht="15.75" customHeight="1" x14ac:dyDescent="0.35">
      <c r="A569" s="1" t="s">
        <v>55</v>
      </c>
      <c r="B569" t="s">
        <v>1083</v>
      </c>
      <c r="C569" s="1" t="s">
        <v>469</v>
      </c>
      <c r="D569" s="1" t="s">
        <v>556</v>
      </c>
      <c r="E569" s="5">
        <v>45167</v>
      </c>
      <c r="F569" s="4" t="str">
        <f>IF(ISNUMBER(Table13[[#This Row],[Claim_Date2]]),"",Table13[[#This Row],[Claim_Date2]])</f>
        <v/>
      </c>
      <c r="G569" s="4" t="s">
        <v>1098</v>
      </c>
      <c r="H569" s="4" t="str">
        <f>LEFT(Table13[[#This Row],[Values Col 1]],3)</f>
        <v/>
      </c>
      <c r="I569" s="4" t="s">
        <v>1098</v>
      </c>
      <c r="J569" s="4" t="str">
        <f>MID(Table13[[#This Row],[Function Col]],5,2)</f>
        <v/>
      </c>
      <c r="K569" s="4" t="s">
        <v>1098</v>
      </c>
      <c r="L569" s="4" t="str">
        <f>RIGHT(Table13[[#This Row],[Function Col]],4)</f>
        <v/>
      </c>
      <c r="M569" s="4" t="s">
        <v>1098</v>
      </c>
      <c r="N569" s="4" t="str">
        <f>IF(Table13[[#This Row],[Function Col5]]="","",_xlfn.CONCAT(Table13[[#This Row],[Day Col]],"/",Table13[[#This Row],[Month Col]],"/",Table13[[#This Row],[Year Col]]))</f>
        <v/>
      </c>
      <c r="O569" s="4" t="s">
        <v>1098</v>
      </c>
      <c r="P569" s="4">
        <f>IF(ISNUMBER(Table13[[#This Row],[Claim_Date2]]),Table13[[#This Row],[Claim_Date2]],Table13[[#This Row],[Function Col32]])</f>
        <v>45167</v>
      </c>
      <c r="Q569" s="4">
        <v>45167</v>
      </c>
      <c r="R569" s="1" t="s">
        <v>92</v>
      </c>
      <c r="S569" s="1" t="s">
        <v>47</v>
      </c>
      <c r="T569" s="1" t="s">
        <v>61</v>
      </c>
      <c r="U569" s="1"/>
      <c r="V569" s="1">
        <v>4939.66</v>
      </c>
      <c r="W569" s="1">
        <f>IF(Table1[[#This Row],[Claim_Amount]]&lt;0,0,Table1[[#This Row],[Claim_Amount]])</f>
        <v>4939.66</v>
      </c>
      <c r="X569" s="1">
        <f>IF(Table1[[#This Row],[Column1]]=0,"",Table1[[#This Row],[Column1]])</f>
        <v>4939.66</v>
      </c>
      <c r="Y569" s="1">
        <v>4939.66</v>
      </c>
      <c r="Z569" s="1">
        <v>4939.66</v>
      </c>
      <c r="AA569">
        <v>832</v>
      </c>
      <c r="AB569" s="1" t="s">
        <v>25</v>
      </c>
      <c r="AC569" s="1" t="s">
        <v>1093</v>
      </c>
      <c r="AD569" s="1">
        <v>13</v>
      </c>
      <c r="AE569" s="3" t="s">
        <v>65</v>
      </c>
    </row>
    <row r="570" spans="1:31" ht="15.75" customHeight="1" x14ac:dyDescent="0.35">
      <c r="A570" s="1" t="s">
        <v>105</v>
      </c>
      <c r="B570" t="s">
        <v>1083</v>
      </c>
      <c r="C570" t="s">
        <v>1084</v>
      </c>
      <c r="D570" s="1" t="s">
        <v>781</v>
      </c>
      <c r="E570" s="5">
        <v>45056</v>
      </c>
      <c r="F570" s="4" t="str">
        <f>IF(ISNUMBER(Table13[[#This Row],[Claim_Date2]]),"",Table13[[#This Row],[Claim_Date2]])</f>
        <v/>
      </c>
      <c r="G570" s="4" t="s">
        <v>1098</v>
      </c>
      <c r="H570" s="4" t="str">
        <f>LEFT(Table13[[#This Row],[Values Col 1]],3)</f>
        <v/>
      </c>
      <c r="I570" s="4" t="s">
        <v>1098</v>
      </c>
      <c r="J570" s="4" t="str">
        <f>MID(Table13[[#This Row],[Function Col]],5,2)</f>
        <v/>
      </c>
      <c r="K570" s="4" t="s">
        <v>1098</v>
      </c>
      <c r="L570" s="4" t="str">
        <f>RIGHT(Table13[[#This Row],[Function Col]],4)</f>
        <v/>
      </c>
      <c r="M570" s="4" t="s">
        <v>1098</v>
      </c>
      <c r="N570" s="4" t="str">
        <f>IF(Table13[[#This Row],[Function Col5]]="","",_xlfn.CONCAT(Table13[[#This Row],[Day Col]],"/",Table13[[#This Row],[Month Col]],"/",Table13[[#This Row],[Year Col]]))</f>
        <v/>
      </c>
      <c r="O570" s="4" t="s">
        <v>1098</v>
      </c>
      <c r="P570" s="4">
        <f>IF(ISNUMBER(Table13[[#This Row],[Claim_Date2]]),Table13[[#This Row],[Claim_Date2]],Table13[[#This Row],[Function Col32]])</f>
        <v>45056</v>
      </c>
      <c r="Q570" s="4">
        <v>45056</v>
      </c>
      <c r="R570" s="1" t="s">
        <v>85</v>
      </c>
      <c r="S570" s="1" t="s">
        <v>23</v>
      </c>
      <c r="T570" s="1" t="s">
        <v>41</v>
      </c>
      <c r="U570" s="1"/>
      <c r="V570" s="1">
        <v>-86</v>
      </c>
      <c r="W570" s="1">
        <f>IF(Table1[[#This Row],[Claim_Amount]]&lt;0,0,Table1[[#This Row],[Claim_Amount]])</f>
        <v>0</v>
      </c>
      <c r="X570" s="1" t="str">
        <f>IF(Table1[[#This Row],[Column1]]=0,"",Table1[[#This Row],[Column1]])</f>
        <v/>
      </c>
      <c r="Y570" s="1" t="s">
        <v>1098</v>
      </c>
      <c r="Z570" s="1">
        <v>2481</v>
      </c>
      <c r="AA570">
        <v>832</v>
      </c>
      <c r="AB570" s="1" t="s">
        <v>17</v>
      </c>
      <c r="AC570" s="1" t="s">
        <v>32</v>
      </c>
      <c r="AD570" s="1">
        <v>11</v>
      </c>
      <c r="AE570" s="3" t="s">
        <v>19</v>
      </c>
    </row>
    <row r="571" spans="1:31" ht="15.75" customHeight="1" x14ac:dyDescent="0.35">
      <c r="A571" s="1" t="s">
        <v>62</v>
      </c>
      <c r="B571" t="s">
        <v>1083</v>
      </c>
      <c r="C571" s="1" t="s">
        <v>632</v>
      </c>
      <c r="D571" s="1" t="s">
        <v>782</v>
      </c>
      <c r="E571" s="5">
        <v>45141</v>
      </c>
      <c r="F571" s="4" t="str">
        <f>IF(ISNUMBER(Table13[[#This Row],[Claim_Date2]]),"",Table13[[#This Row],[Claim_Date2]])</f>
        <v/>
      </c>
      <c r="G571" s="4" t="s">
        <v>1098</v>
      </c>
      <c r="H571" s="4" t="str">
        <f>LEFT(Table13[[#This Row],[Values Col 1]],3)</f>
        <v/>
      </c>
      <c r="I571" s="4" t="s">
        <v>1098</v>
      </c>
      <c r="J571" s="4" t="str">
        <f>MID(Table13[[#This Row],[Function Col]],5,2)</f>
        <v/>
      </c>
      <c r="K571" s="4" t="s">
        <v>1098</v>
      </c>
      <c r="L571" s="4" t="str">
        <f>RIGHT(Table13[[#This Row],[Function Col]],4)</f>
        <v/>
      </c>
      <c r="M571" s="4" t="s">
        <v>1098</v>
      </c>
      <c r="N571" s="4" t="str">
        <f>IF(Table13[[#This Row],[Function Col5]]="","",_xlfn.CONCAT(Table13[[#This Row],[Day Col]],"/",Table13[[#This Row],[Month Col]],"/",Table13[[#This Row],[Year Col]]))</f>
        <v/>
      </c>
      <c r="O571" s="4" t="s">
        <v>1098</v>
      </c>
      <c r="P571" s="4">
        <f>IF(ISNUMBER(Table13[[#This Row],[Claim_Date2]]),Table13[[#This Row],[Claim_Date2]],Table13[[#This Row],[Function Col32]])</f>
        <v>45141</v>
      </c>
      <c r="Q571" s="4">
        <v>45141</v>
      </c>
      <c r="R571" s="1" t="s">
        <v>30</v>
      </c>
      <c r="S571" t="s">
        <v>1085</v>
      </c>
      <c r="T571" s="1" t="s">
        <v>24</v>
      </c>
      <c r="U571" s="1"/>
      <c r="W571">
        <f>IF(Table1[[#This Row],[Claim_Amount]]&lt;0,0,Table1[[#This Row],[Claim_Amount]])</f>
        <v>0</v>
      </c>
      <c r="X571" t="str">
        <f>IF(Table1[[#This Row],[Column1]]=0,"",Table1[[#This Row],[Column1]])</f>
        <v/>
      </c>
      <c r="Y571" t="s">
        <v>1098</v>
      </c>
      <c r="Z571">
        <v>2481</v>
      </c>
      <c r="AA571">
        <v>832</v>
      </c>
      <c r="AB571" s="1" t="s">
        <v>25</v>
      </c>
      <c r="AC571" s="1" t="s">
        <v>26</v>
      </c>
      <c r="AD571">
        <v>9</v>
      </c>
      <c r="AE571" s="3" t="s">
        <v>65</v>
      </c>
    </row>
    <row r="572" spans="1:31" ht="15.75" customHeight="1" x14ac:dyDescent="0.35">
      <c r="A572" s="1" t="s">
        <v>430</v>
      </c>
      <c r="B572" t="s">
        <v>1083</v>
      </c>
      <c r="C572" s="1" t="s">
        <v>221</v>
      </c>
      <c r="D572" s="1" t="s">
        <v>783</v>
      </c>
      <c r="E572" s="5">
        <v>45092</v>
      </c>
      <c r="F572" s="4" t="str">
        <f>IF(ISNUMBER(Table13[[#This Row],[Claim_Date2]]),"",Table13[[#This Row],[Claim_Date2]])</f>
        <v/>
      </c>
      <c r="G572" s="4" t="s">
        <v>1098</v>
      </c>
      <c r="H572" s="4" t="str">
        <f>LEFT(Table13[[#This Row],[Values Col 1]],3)</f>
        <v/>
      </c>
      <c r="I572" s="4" t="s">
        <v>1098</v>
      </c>
      <c r="J572" s="4" t="str">
        <f>MID(Table13[[#This Row],[Function Col]],5,2)</f>
        <v/>
      </c>
      <c r="K572" s="4" t="s">
        <v>1098</v>
      </c>
      <c r="L572" s="4" t="str">
        <f>RIGHT(Table13[[#This Row],[Function Col]],4)</f>
        <v/>
      </c>
      <c r="M572" s="4" t="s">
        <v>1098</v>
      </c>
      <c r="N572" s="4" t="str">
        <f>IF(Table13[[#This Row],[Function Col5]]="","",_xlfn.CONCAT(Table13[[#This Row],[Day Col]],"/",Table13[[#This Row],[Month Col]],"/",Table13[[#This Row],[Year Col]]))</f>
        <v/>
      </c>
      <c r="O572" s="4" t="s">
        <v>1098</v>
      </c>
      <c r="P572" s="4">
        <f>IF(ISNUMBER(Table13[[#This Row],[Claim_Date2]]),Table13[[#This Row],[Claim_Date2]],Table13[[#This Row],[Function Col32]])</f>
        <v>45092</v>
      </c>
      <c r="Q572" s="4">
        <v>45092</v>
      </c>
      <c r="R572" s="1" t="s">
        <v>85</v>
      </c>
      <c r="S572" s="1" t="s">
        <v>53</v>
      </c>
      <c r="T572" s="1" t="s">
        <v>24</v>
      </c>
      <c r="U572" s="1"/>
      <c r="V572" s="1">
        <v>2522.2600000000002</v>
      </c>
      <c r="W572" s="1">
        <f>IF(Table1[[#This Row],[Claim_Amount]]&lt;0,0,Table1[[#This Row],[Claim_Amount]])</f>
        <v>2522.2600000000002</v>
      </c>
      <c r="X572" s="1">
        <f>IF(Table1[[#This Row],[Column1]]=0,"",Table1[[#This Row],[Column1]])</f>
        <v>2522.2600000000002</v>
      </c>
      <c r="Y572" s="1">
        <v>2522.2600000000002</v>
      </c>
      <c r="Z572" s="1">
        <v>2522.2600000000002</v>
      </c>
      <c r="AA572">
        <v>832</v>
      </c>
      <c r="AB572" s="1" t="s">
        <v>25</v>
      </c>
      <c r="AC572" s="1" t="s">
        <v>32</v>
      </c>
      <c r="AD572">
        <v>9</v>
      </c>
      <c r="AE572" s="3" t="s">
        <v>19</v>
      </c>
    </row>
    <row r="573" spans="1:31" ht="15.75" customHeight="1" x14ac:dyDescent="0.35">
      <c r="A573" s="1" t="s">
        <v>215</v>
      </c>
      <c r="B573" t="s">
        <v>1083</v>
      </c>
      <c r="C573" s="1" t="s">
        <v>232</v>
      </c>
      <c r="D573" s="1" t="s">
        <v>712</v>
      </c>
      <c r="E573" s="5">
        <v>45038</v>
      </c>
      <c r="F573" s="4" t="str">
        <f>IF(ISNUMBER(Table13[[#This Row],[Claim_Date2]]),"",Table13[[#This Row],[Claim_Date2]])</f>
        <v/>
      </c>
      <c r="G573" s="4" t="s">
        <v>1098</v>
      </c>
      <c r="H573" s="4" t="str">
        <f>LEFT(Table13[[#This Row],[Values Col 1]],3)</f>
        <v/>
      </c>
      <c r="I573" s="4" t="s">
        <v>1098</v>
      </c>
      <c r="J573" s="4" t="str">
        <f>MID(Table13[[#This Row],[Function Col]],5,2)</f>
        <v/>
      </c>
      <c r="K573" s="4" t="s">
        <v>1098</v>
      </c>
      <c r="L573" s="4" t="str">
        <f>RIGHT(Table13[[#This Row],[Function Col]],4)</f>
        <v/>
      </c>
      <c r="M573" s="4" t="s">
        <v>1098</v>
      </c>
      <c r="N573" s="4" t="str">
        <f>IF(Table13[[#This Row],[Function Col5]]="","",_xlfn.CONCAT(Table13[[#This Row],[Day Col]],"/",Table13[[#This Row],[Month Col]],"/",Table13[[#This Row],[Year Col]]))</f>
        <v/>
      </c>
      <c r="O573" s="4" t="s">
        <v>1098</v>
      </c>
      <c r="P573" s="4">
        <f>IF(ISNUMBER(Table13[[#This Row],[Claim_Date2]]),Table13[[#This Row],[Claim_Date2]],Table13[[#This Row],[Function Col32]])</f>
        <v>45038</v>
      </c>
      <c r="Q573" s="4">
        <v>45038</v>
      </c>
      <c r="R573" s="1" t="s">
        <v>16</v>
      </c>
      <c r="S573" s="1" t="s">
        <v>47</v>
      </c>
      <c r="T573" s="1" t="s">
        <v>24</v>
      </c>
      <c r="U573" s="1"/>
      <c r="W573">
        <f>IF(Table1[[#This Row],[Claim_Amount]]&lt;0,0,Table1[[#This Row],[Claim_Amount]])</f>
        <v>0</v>
      </c>
      <c r="X573" t="str">
        <f>IF(Table1[[#This Row],[Column1]]=0,"",Table1[[#This Row],[Column1]])</f>
        <v/>
      </c>
      <c r="Y573" t="s">
        <v>1098</v>
      </c>
      <c r="Z573">
        <v>2481</v>
      </c>
      <c r="AA573" s="1">
        <v>1088.33</v>
      </c>
      <c r="AB573" s="1" t="s">
        <v>1091</v>
      </c>
      <c r="AC573" s="1" t="s">
        <v>26</v>
      </c>
      <c r="AD573">
        <v>9</v>
      </c>
      <c r="AE573" s="3" t="s">
        <v>19</v>
      </c>
    </row>
    <row r="574" spans="1:31" ht="15.75" customHeight="1" x14ac:dyDescent="0.35">
      <c r="A574" s="1" t="s">
        <v>192</v>
      </c>
      <c r="B574" t="s">
        <v>1083</v>
      </c>
      <c r="C574" t="s">
        <v>1084</v>
      </c>
      <c r="D574" s="1" t="s">
        <v>784</v>
      </c>
      <c r="E574" s="5">
        <v>45160</v>
      </c>
      <c r="F574" s="4" t="str">
        <f>IF(ISNUMBER(Table13[[#This Row],[Claim_Date2]]),"",Table13[[#This Row],[Claim_Date2]])</f>
        <v/>
      </c>
      <c r="G574" s="4" t="s">
        <v>1098</v>
      </c>
      <c r="H574" s="4" t="str">
        <f>LEFT(Table13[[#This Row],[Values Col 1]],3)</f>
        <v/>
      </c>
      <c r="I574" s="4" t="s">
        <v>1098</v>
      </c>
      <c r="J574" s="4" t="str">
        <f>MID(Table13[[#This Row],[Function Col]],5,2)</f>
        <v/>
      </c>
      <c r="K574" s="4" t="s">
        <v>1098</v>
      </c>
      <c r="L574" s="4" t="str">
        <f>RIGHT(Table13[[#This Row],[Function Col]],4)</f>
        <v/>
      </c>
      <c r="M574" s="4" t="s">
        <v>1098</v>
      </c>
      <c r="N574" s="4" t="str">
        <f>IF(Table13[[#This Row],[Function Col5]]="","",_xlfn.CONCAT(Table13[[#This Row],[Day Col]],"/",Table13[[#This Row],[Month Col]],"/",Table13[[#This Row],[Year Col]]))</f>
        <v/>
      </c>
      <c r="O574" s="4" t="s">
        <v>1098</v>
      </c>
      <c r="P574" s="4">
        <f>IF(ISNUMBER(Table13[[#This Row],[Claim_Date2]]),Table13[[#This Row],[Claim_Date2]],Table13[[#This Row],[Function Col32]])</f>
        <v>45160</v>
      </c>
      <c r="Q574" s="4">
        <v>45160</v>
      </c>
      <c r="R574" s="1" t="s">
        <v>92</v>
      </c>
      <c r="S574" s="1" t="s">
        <v>31</v>
      </c>
      <c r="T574" s="1" t="s">
        <v>54</v>
      </c>
      <c r="U574" s="1"/>
      <c r="V574" s="1">
        <v>2157.9499999999998</v>
      </c>
      <c r="W574" s="1">
        <f>IF(Table1[[#This Row],[Claim_Amount]]&lt;0,0,Table1[[#This Row],[Claim_Amount]])</f>
        <v>2157.9499999999998</v>
      </c>
      <c r="X574" s="1">
        <f>IF(Table1[[#This Row],[Column1]]=0,"",Table1[[#This Row],[Column1]])</f>
        <v>2157.9499999999998</v>
      </c>
      <c r="Y574" s="1">
        <v>2157.9499999999998</v>
      </c>
      <c r="Z574" s="1">
        <v>2157.9499999999998</v>
      </c>
      <c r="AA574">
        <v>832</v>
      </c>
      <c r="AB574" s="1" t="s">
        <v>25</v>
      </c>
      <c r="AC574" s="1" t="s">
        <v>32</v>
      </c>
      <c r="AD574">
        <v>9</v>
      </c>
      <c r="AE574" s="3" t="s">
        <v>1097</v>
      </c>
    </row>
    <row r="575" spans="1:31" ht="15.75" customHeight="1" x14ac:dyDescent="0.35">
      <c r="A575" s="1" t="s">
        <v>132</v>
      </c>
      <c r="B575" t="s">
        <v>1083</v>
      </c>
      <c r="C575" t="s">
        <v>1084</v>
      </c>
      <c r="D575" s="1" t="s">
        <v>785</v>
      </c>
      <c r="E575" s="5">
        <v>45279</v>
      </c>
      <c r="F575" s="4" t="str">
        <f>IF(ISNUMBER(Table13[[#This Row],[Claim_Date2]]),"",Table13[[#This Row],[Claim_Date2]])</f>
        <v/>
      </c>
      <c r="G575" s="4" t="s">
        <v>1098</v>
      </c>
      <c r="H575" s="4" t="str">
        <f>LEFT(Table13[[#This Row],[Values Col 1]],3)</f>
        <v/>
      </c>
      <c r="I575" s="4" t="s">
        <v>1098</v>
      </c>
      <c r="J575" s="4" t="str">
        <f>MID(Table13[[#This Row],[Function Col]],5,2)</f>
        <v/>
      </c>
      <c r="K575" s="4" t="s">
        <v>1098</v>
      </c>
      <c r="L575" s="4" t="str">
        <f>RIGHT(Table13[[#This Row],[Function Col]],4)</f>
        <v/>
      </c>
      <c r="M575" s="4" t="s">
        <v>1098</v>
      </c>
      <c r="N575" s="4" t="str">
        <f>IF(Table13[[#This Row],[Function Col5]]="","",_xlfn.CONCAT(Table13[[#This Row],[Day Col]],"/",Table13[[#This Row],[Month Col]],"/",Table13[[#This Row],[Year Col]]))</f>
        <v/>
      </c>
      <c r="O575" s="4" t="s">
        <v>1098</v>
      </c>
      <c r="P575" s="4">
        <f>IF(ISNUMBER(Table13[[#This Row],[Claim_Date2]]),Table13[[#This Row],[Claim_Date2]],Table13[[#This Row],[Function Col32]])</f>
        <v>45279</v>
      </c>
      <c r="Q575" s="4">
        <v>45279</v>
      </c>
      <c r="R575" s="1" t="s">
        <v>16</v>
      </c>
      <c r="S575" s="1" t="s">
        <v>31</v>
      </c>
      <c r="T575" t="s">
        <v>1086</v>
      </c>
      <c r="V575" s="1">
        <v>3120.86</v>
      </c>
      <c r="W575" s="1">
        <f>IF(Table1[[#This Row],[Claim_Amount]]&lt;0,0,Table1[[#This Row],[Claim_Amount]])</f>
        <v>3120.86</v>
      </c>
      <c r="X575" s="1">
        <f>IF(Table1[[#This Row],[Column1]]=0,"",Table1[[#This Row],[Column1]])</f>
        <v>3120.86</v>
      </c>
      <c r="Y575" s="1">
        <v>3120.86</v>
      </c>
      <c r="Z575" s="1">
        <v>3120.86</v>
      </c>
      <c r="AA575" s="1">
        <v>4039.4</v>
      </c>
      <c r="AB575" s="1" t="s">
        <v>25</v>
      </c>
      <c r="AC575" s="1" t="s">
        <v>26</v>
      </c>
      <c r="AD575">
        <v>9</v>
      </c>
      <c r="AE575" s="3" t="s">
        <v>19</v>
      </c>
    </row>
    <row r="576" spans="1:31" ht="15.75" customHeight="1" x14ac:dyDescent="0.35">
      <c r="A576" s="1" t="s">
        <v>117</v>
      </c>
      <c r="B576" t="s">
        <v>1083</v>
      </c>
      <c r="C576" s="1" t="s">
        <v>174</v>
      </c>
      <c r="D576" s="1" t="s">
        <v>84</v>
      </c>
      <c r="E576" s="5" t="s">
        <v>84</v>
      </c>
      <c r="F576" s="4" t="str">
        <f>IF(ISNUMBER(Table13[[#This Row],[Claim_Date2]]),"",Table13[[#This Row],[Claim_Date2]])</f>
        <v>Sep 15 2023</v>
      </c>
      <c r="G576" s="4" t="s">
        <v>84</v>
      </c>
      <c r="H576" s="4" t="str">
        <f>LEFT(Table13[[#This Row],[Values Col 1]],3)</f>
        <v>Sep</v>
      </c>
      <c r="I576" s="4" t="s">
        <v>1102</v>
      </c>
      <c r="J576" s="4" t="str">
        <f>MID(Table13[[#This Row],[Function Col]],5,2)</f>
        <v>15</v>
      </c>
      <c r="K576" s="4" t="s">
        <v>1116</v>
      </c>
      <c r="L576" s="4" t="str">
        <f>RIGHT(Table13[[#This Row],[Function Col]],4)</f>
        <v>2023</v>
      </c>
      <c r="M576" s="4" t="s">
        <v>1146</v>
      </c>
      <c r="N576" s="4" t="str">
        <f>IF(Table13[[#This Row],[Function Col5]]="","",_xlfn.CONCAT(Table13[[#This Row],[Day Col]],"/",Table13[[#This Row],[Month Col]],"/",Table13[[#This Row],[Year Col]]))</f>
        <v>15/Sep/2023</v>
      </c>
      <c r="O576" s="4" t="s">
        <v>1155</v>
      </c>
      <c r="P576" s="4" t="str">
        <f>IF(ISNUMBER(Table13[[#This Row],[Claim_Date2]]),Table13[[#This Row],[Claim_Date2]],Table13[[#This Row],[Function Col32]])</f>
        <v>15/Sep/2023</v>
      </c>
      <c r="Q576" s="4">
        <v>45184</v>
      </c>
      <c r="R576" s="1" t="s">
        <v>85</v>
      </c>
      <c r="S576" s="1" t="s">
        <v>23</v>
      </c>
      <c r="T576" t="s">
        <v>1086</v>
      </c>
      <c r="W576">
        <f>IF(Table1[[#This Row],[Claim_Amount]]&lt;0,0,Table1[[#This Row],[Claim_Amount]])</f>
        <v>0</v>
      </c>
      <c r="X576" t="str">
        <f>IF(Table1[[#This Row],[Column1]]=0,"",Table1[[#This Row],[Column1]])</f>
        <v/>
      </c>
      <c r="Y576" t="s">
        <v>1098</v>
      </c>
      <c r="Z576">
        <v>2481</v>
      </c>
      <c r="AA576">
        <v>832</v>
      </c>
      <c r="AB576" s="1" t="s">
        <v>1091</v>
      </c>
      <c r="AC576" s="1" t="s">
        <v>1093</v>
      </c>
      <c r="AD576" s="1">
        <v>7</v>
      </c>
      <c r="AE576" s="3" t="s">
        <v>37</v>
      </c>
    </row>
    <row r="577" spans="1:31" ht="15.75" customHeight="1" x14ac:dyDescent="0.35">
      <c r="A577" s="1" t="s">
        <v>55</v>
      </c>
      <c r="B577" t="s">
        <v>1083</v>
      </c>
      <c r="C577" t="s">
        <v>1084</v>
      </c>
      <c r="D577" s="1" t="s">
        <v>459</v>
      </c>
      <c r="E577" s="5" t="s">
        <v>459</v>
      </c>
      <c r="F577" s="4" t="str">
        <f>IF(ISNUMBER(Table13[[#This Row],[Claim_Date2]]),"",Table13[[#This Row],[Claim_Date2]])</f>
        <v>Apr 25 2023</v>
      </c>
      <c r="G577" s="4" t="s">
        <v>459</v>
      </c>
      <c r="H577" s="4" t="str">
        <f>LEFT(Table13[[#This Row],[Values Col 1]],3)</f>
        <v>Apr</v>
      </c>
      <c r="I577" s="4" t="s">
        <v>1104</v>
      </c>
      <c r="J577" s="4" t="str">
        <f>MID(Table13[[#This Row],[Function Col]],5,2)</f>
        <v>25</v>
      </c>
      <c r="K577" s="4" t="s">
        <v>1123</v>
      </c>
      <c r="L577" s="4" t="str">
        <f>RIGHT(Table13[[#This Row],[Function Col]],4)</f>
        <v>2023</v>
      </c>
      <c r="M577" s="4" t="s">
        <v>1146</v>
      </c>
      <c r="N577" s="4" t="str">
        <f>IF(Table13[[#This Row],[Function Col5]]="","",_xlfn.CONCAT(Table13[[#This Row],[Day Col]],"/",Table13[[#This Row],[Month Col]],"/",Table13[[#This Row],[Year Col]]))</f>
        <v>25/Apr/2023</v>
      </c>
      <c r="O577" s="4" t="s">
        <v>1228</v>
      </c>
      <c r="P577" s="4" t="str">
        <f>IF(ISNUMBER(Table13[[#This Row],[Claim_Date2]]),Table13[[#This Row],[Claim_Date2]],Table13[[#This Row],[Function Col32]])</f>
        <v>25/Apr/2023</v>
      </c>
      <c r="Q577" s="4">
        <v>45041</v>
      </c>
      <c r="R577" s="1" t="s">
        <v>92</v>
      </c>
      <c r="S577" s="1" t="s">
        <v>31</v>
      </c>
      <c r="T577" t="s">
        <v>1086</v>
      </c>
      <c r="W577">
        <f>IF(Table1[[#This Row],[Claim_Amount]]&lt;0,0,Table1[[#This Row],[Claim_Amount]])</f>
        <v>0</v>
      </c>
      <c r="X577" t="str">
        <f>IF(Table1[[#This Row],[Column1]]=0,"",Table1[[#This Row],[Column1]])</f>
        <v/>
      </c>
      <c r="Y577" t="s">
        <v>1098</v>
      </c>
      <c r="Z577">
        <v>2481</v>
      </c>
      <c r="AA577">
        <v>832</v>
      </c>
      <c r="AB577" s="1" t="s">
        <v>25</v>
      </c>
      <c r="AC577" s="1" t="s">
        <v>26</v>
      </c>
      <c r="AD577" s="1">
        <v>1</v>
      </c>
      <c r="AE577" s="3" t="s">
        <v>27</v>
      </c>
    </row>
    <row r="578" spans="1:31" ht="15.75" customHeight="1" x14ac:dyDescent="0.35">
      <c r="A578" s="1" t="s">
        <v>302</v>
      </c>
      <c r="B578" t="s">
        <v>1083</v>
      </c>
      <c r="C578" t="s">
        <v>1084</v>
      </c>
      <c r="D578" s="1" t="s">
        <v>390</v>
      </c>
      <c r="E578" s="5">
        <v>45014</v>
      </c>
      <c r="F578" s="4" t="str">
        <f>IF(ISNUMBER(Table13[[#This Row],[Claim_Date2]]),"",Table13[[#This Row],[Claim_Date2]])</f>
        <v/>
      </c>
      <c r="G578" s="4" t="s">
        <v>1098</v>
      </c>
      <c r="H578" s="4" t="str">
        <f>LEFT(Table13[[#This Row],[Values Col 1]],3)</f>
        <v/>
      </c>
      <c r="I578" s="4" t="s">
        <v>1098</v>
      </c>
      <c r="J578" s="4" t="str">
        <f>MID(Table13[[#This Row],[Function Col]],5,2)</f>
        <v/>
      </c>
      <c r="K578" s="4" t="s">
        <v>1098</v>
      </c>
      <c r="L578" s="4" t="str">
        <f>RIGHT(Table13[[#This Row],[Function Col]],4)</f>
        <v/>
      </c>
      <c r="M578" s="4" t="s">
        <v>1098</v>
      </c>
      <c r="N578" s="4" t="str">
        <f>IF(Table13[[#This Row],[Function Col5]]="","",_xlfn.CONCAT(Table13[[#This Row],[Day Col]],"/",Table13[[#This Row],[Month Col]],"/",Table13[[#This Row],[Year Col]]))</f>
        <v/>
      </c>
      <c r="O578" s="4" t="s">
        <v>1098</v>
      </c>
      <c r="P578" s="4">
        <f>IF(ISNUMBER(Table13[[#This Row],[Claim_Date2]]),Table13[[#This Row],[Claim_Date2]],Table13[[#This Row],[Function Col32]])</f>
        <v>45014</v>
      </c>
      <c r="Q578" s="4">
        <v>45014</v>
      </c>
      <c r="R578" s="1" t="s">
        <v>30</v>
      </c>
      <c r="S578" s="1" t="s">
        <v>53</v>
      </c>
      <c r="T578" s="1" t="s">
        <v>24</v>
      </c>
      <c r="U578" s="1"/>
      <c r="V578" s="1">
        <v>3100.53</v>
      </c>
      <c r="W578" s="1">
        <f>IF(Table1[[#This Row],[Claim_Amount]]&lt;0,0,Table1[[#This Row],[Claim_Amount]])</f>
        <v>3100.53</v>
      </c>
      <c r="X578" s="1">
        <f>IF(Table1[[#This Row],[Column1]]=0,"",Table1[[#This Row],[Column1]])</f>
        <v>3100.53</v>
      </c>
      <c r="Y578" s="1">
        <v>3100.53</v>
      </c>
      <c r="Z578" s="1">
        <v>3100.53</v>
      </c>
      <c r="AA578">
        <v>832</v>
      </c>
      <c r="AB578" s="1" t="s">
        <v>25</v>
      </c>
      <c r="AC578" s="1" t="s">
        <v>18</v>
      </c>
      <c r="AD578">
        <v>9</v>
      </c>
      <c r="AE578" s="3" t="s">
        <v>37</v>
      </c>
    </row>
    <row r="579" spans="1:31" ht="15.75" customHeight="1" x14ac:dyDescent="0.35">
      <c r="A579" s="1" t="s">
        <v>168</v>
      </c>
      <c r="B579" t="s">
        <v>1083</v>
      </c>
      <c r="C579" s="1" t="s">
        <v>258</v>
      </c>
      <c r="D579" s="1" t="s">
        <v>171</v>
      </c>
      <c r="E579" s="5" t="s">
        <v>171</v>
      </c>
      <c r="F579" s="4" t="str">
        <f>IF(ISNUMBER(Table13[[#This Row],[Claim_Date2]]),"",Table13[[#This Row],[Claim_Date2]])</f>
        <v>Feb 20 2023</v>
      </c>
      <c r="G579" s="4" t="s">
        <v>171</v>
      </c>
      <c r="H579" s="4" t="str">
        <f>LEFT(Table13[[#This Row],[Values Col 1]],3)</f>
        <v>Feb</v>
      </c>
      <c r="I579" s="4" t="s">
        <v>1109</v>
      </c>
      <c r="J579" s="4" t="str">
        <f>MID(Table13[[#This Row],[Function Col]],5,2)</f>
        <v>20</v>
      </c>
      <c r="K579" s="4" t="s">
        <v>1118</v>
      </c>
      <c r="L579" s="4" t="str">
        <f>RIGHT(Table13[[#This Row],[Function Col]],4)</f>
        <v>2023</v>
      </c>
      <c r="M579" s="4" t="s">
        <v>1146</v>
      </c>
      <c r="N579" s="4" t="str">
        <f>IF(Table13[[#This Row],[Function Col5]]="","",_xlfn.CONCAT(Table13[[#This Row],[Day Col]],"/",Table13[[#This Row],[Month Col]],"/",Table13[[#This Row],[Year Col]]))</f>
        <v>20/Feb/2023</v>
      </c>
      <c r="O579" s="4" t="s">
        <v>1169</v>
      </c>
      <c r="P579" s="4" t="str">
        <f>IF(ISNUMBER(Table13[[#This Row],[Claim_Date2]]),Table13[[#This Row],[Claim_Date2]],Table13[[#This Row],[Function Col32]])</f>
        <v>20/Feb/2023</v>
      </c>
      <c r="Q579" s="4">
        <v>44977</v>
      </c>
      <c r="R579" s="1" t="s">
        <v>85</v>
      </c>
      <c r="S579" s="1" t="s">
        <v>93</v>
      </c>
      <c r="T579" s="1" t="s">
        <v>54</v>
      </c>
      <c r="U579" s="1"/>
      <c r="V579" s="1">
        <v>-157</v>
      </c>
      <c r="W579" s="1">
        <f>IF(Table1[[#This Row],[Claim_Amount]]&lt;0,0,Table1[[#This Row],[Claim_Amount]])</f>
        <v>0</v>
      </c>
      <c r="X579" s="1" t="str">
        <f>IF(Table1[[#This Row],[Column1]]=0,"",Table1[[#This Row],[Column1]])</f>
        <v/>
      </c>
      <c r="Y579" s="1" t="s">
        <v>1098</v>
      </c>
      <c r="Z579" s="1">
        <v>2481</v>
      </c>
      <c r="AA579">
        <v>832</v>
      </c>
      <c r="AB579" s="1" t="s">
        <v>42</v>
      </c>
      <c r="AC579" s="1" t="s">
        <v>57</v>
      </c>
      <c r="AD579">
        <v>9</v>
      </c>
      <c r="AE579" s="3" t="s">
        <v>65</v>
      </c>
    </row>
    <row r="580" spans="1:31" ht="15.75" customHeight="1" x14ac:dyDescent="0.35">
      <c r="A580" s="1" t="s">
        <v>96</v>
      </c>
      <c r="B580" s="1" t="s">
        <v>115</v>
      </c>
      <c r="C580" s="1" t="s">
        <v>100</v>
      </c>
      <c r="D580" s="1" t="s">
        <v>626</v>
      </c>
      <c r="E580" s="5">
        <v>45248</v>
      </c>
      <c r="F580" s="4" t="str">
        <f>IF(ISNUMBER(Table13[[#This Row],[Claim_Date2]]),"",Table13[[#This Row],[Claim_Date2]])</f>
        <v/>
      </c>
      <c r="G580" s="4" t="s">
        <v>1098</v>
      </c>
      <c r="H580" s="4" t="str">
        <f>LEFT(Table13[[#This Row],[Values Col 1]],3)</f>
        <v/>
      </c>
      <c r="I580" s="4" t="s">
        <v>1098</v>
      </c>
      <c r="J580" s="4" t="str">
        <f>MID(Table13[[#This Row],[Function Col]],5,2)</f>
        <v/>
      </c>
      <c r="K580" s="4" t="s">
        <v>1098</v>
      </c>
      <c r="L580" s="4" t="str">
        <f>RIGHT(Table13[[#This Row],[Function Col]],4)</f>
        <v/>
      </c>
      <c r="M580" s="4" t="s">
        <v>1098</v>
      </c>
      <c r="N580" s="4" t="str">
        <f>IF(Table13[[#This Row],[Function Col5]]="","",_xlfn.CONCAT(Table13[[#This Row],[Day Col]],"/",Table13[[#This Row],[Month Col]],"/",Table13[[#This Row],[Year Col]]))</f>
        <v/>
      </c>
      <c r="O580" s="4" t="s">
        <v>1098</v>
      </c>
      <c r="P580" s="4">
        <f>IF(ISNUMBER(Table13[[#This Row],[Claim_Date2]]),Table13[[#This Row],[Claim_Date2]],Table13[[#This Row],[Function Col32]])</f>
        <v>45248</v>
      </c>
      <c r="Q580" s="4">
        <v>45248</v>
      </c>
      <c r="R580" s="1" t="s">
        <v>30</v>
      </c>
      <c r="S580" t="s">
        <v>1085</v>
      </c>
      <c r="T580" s="1" t="s">
        <v>54</v>
      </c>
      <c r="U580" s="1"/>
      <c r="V580" s="1">
        <v>-30</v>
      </c>
      <c r="W580" s="1">
        <f>IF(Table1[[#This Row],[Claim_Amount]]&lt;0,0,Table1[[#This Row],[Claim_Amount]])</f>
        <v>0</v>
      </c>
      <c r="X580" s="1" t="str">
        <f>IF(Table1[[#This Row],[Column1]]=0,"",Table1[[#This Row],[Column1]])</f>
        <v/>
      </c>
      <c r="Y580" s="1" t="s">
        <v>1098</v>
      </c>
      <c r="Z580" s="1">
        <v>2481</v>
      </c>
      <c r="AA580">
        <v>832</v>
      </c>
      <c r="AB580" s="1" t="s">
        <v>17</v>
      </c>
      <c r="AC580" s="1" t="s">
        <v>1093</v>
      </c>
      <c r="AD580">
        <v>9</v>
      </c>
      <c r="AE580" s="3" t="s">
        <v>27</v>
      </c>
    </row>
    <row r="581" spans="1:31" ht="15.75" customHeight="1" x14ac:dyDescent="0.35">
      <c r="A581" s="1" t="s">
        <v>102</v>
      </c>
      <c r="B581" t="s">
        <v>1083</v>
      </c>
      <c r="C581" t="s">
        <v>1084</v>
      </c>
      <c r="D581" s="1" t="s">
        <v>786</v>
      </c>
      <c r="E581" s="5" t="s">
        <v>786</v>
      </c>
      <c r="F581" s="4" t="str">
        <f>IF(ISNUMBER(Table13[[#This Row],[Claim_Date2]]),"",Table13[[#This Row],[Claim_Date2]])</f>
        <v>May 06 2023</v>
      </c>
      <c r="G581" s="4" t="s">
        <v>786</v>
      </c>
      <c r="H581" s="4" t="str">
        <f>LEFT(Table13[[#This Row],[Values Col 1]],3)</f>
        <v>May</v>
      </c>
      <c r="I581" s="4" t="s">
        <v>1110</v>
      </c>
      <c r="J581" s="4" t="str">
        <f>MID(Table13[[#This Row],[Function Col]],5,2)</f>
        <v>06</v>
      </c>
      <c r="K581" s="4" t="s">
        <v>1132</v>
      </c>
      <c r="L581" s="4" t="str">
        <f>RIGHT(Table13[[#This Row],[Function Col]],4)</f>
        <v>2023</v>
      </c>
      <c r="M581" s="4" t="s">
        <v>1146</v>
      </c>
      <c r="N581" s="4" t="str">
        <f>IF(Table13[[#This Row],[Function Col5]]="","",_xlfn.CONCAT(Table13[[#This Row],[Day Col]],"/",Table13[[#This Row],[Month Col]],"/",Table13[[#This Row],[Year Col]]))</f>
        <v>06/May/2023</v>
      </c>
      <c r="O581" s="4" t="s">
        <v>1299</v>
      </c>
      <c r="P581" s="4" t="str">
        <f>IF(ISNUMBER(Table13[[#This Row],[Claim_Date2]]),Table13[[#This Row],[Claim_Date2]],Table13[[#This Row],[Function Col32]])</f>
        <v>06/May/2023</v>
      </c>
      <c r="Q581" s="4">
        <v>45052</v>
      </c>
      <c r="R581" s="1" t="s">
        <v>85</v>
      </c>
      <c r="S581" s="1" t="s">
        <v>53</v>
      </c>
      <c r="T581" s="1" t="s">
        <v>41</v>
      </c>
      <c r="U581" s="1"/>
      <c r="V581" s="1">
        <v>3313.33</v>
      </c>
      <c r="W581" s="1">
        <f>IF(Table1[[#This Row],[Claim_Amount]]&lt;0,0,Table1[[#This Row],[Claim_Amount]])</f>
        <v>3313.33</v>
      </c>
      <c r="X581" s="1">
        <f>IF(Table1[[#This Row],[Column1]]=0,"",Table1[[#This Row],[Column1]])</f>
        <v>3313.33</v>
      </c>
      <c r="Y581" s="1">
        <v>3313.33</v>
      </c>
      <c r="Z581" s="1">
        <v>3313.33</v>
      </c>
      <c r="AA581">
        <v>832</v>
      </c>
      <c r="AB581" s="1" t="s">
        <v>25</v>
      </c>
      <c r="AC581" s="1" t="s">
        <v>57</v>
      </c>
      <c r="AD581" s="1">
        <v>55</v>
      </c>
      <c r="AE581" s="3" t="s">
        <v>19</v>
      </c>
    </row>
    <row r="582" spans="1:31" ht="15.75" customHeight="1" x14ac:dyDescent="0.35">
      <c r="A582" s="1" t="s">
        <v>173</v>
      </c>
      <c r="B582" s="1" t="s">
        <v>506</v>
      </c>
      <c r="C582" s="1" t="s">
        <v>479</v>
      </c>
      <c r="D582" s="1" t="s">
        <v>787</v>
      </c>
      <c r="E582" s="5">
        <v>45071</v>
      </c>
      <c r="F582" s="4" t="str">
        <f>IF(ISNUMBER(Table13[[#This Row],[Claim_Date2]]),"",Table13[[#This Row],[Claim_Date2]])</f>
        <v/>
      </c>
      <c r="G582" s="4" t="s">
        <v>1098</v>
      </c>
      <c r="H582" s="4" t="str">
        <f>LEFT(Table13[[#This Row],[Values Col 1]],3)</f>
        <v/>
      </c>
      <c r="I582" s="4" t="s">
        <v>1098</v>
      </c>
      <c r="J582" s="4" t="str">
        <f>MID(Table13[[#This Row],[Function Col]],5,2)</f>
        <v/>
      </c>
      <c r="K582" s="4" t="s">
        <v>1098</v>
      </c>
      <c r="L582" s="4" t="str">
        <f>RIGHT(Table13[[#This Row],[Function Col]],4)</f>
        <v/>
      </c>
      <c r="M582" s="4" t="s">
        <v>1098</v>
      </c>
      <c r="N582" s="4" t="str">
        <f>IF(Table13[[#This Row],[Function Col5]]="","",_xlfn.CONCAT(Table13[[#This Row],[Day Col]],"/",Table13[[#This Row],[Month Col]],"/",Table13[[#This Row],[Year Col]]))</f>
        <v/>
      </c>
      <c r="O582" s="4" t="s">
        <v>1098</v>
      </c>
      <c r="P582" s="4">
        <f>IF(ISNUMBER(Table13[[#This Row],[Claim_Date2]]),Table13[[#This Row],[Claim_Date2]],Table13[[#This Row],[Function Col32]])</f>
        <v>45071</v>
      </c>
      <c r="Q582" s="4">
        <v>45071</v>
      </c>
      <c r="R582" s="1" t="s">
        <v>16</v>
      </c>
      <c r="S582" s="1" t="s">
        <v>53</v>
      </c>
      <c r="T582" s="1" t="s">
        <v>41</v>
      </c>
      <c r="U582" s="1"/>
      <c r="V582" s="1">
        <v>-63</v>
      </c>
      <c r="W582" s="1">
        <f>IF(Table1[[#This Row],[Claim_Amount]]&lt;0,0,Table1[[#This Row],[Claim_Amount]])</f>
        <v>0</v>
      </c>
      <c r="X582" s="1" t="str">
        <f>IF(Table1[[#This Row],[Column1]]=0,"",Table1[[#This Row],[Column1]])</f>
        <v/>
      </c>
      <c r="Y582" s="1" t="s">
        <v>1098</v>
      </c>
      <c r="Z582" s="1">
        <v>2481</v>
      </c>
      <c r="AA582" s="1">
        <v>548.33000000000004</v>
      </c>
      <c r="AB582" s="1" t="s">
        <v>25</v>
      </c>
      <c r="AC582" s="1" t="s">
        <v>26</v>
      </c>
      <c r="AD582">
        <v>9</v>
      </c>
      <c r="AE582" s="3" t="s">
        <v>19</v>
      </c>
    </row>
    <row r="583" spans="1:31" ht="15.75" customHeight="1" x14ac:dyDescent="0.35">
      <c r="A583" s="1" t="s">
        <v>187</v>
      </c>
      <c r="B583" t="s">
        <v>1083</v>
      </c>
      <c r="C583" t="s">
        <v>1084</v>
      </c>
      <c r="D583" s="1" t="s">
        <v>788</v>
      </c>
      <c r="E583" s="5">
        <v>45251</v>
      </c>
      <c r="F583" s="4" t="str">
        <f>IF(ISNUMBER(Table13[[#This Row],[Claim_Date2]]),"",Table13[[#This Row],[Claim_Date2]])</f>
        <v/>
      </c>
      <c r="G583" s="4" t="s">
        <v>1098</v>
      </c>
      <c r="H583" s="4" t="str">
        <f>LEFT(Table13[[#This Row],[Values Col 1]],3)</f>
        <v/>
      </c>
      <c r="I583" s="4" t="s">
        <v>1098</v>
      </c>
      <c r="J583" s="4" t="str">
        <f>MID(Table13[[#This Row],[Function Col]],5,2)</f>
        <v/>
      </c>
      <c r="K583" s="4" t="s">
        <v>1098</v>
      </c>
      <c r="L583" s="4" t="str">
        <f>RIGHT(Table13[[#This Row],[Function Col]],4)</f>
        <v/>
      </c>
      <c r="M583" s="4" t="s">
        <v>1098</v>
      </c>
      <c r="N583" s="4" t="str">
        <f>IF(Table13[[#This Row],[Function Col5]]="","",_xlfn.CONCAT(Table13[[#This Row],[Day Col]],"/",Table13[[#This Row],[Month Col]],"/",Table13[[#This Row],[Year Col]]))</f>
        <v/>
      </c>
      <c r="O583" s="4" t="s">
        <v>1098</v>
      </c>
      <c r="P583" s="4">
        <f>IF(ISNUMBER(Table13[[#This Row],[Claim_Date2]]),Table13[[#This Row],[Claim_Date2]],Table13[[#This Row],[Function Col32]])</f>
        <v>45251</v>
      </c>
      <c r="Q583" s="4">
        <v>45251</v>
      </c>
      <c r="R583" s="1" t="s">
        <v>92</v>
      </c>
      <c r="S583" s="1" t="s">
        <v>23</v>
      </c>
      <c r="T583" s="1" t="s">
        <v>24</v>
      </c>
      <c r="U583" s="1"/>
      <c r="V583" s="1">
        <v>3315.35</v>
      </c>
      <c r="W583" s="1">
        <f>IF(Table1[[#This Row],[Claim_Amount]]&lt;0,0,Table1[[#This Row],[Claim_Amount]])</f>
        <v>3315.35</v>
      </c>
      <c r="X583" s="1">
        <f>IF(Table1[[#This Row],[Column1]]=0,"",Table1[[#This Row],[Column1]])</f>
        <v>3315.35</v>
      </c>
      <c r="Y583" s="1">
        <v>3315.35</v>
      </c>
      <c r="Z583" s="1">
        <v>3315.35</v>
      </c>
      <c r="AA583">
        <v>832</v>
      </c>
      <c r="AB583" s="1" t="s">
        <v>42</v>
      </c>
      <c r="AC583" s="1" t="s">
        <v>1093</v>
      </c>
      <c r="AD583">
        <v>9</v>
      </c>
      <c r="AE583" s="3" t="s">
        <v>1097</v>
      </c>
    </row>
    <row r="584" spans="1:31" ht="15.75" customHeight="1" x14ac:dyDescent="0.35">
      <c r="A584" s="1" t="s">
        <v>89</v>
      </c>
      <c r="B584" t="s">
        <v>1083</v>
      </c>
      <c r="C584" t="s">
        <v>1084</v>
      </c>
      <c r="D584" s="1" t="s">
        <v>789</v>
      </c>
      <c r="E584" s="5">
        <v>44989</v>
      </c>
      <c r="F584" s="4" t="str">
        <f>IF(ISNUMBER(Table13[[#This Row],[Claim_Date2]]),"",Table13[[#This Row],[Claim_Date2]])</f>
        <v/>
      </c>
      <c r="G584" s="4" t="s">
        <v>1098</v>
      </c>
      <c r="H584" s="4" t="str">
        <f>LEFT(Table13[[#This Row],[Values Col 1]],3)</f>
        <v/>
      </c>
      <c r="I584" s="4" t="s">
        <v>1098</v>
      </c>
      <c r="J584" s="4" t="str">
        <f>MID(Table13[[#This Row],[Function Col]],5,2)</f>
        <v/>
      </c>
      <c r="K584" s="4" t="s">
        <v>1098</v>
      </c>
      <c r="L584" s="4" t="str">
        <f>RIGHT(Table13[[#This Row],[Function Col]],4)</f>
        <v/>
      </c>
      <c r="M584" s="4" t="s">
        <v>1098</v>
      </c>
      <c r="N584" s="4" t="str">
        <f>IF(Table13[[#This Row],[Function Col5]]="","",_xlfn.CONCAT(Table13[[#This Row],[Day Col]],"/",Table13[[#This Row],[Month Col]],"/",Table13[[#This Row],[Year Col]]))</f>
        <v/>
      </c>
      <c r="O584" s="4" t="s">
        <v>1098</v>
      </c>
      <c r="P584" s="4">
        <f>IF(ISNUMBER(Table13[[#This Row],[Claim_Date2]]),Table13[[#This Row],[Claim_Date2]],Table13[[#This Row],[Function Col32]])</f>
        <v>44989</v>
      </c>
      <c r="Q584" s="4">
        <v>44989</v>
      </c>
      <c r="R584" s="1" t="s">
        <v>30</v>
      </c>
      <c r="S584" s="1" t="s">
        <v>23</v>
      </c>
      <c r="T584" s="1" t="s">
        <v>54</v>
      </c>
      <c r="U584" s="1"/>
      <c r="W584">
        <f>IF(Table1[[#This Row],[Claim_Amount]]&lt;0,0,Table1[[#This Row],[Claim_Amount]])</f>
        <v>0</v>
      </c>
      <c r="X584" t="str">
        <f>IF(Table1[[#This Row],[Column1]]=0,"",Table1[[#This Row],[Column1]])</f>
        <v/>
      </c>
      <c r="Y584" t="s">
        <v>1098</v>
      </c>
      <c r="Z584">
        <v>2481</v>
      </c>
      <c r="AA584" s="1">
        <v>4341.03</v>
      </c>
      <c r="AB584" s="1" t="s">
        <v>17</v>
      </c>
      <c r="AC584" s="1" t="s">
        <v>26</v>
      </c>
      <c r="AD584" s="1">
        <v>20</v>
      </c>
      <c r="AE584" s="3" t="s">
        <v>65</v>
      </c>
    </row>
    <row r="585" spans="1:31" ht="15.75" customHeight="1" x14ac:dyDescent="0.35">
      <c r="A585" s="1" t="s">
        <v>96</v>
      </c>
      <c r="B585" t="s">
        <v>1083</v>
      </c>
      <c r="C585" t="s">
        <v>1084</v>
      </c>
      <c r="D585" s="1" t="s">
        <v>790</v>
      </c>
      <c r="E585" s="5">
        <v>45067</v>
      </c>
      <c r="F585" s="4" t="str">
        <f>IF(ISNUMBER(Table13[[#This Row],[Claim_Date2]]),"",Table13[[#This Row],[Claim_Date2]])</f>
        <v/>
      </c>
      <c r="G585" s="4" t="s">
        <v>1098</v>
      </c>
      <c r="H585" s="4" t="str">
        <f>LEFT(Table13[[#This Row],[Values Col 1]],3)</f>
        <v/>
      </c>
      <c r="I585" s="4" t="s">
        <v>1098</v>
      </c>
      <c r="J585" s="4" t="str">
        <f>MID(Table13[[#This Row],[Function Col]],5,2)</f>
        <v/>
      </c>
      <c r="K585" s="4" t="s">
        <v>1098</v>
      </c>
      <c r="L585" s="4" t="str">
        <f>RIGHT(Table13[[#This Row],[Function Col]],4)</f>
        <v/>
      </c>
      <c r="M585" s="4" t="s">
        <v>1098</v>
      </c>
      <c r="N585" s="4" t="str">
        <f>IF(Table13[[#This Row],[Function Col5]]="","",_xlfn.CONCAT(Table13[[#This Row],[Day Col]],"/",Table13[[#This Row],[Month Col]],"/",Table13[[#This Row],[Year Col]]))</f>
        <v/>
      </c>
      <c r="O585" s="4" t="s">
        <v>1098</v>
      </c>
      <c r="P585" s="4">
        <f>IF(ISNUMBER(Table13[[#This Row],[Claim_Date2]]),Table13[[#This Row],[Claim_Date2]],Table13[[#This Row],[Function Col32]])</f>
        <v>45067</v>
      </c>
      <c r="Q585" s="4">
        <v>45067</v>
      </c>
      <c r="R585" s="1" t="s">
        <v>92</v>
      </c>
      <c r="S585" t="s">
        <v>1085</v>
      </c>
      <c r="T585" s="1" t="s">
        <v>54</v>
      </c>
      <c r="U585" s="1"/>
      <c r="V585" s="1">
        <v>-129</v>
      </c>
      <c r="W585" s="1">
        <f>IF(Table1[[#This Row],[Claim_Amount]]&lt;0,0,Table1[[#This Row],[Claim_Amount]])</f>
        <v>0</v>
      </c>
      <c r="X585" s="1" t="str">
        <f>IF(Table1[[#This Row],[Column1]]=0,"",Table1[[#This Row],[Column1]])</f>
        <v/>
      </c>
      <c r="Y585" s="1" t="s">
        <v>1098</v>
      </c>
      <c r="Z585" s="1">
        <v>2481</v>
      </c>
      <c r="AA585">
        <v>832</v>
      </c>
      <c r="AB585" s="1" t="s">
        <v>17</v>
      </c>
      <c r="AC585" s="1" t="s">
        <v>32</v>
      </c>
      <c r="AD585" s="1">
        <v>11</v>
      </c>
      <c r="AE585" s="3" t="s">
        <v>27</v>
      </c>
    </row>
    <row r="586" spans="1:31" ht="15.75" customHeight="1" x14ac:dyDescent="0.35">
      <c r="A586" s="1" t="s">
        <v>78</v>
      </c>
      <c r="B586" t="s">
        <v>1083</v>
      </c>
      <c r="C586" t="s">
        <v>1084</v>
      </c>
      <c r="D586" s="1" t="s">
        <v>287</v>
      </c>
      <c r="E586" s="5">
        <v>45032</v>
      </c>
      <c r="F586" s="4" t="str">
        <f>IF(ISNUMBER(Table13[[#This Row],[Claim_Date2]]),"",Table13[[#This Row],[Claim_Date2]])</f>
        <v/>
      </c>
      <c r="G586" s="4" t="s">
        <v>1098</v>
      </c>
      <c r="H586" s="4" t="str">
        <f>LEFT(Table13[[#This Row],[Values Col 1]],3)</f>
        <v/>
      </c>
      <c r="I586" s="4" t="s">
        <v>1098</v>
      </c>
      <c r="J586" s="4" t="str">
        <f>MID(Table13[[#This Row],[Function Col]],5,2)</f>
        <v/>
      </c>
      <c r="K586" s="4" t="s">
        <v>1098</v>
      </c>
      <c r="L586" s="4" t="str">
        <f>RIGHT(Table13[[#This Row],[Function Col]],4)</f>
        <v/>
      </c>
      <c r="M586" s="4" t="s">
        <v>1098</v>
      </c>
      <c r="N586" s="4" t="str">
        <f>IF(Table13[[#This Row],[Function Col5]]="","",_xlfn.CONCAT(Table13[[#This Row],[Day Col]],"/",Table13[[#This Row],[Month Col]],"/",Table13[[#This Row],[Year Col]]))</f>
        <v/>
      </c>
      <c r="O586" s="4" t="s">
        <v>1098</v>
      </c>
      <c r="P586" s="4">
        <f>IF(ISNUMBER(Table13[[#This Row],[Claim_Date2]]),Table13[[#This Row],[Claim_Date2]],Table13[[#This Row],[Function Col32]])</f>
        <v>45032</v>
      </c>
      <c r="Q586" s="4">
        <v>45032</v>
      </c>
      <c r="R586" s="1" t="s">
        <v>77</v>
      </c>
      <c r="S586" s="1" t="s">
        <v>53</v>
      </c>
      <c r="T586" s="1" t="s">
        <v>54</v>
      </c>
      <c r="U586" s="1"/>
      <c r="V586" s="1">
        <v>3748.04</v>
      </c>
      <c r="W586" s="1">
        <f>IF(Table1[[#This Row],[Claim_Amount]]&lt;0,0,Table1[[#This Row],[Claim_Amount]])</f>
        <v>3748.04</v>
      </c>
      <c r="X586" s="1">
        <f>IF(Table1[[#This Row],[Column1]]=0,"",Table1[[#This Row],[Column1]])</f>
        <v>3748.04</v>
      </c>
      <c r="Y586" s="1">
        <v>3748.04</v>
      </c>
      <c r="Z586" s="1">
        <v>3748.04</v>
      </c>
      <c r="AA586">
        <v>832</v>
      </c>
      <c r="AB586" s="1" t="s">
        <v>17</v>
      </c>
      <c r="AC586" s="1" t="s">
        <v>57</v>
      </c>
      <c r="AD586">
        <v>9</v>
      </c>
      <c r="AE586" s="3" t="s">
        <v>19</v>
      </c>
    </row>
    <row r="587" spans="1:31" ht="15.75" customHeight="1" x14ac:dyDescent="0.35">
      <c r="A587" s="1" t="s">
        <v>215</v>
      </c>
      <c r="B587" s="1" t="s">
        <v>394</v>
      </c>
      <c r="C587" t="s">
        <v>1084</v>
      </c>
      <c r="D587" s="1" t="s">
        <v>628</v>
      </c>
      <c r="E587" s="5" t="s">
        <v>628</v>
      </c>
      <c r="F587" s="4" t="str">
        <f>IF(ISNUMBER(Table13[[#This Row],[Claim_Date2]]),"",Table13[[#This Row],[Claim_Date2]])</f>
        <v>May 31 2023</v>
      </c>
      <c r="G587" s="4" t="s">
        <v>628</v>
      </c>
      <c r="H587" s="4" t="str">
        <f>LEFT(Table13[[#This Row],[Values Col 1]],3)</f>
        <v>May</v>
      </c>
      <c r="I587" s="4" t="s">
        <v>1110</v>
      </c>
      <c r="J587" s="4" t="str">
        <f>MID(Table13[[#This Row],[Function Col]],5,2)</f>
        <v>31</v>
      </c>
      <c r="K587" s="4" t="s">
        <v>1133</v>
      </c>
      <c r="L587" s="4" t="str">
        <f>RIGHT(Table13[[#This Row],[Function Col]],4)</f>
        <v>2023</v>
      </c>
      <c r="M587" s="4" t="s">
        <v>1146</v>
      </c>
      <c r="N587" s="4" t="str">
        <f>IF(Table13[[#This Row],[Function Col5]]="","",_xlfn.CONCAT(Table13[[#This Row],[Day Col]],"/",Table13[[#This Row],[Month Col]],"/",Table13[[#This Row],[Year Col]]))</f>
        <v>31/May/2023</v>
      </c>
      <c r="O587" s="4" t="s">
        <v>1259</v>
      </c>
      <c r="P587" s="4" t="str">
        <f>IF(ISNUMBER(Table13[[#This Row],[Claim_Date2]]),Table13[[#This Row],[Claim_Date2]],Table13[[#This Row],[Function Col32]])</f>
        <v>31/May/2023</v>
      </c>
      <c r="Q587" s="4">
        <v>45077</v>
      </c>
      <c r="R587" s="1" t="s">
        <v>85</v>
      </c>
      <c r="S587" t="s">
        <v>1085</v>
      </c>
      <c r="T587" s="1" t="s">
        <v>54</v>
      </c>
      <c r="U587" s="1"/>
      <c r="V587" s="1">
        <v>1793.65</v>
      </c>
      <c r="W587" s="1">
        <f>IF(Table1[[#This Row],[Claim_Amount]]&lt;0,0,Table1[[#This Row],[Claim_Amount]])</f>
        <v>1793.65</v>
      </c>
      <c r="X587" s="1">
        <f>IF(Table1[[#This Row],[Column1]]=0,"",Table1[[#This Row],[Column1]])</f>
        <v>1793.65</v>
      </c>
      <c r="Y587" s="1">
        <v>1793.65</v>
      </c>
      <c r="Z587" s="1">
        <v>1793.65</v>
      </c>
      <c r="AA587">
        <v>832</v>
      </c>
      <c r="AB587" s="1" t="s">
        <v>25</v>
      </c>
      <c r="AC587" s="1" t="s">
        <v>18</v>
      </c>
      <c r="AD587" s="1">
        <v>22</v>
      </c>
      <c r="AE587" s="3" t="s">
        <v>19</v>
      </c>
    </row>
    <row r="588" spans="1:31" ht="15.75" customHeight="1" x14ac:dyDescent="0.35">
      <c r="A588" s="1" t="s">
        <v>187</v>
      </c>
      <c r="B588" t="s">
        <v>1083</v>
      </c>
      <c r="C588" s="1" t="s">
        <v>373</v>
      </c>
      <c r="D588" s="1" t="s">
        <v>259</v>
      </c>
      <c r="E588" s="5">
        <v>44989</v>
      </c>
      <c r="F588" s="4" t="str">
        <f>IF(ISNUMBER(Table13[[#This Row],[Claim_Date2]]),"",Table13[[#This Row],[Claim_Date2]])</f>
        <v/>
      </c>
      <c r="G588" s="4" t="s">
        <v>1098</v>
      </c>
      <c r="H588" s="4" t="str">
        <f>LEFT(Table13[[#This Row],[Values Col 1]],3)</f>
        <v/>
      </c>
      <c r="I588" s="4" t="s">
        <v>1098</v>
      </c>
      <c r="J588" s="4" t="str">
        <f>MID(Table13[[#This Row],[Function Col]],5,2)</f>
        <v/>
      </c>
      <c r="K588" s="4" t="s">
        <v>1098</v>
      </c>
      <c r="L588" s="4" t="str">
        <f>RIGHT(Table13[[#This Row],[Function Col]],4)</f>
        <v/>
      </c>
      <c r="M588" s="4" t="s">
        <v>1098</v>
      </c>
      <c r="N588" s="4" t="str">
        <f>IF(Table13[[#This Row],[Function Col5]]="","",_xlfn.CONCAT(Table13[[#This Row],[Day Col]],"/",Table13[[#This Row],[Month Col]],"/",Table13[[#This Row],[Year Col]]))</f>
        <v/>
      </c>
      <c r="O588" s="4" t="s">
        <v>1098</v>
      </c>
      <c r="P588" s="4">
        <f>IF(ISNUMBER(Table13[[#This Row],[Claim_Date2]]),Table13[[#This Row],[Claim_Date2]],Table13[[#This Row],[Function Col32]])</f>
        <v>44989</v>
      </c>
      <c r="Q588" s="4">
        <v>44989</v>
      </c>
      <c r="R588" s="1" t="s">
        <v>16</v>
      </c>
      <c r="S588" s="1" t="s">
        <v>23</v>
      </c>
      <c r="T588" t="s">
        <v>1086</v>
      </c>
      <c r="W588">
        <f>IF(Table1[[#This Row],[Claim_Amount]]&lt;0,0,Table1[[#This Row],[Claim_Amount]])</f>
        <v>0</v>
      </c>
      <c r="X588" t="str">
        <f>IF(Table1[[#This Row],[Column1]]=0,"",Table1[[#This Row],[Column1]])</f>
        <v/>
      </c>
      <c r="Y588" t="s">
        <v>1098</v>
      </c>
      <c r="Z588">
        <v>2481</v>
      </c>
      <c r="AA588">
        <v>832</v>
      </c>
      <c r="AB588" s="1" t="s">
        <v>25</v>
      </c>
      <c r="AC588" s="1" t="s">
        <v>1093</v>
      </c>
      <c r="AD588">
        <v>9</v>
      </c>
      <c r="AE588" s="3" t="s">
        <v>65</v>
      </c>
    </row>
    <row r="589" spans="1:31" ht="15.75" customHeight="1" x14ac:dyDescent="0.35">
      <c r="A589" s="1" t="s">
        <v>302</v>
      </c>
      <c r="B589" s="1" t="s">
        <v>612</v>
      </c>
      <c r="C589" t="s">
        <v>1084</v>
      </c>
      <c r="D589" s="1" t="s">
        <v>741</v>
      </c>
      <c r="E589" s="5" t="s">
        <v>741</v>
      </c>
      <c r="F589" s="4" t="str">
        <f>IF(ISNUMBER(Table13[[#This Row],[Claim_Date2]]),"",Table13[[#This Row],[Claim_Date2]])</f>
        <v>Feb 08 2023</v>
      </c>
      <c r="G589" s="4" t="s">
        <v>741</v>
      </c>
      <c r="H589" s="4" t="str">
        <f>LEFT(Table13[[#This Row],[Values Col 1]],3)</f>
        <v>Feb</v>
      </c>
      <c r="I589" s="4" t="s">
        <v>1109</v>
      </c>
      <c r="J589" s="4" t="str">
        <f>MID(Table13[[#This Row],[Function Col]],5,2)</f>
        <v>08</v>
      </c>
      <c r="K589" s="4" t="s">
        <v>1119</v>
      </c>
      <c r="L589" s="4" t="str">
        <f>RIGHT(Table13[[#This Row],[Function Col]],4)</f>
        <v>2023</v>
      </c>
      <c r="M589" s="4" t="s">
        <v>1146</v>
      </c>
      <c r="N589" s="4" t="str">
        <f>IF(Table13[[#This Row],[Function Col5]]="","",_xlfn.CONCAT(Table13[[#This Row],[Day Col]],"/",Table13[[#This Row],[Month Col]],"/",Table13[[#This Row],[Year Col]]))</f>
        <v>08/Feb/2023</v>
      </c>
      <c r="O589" s="4" t="s">
        <v>1287</v>
      </c>
      <c r="P589" s="4" t="str">
        <f>IF(ISNUMBER(Table13[[#This Row],[Claim_Date2]]),Table13[[#This Row],[Claim_Date2]],Table13[[#This Row],[Function Col32]])</f>
        <v>08/Feb/2023</v>
      </c>
      <c r="Q589" s="4">
        <v>44965</v>
      </c>
      <c r="R589" s="1" t="s">
        <v>16</v>
      </c>
      <c r="S589" s="1" t="s">
        <v>53</v>
      </c>
      <c r="T589" t="s">
        <v>1086</v>
      </c>
      <c r="W589">
        <f>IF(Table1[[#This Row],[Claim_Amount]]&lt;0,0,Table1[[#This Row],[Claim_Amount]])</f>
        <v>0</v>
      </c>
      <c r="X589" t="str">
        <f>IF(Table1[[#This Row],[Column1]]=0,"",Table1[[#This Row],[Column1]])</f>
        <v/>
      </c>
      <c r="Y589" t="s">
        <v>1098</v>
      </c>
      <c r="Z589">
        <v>2481</v>
      </c>
      <c r="AA589" s="1">
        <v>1030.8399999999999</v>
      </c>
      <c r="AB589" s="1" t="s">
        <v>25</v>
      </c>
      <c r="AC589" s="1" t="s">
        <v>1093</v>
      </c>
      <c r="AD589">
        <v>9</v>
      </c>
      <c r="AE589" s="3" t="s">
        <v>37</v>
      </c>
    </row>
    <row r="590" spans="1:31" ht="15.75" customHeight="1" x14ac:dyDescent="0.35">
      <c r="A590" s="1" t="s">
        <v>55</v>
      </c>
      <c r="B590" t="s">
        <v>1083</v>
      </c>
      <c r="C590" t="s">
        <v>1084</v>
      </c>
      <c r="D590" s="1" t="s">
        <v>791</v>
      </c>
      <c r="E590" s="5" t="s">
        <v>791</v>
      </c>
      <c r="F590" s="4" t="str">
        <f>IF(ISNUMBER(Table13[[#This Row],[Claim_Date2]]),"",Table13[[#This Row],[Claim_Date2]])</f>
        <v>May 02 2023</v>
      </c>
      <c r="G590" s="4" t="s">
        <v>791</v>
      </c>
      <c r="H590" s="4" t="str">
        <f>LEFT(Table13[[#This Row],[Values Col 1]],3)</f>
        <v>May</v>
      </c>
      <c r="I590" s="4" t="s">
        <v>1110</v>
      </c>
      <c r="J590" s="4" t="str">
        <f>MID(Table13[[#This Row],[Function Col]],5,2)</f>
        <v>02</v>
      </c>
      <c r="K590" s="4" t="s">
        <v>1130</v>
      </c>
      <c r="L590" s="4" t="str">
        <f>RIGHT(Table13[[#This Row],[Function Col]],4)</f>
        <v>2023</v>
      </c>
      <c r="M590" s="4" t="s">
        <v>1146</v>
      </c>
      <c r="N590" s="4" t="str">
        <f>IF(Table13[[#This Row],[Function Col5]]="","",_xlfn.CONCAT(Table13[[#This Row],[Day Col]],"/",Table13[[#This Row],[Month Col]],"/",Table13[[#This Row],[Year Col]]))</f>
        <v>02/May/2023</v>
      </c>
      <c r="O590" s="4" t="s">
        <v>1300</v>
      </c>
      <c r="P590" s="4" t="str">
        <f>IF(ISNUMBER(Table13[[#This Row],[Claim_Date2]]),Table13[[#This Row],[Claim_Date2]],Table13[[#This Row],[Function Col32]])</f>
        <v>02/May/2023</v>
      </c>
      <c r="Q590" s="4">
        <v>45048</v>
      </c>
      <c r="R590" s="1" t="s">
        <v>16</v>
      </c>
      <c r="S590" s="1" t="s">
        <v>31</v>
      </c>
      <c r="T590" s="1" t="s">
        <v>61</v>
      </c>
      <c r="U590" s="1"/>
      <c r="V590" s="1">
        <v>3236.15</v>
      </c>
      <c r="W590" s="1">
        <f>IF(Table1[[#This Row],[Claim_Amount]]&lt;0,0,Table1[[#This Row],[Claim_Amount]])</f>
        <v>3236.15</v>
      </c>
      <c r="X590" s="1">
        <f>IF(Table1[[#This Row],[Column1]]=0,"",Table1[[#This Row],[Column1]])</f>
        <v>3236.15</v>
      </c>
      <c r="Y590" s="1">
        <v>3236.15</v>
      </c>
      <c r="Z590" s="1">
        <v>3236.15</v>
      </c>
      <c r="AA590">
        <v>832</v>
      </c>
      <c r="AB590" s="1" t="s">
        <v>17</v>
      </c>
      <c r="AC590" s="1" t="s">
        <v>1093</v>
      </c>
      <c r="AD590">
        <v>9</v>
      </c>
      <c r="AE590" s="3" t="s">
        <v>1097</v>
      </c>
    </row>
    <row r="591" spans="1:31" ht="15.75" customHeight="1" x14ac:dyDescent="0.35">
      <c r="A591" s="1" t="s">
        <v>166</v>
      </c>
      <c r="B591" t="s">
        <v>1083</v>
      </c>
      <c r="C591" s="1" t="s">
        <v>792</v>
      </c>
      <c r="D591" s="1" t="s">
        <v>793</v>
      </c>
      <c r="E591" s="5" t="s">
        <v>793</v>
      </c>
      <c r="F591" s="4" t="str">
        <f>IF(ISNUMBER(Table13[[#This Row],[Claim_Date2]]),"",Table13[[#This Row],[Claim_Date2]])</f>
        <v>Aug 01 2023</v>
      </c>
      <c r="G591" s="4" t="s">
        <v>793</v>
      </c>
      <c r="H591" s="4" t="str">
        <f>LEFT(Table13[[#This Row],[Values Col 1]],3)</f>
        <v>Aug</v>
      </c>
      <c r="I591" s="4" t="s">
        <v>1106</v>
      </c>
      <c r="J591" s="4" t="str">
        <f>MID(Table13[[#This Row],[Function Col]],5,2)</f>
        <v>01</v>
      </c>
      <c r="K591" s="4" t="s">
        <v>1138</v>
      </c>
      <c r="L591" s="4" t="str">
        <f>RIGHT(Table13[[#This Row],[Function Col]],4)</f>
        <v>2023</v>
      </c>
      <c r="M591" s="4" t="s">
        <v>1146</v>
      </c>
      <c r="N591" s="4" t="str">
        <f>IF(Table13[[#This Row],[Function Col5]]="","",_xlfn.CONCAT(Table13[[#This Row],[Day Col]],"/",Table13[[#This Row],[Month Col]],"/",Table13[[#This Row],[Year Col]]))</f>
        <v>01/Aug/2023</v>
      </c>
      <c r="O591" s="4" t="s">
        <v>1301</v>
      </c>
      <c r="P591" s="4" t="str">
        <f>IF(ISNUMBER(Table13[[#This Row],[Claim_Date2]]),Table13[[#This Row],[Claim_Date2]],Table13[[#This Row],[Function Col32]])</f>
        <v>01/Aug/2023</v>
      </c>
      <c r="Q591" s="4">
        <v>45139</v>
      </c>
      <c r="R591" s="1" t="s">
        <v>92</v>
      </c>
      <c r="S591" s="1" t="s">
        <v>31</v>
      </c>
      <c r="T591" s="1" t="s">
        <v>41</v>
      </c>
      <c r="U591" s="1"/>
      <c r="V591" s="1">
        <v>3780.78</v>
      </c>
      <c r="W591" s="1">
        <f>IF(Table1[[#This Row],[Claim_Amount]]&lt;0,0,Table1[[#This Row],[Claim_Amount]])</f>
        <v>3780.78</v>
      </c>
      <c r="X591" s="1">
        <f>IF(Table1[[#This Row],[Column1]]=0,"",Table1[[#This Row],[Column1]])</f>
        <v>3780.78</v>
      </c>
      <c r="Y591" s="1">
        <v>3780.78</v>
      </c>
      <c r="Z591" s="1">
        <v>3780.78</v>
      </c>
      <c r="AA591">
        <v>832</v>
      </c>
      <c r="AB591" s="1" t="s">
        <v>25</v>
      </c>
      <c r="AC591" s="1" t="s">
        <v>57</v>
      </c>
      <c r="AD591">
        <v>9</v>
      </c>
      <c r="AE591" s="3" t="s">
        <v>27</v>
      </c>
    </row>
    <row r="592" spans="1:31" ht="15.75" customHeight="1" x14ac:dyDescent="0.35">
      <c r="A592" s="1" t="s">
        <v>321</v>
      </c>
      <c r="B592" t="s">
        <v>1083</v>
      </c>
      <c r="C592" s="1" t="s">
        <v>336</v>
      </c>
      <c r="D592" s="1" t="s">
        <v>794</v>
      </c>
      <c r="E592" s="5">
        <v>45118</v>
      </c>
      <c r="F592" s="4" t="str">
        <f>IF(ISNUMBER(Table13[[#This Row],[Claim_Date2]]),"",Table13[[#This Row],[Claim_Date2]])</f>
        <v/>
      </c>
      <c r="G592" s="4" t="s">
        <v>1098</v>
      </c>
      <c r="H592" s="4" t="str">
        <f>LEFT(Table13[[#This Row],[Values Col 1]],3)</f>
        <v/>
      </c>
      <c r="I592" s="4" t="s">
        <v>1098</v>
      </c>
      <c r="J592" s="4" t="str">
        <f>MID(Table13[[#This Row],[Function Col]],5,2)</f>
        <v/>
      </c>
      <c r="K592" s="4" t="s">
        <v>1098</v>
      </c>
      <c r="L592" s="4" t="str">
        <f>RIGHT(Table13[[#This Row],[Function Col]],4)</f>
        <v/>
      </c>
      <c r="M592" s="4" t="s">
        <v>1098</v>
      </c>
      <c r="N592" s="4" t="str">
        <f>IF(Table13[[#This Row],[Function Col5]]="","",_xlfn.CONCAT(Table13[[#This Row],[Day Col]],"/",Table13[[#This Row],[Month Col]],"/",Table13[[#This Row],[Year Col]]))</f>
        <v/>
      </c>
      <c r="O592" s="4" t="s">
        <v>1098</v>
      </c>
      <c r="P592" s="4">
        <f>IF(ISNUMBER(Table13[[#This Row],[Claim_Date2]]),Table13[[#This Row],[Claim_Date2]],Table13[[#This Row],[Function Col32]])</f>
        <v>45118</v>
      </c>
      <c r="Q592" s="4">
        <v>45118</v>
      </c>
      <c r="R592" s="1" t="s">
        <v>85</v>
      </c>
      <c r="S592" s="1" t="s">
        <v>23</v>
      </c>
      <c r="T592" s="1" t="s">
        <v>61</v>
      </c>
      <c r="U592" s="1"/>
      <c r="V592" s="1">
        <v>-92</v>
      </c>
      <c r="W592" s="1">
        <f>IF(Table1[[#This Row],[Claim_Amount]]&lt;0,0,Table1[[#This Row],[Claim_Amount]])</f>
        <v>0</v>
      </c>
      <c r="X592" s="1" t="str">
        <f>IF(Table1[[#This Row],[Column1]]=0,"",Table1[[#This Row],[Column1]])</f>
        <v/>
      </c>
      <c r="Y592" s="1" t="s">
        <v>1098</v>
      </c>
      <c r="Z592" s="1">
        <v>2481</v>
      </c>
      <c r="AA592" s="1">
        <v>1170.3900000000001</v>
      </c>
      <c r="AB592" s="1" t="s">
        <v>17</v>
      </c>
      <c r="AC592" s="1" t="s">
        <v>32</v>
      </c>
      <c r="AD592">
        <v>9</v>
      </c>
      <c r="AE592" s="3" t="s">
        <v>19</v>
      </c>
    </row>
    <row r="593" spans="1:31" ht="15.75" customHeight="1" x14ac:dyDescent="0.35">
      <c r="A593" s="1" t="s">
        <v>321</v>
      </c>
      <c r="B593" t="s">
        <v>1083</v>
      </c>
      <c r="C593" s="1" t="s">
        <v>238</v>
      </c>
      <c r="D593" s="1" t="s">
        <v>320</v>
      </c>
      <c r="E593" s="5">
        <v>45082</v>
      </c>
      <c r="F593" s="4" t="str">
        <f>IF(ISNUMBER(Table13[[#This Row],[Claim_Date2]]),"",Table13[[#This Row],[Claim_Date2]])</f>
        <v/>
      </c>
      <c r="G593" s="4" t="s">
        <v>1098</v>
      </c>
      <c r="H593" s="4" t="str">
        <f>LEFT(Table13[[#This Row],[Values Col 1]],3)</f>
        <v/>
      </c>
      <c r="I593" s="4" t="s">
        <v>1098</v>
      </c>
      <c r="J593" s="4" t="str">
        <f>MID(Table13[[#This Row],[Function Col]],5,2)</f>
        <v/>
      </c>
      <c r="K593" s="4" t="s">
        <v>1098</v>
      </c>
      <c r="L593" s="4" t="str">
        <f>RIGHT(Table13[[#This Row],[Function Col]],4)</f>
        <v/>
      </c>
      <c r="M593" s="4" t="s">
        <v>1098</v>
      </c>
      <c r="N593" s="4" t="str">
        <f>IF(Table13[[#This Row],[Function Col5]]="","",_xlfn.CONCAT(Table13[[#This Row],[Day Col]],"/",Table13[[#This Row],[Month Col]],"/",Table13[[#This Row],[Year Col]]))</f>
        <v/>
      </c>
      <c r="O593" s="4" t="s">
        <v>1098</v>
      </c>
      <c r="P593" s="4">
        <f>IF(ISNUMBER(Table13[[#This Row],[Claim_Date2]]),Table13[[#This Row],[Claim_Date2]],Table13[[#This Row],[Function Col32]])</f>
        <v>45082</v>
      </c>
      <c r="Q593" s="4">
        <v>45082</v>
      </c>
      <c r="R593" s="1" t="s">
        <v>92</v>
      </c>
      <c r="S593" t="s">
        <v>1085</v>
      </c>
      <c r="T593" s="1" t="s">
        <v>54</v>
      </c>
      <c r="U593" s="1"/>
      <c r="W593">
        <f>IF(Table1[[#This Row],[Claim_Amount]]&lt;0,0,Table1[[#This Row],[Claim_Amount]])</f>
        <v>0</v>
      </c>
      <c r="X593" t="str">
        <f>IF(Table1[[#This Row],[Column1]]=0,"",Table1[[#This Row],[Column1]])</f>
        <v/>
      </c>
      <c r="Y593" t="s">
        <v>1098</v>
      </c>
      <c r="Z593">
        <v>2481</v>
      </c>
      <c r="AA593" s="1">
        <v>3508.39</v>
      </c>
      <c r="AB593" s="1" t="s">
        <v>1091</v>
      </c>
      <c r="AC593" s="1" t="s">
        <v>1093</v>
      </c>
      <c r="AD593" s="1">
        <v>7</v>
      </c>
      <c r="AE593" s="3" t="s">
        <v>27</v>
      </c>
    </row>
    <row r="594" spans="1:31" ht="15.75" customHeight="1" x14ac:dyDescent="0.35">
      <c r="A594" s="1" t="s">
        <v>50</v>
      </c>
      <c r="B594" t="s">
        <v>1083</v>
      </c>
      <c r="C594" t="s">
        <v>1084</v>
      </c>
      <c r="D594" s="1" t="s">
        <v>795</v>
      </c>
      <c r="E594" s="5" t="s">
        <v>795</v>
      </c>
      <c r="F594" s="4" t="str">
        <f>IF(ISNUMBER(Table13[[#This Row],[Claim_Date2]]),"",Table13[[#This Row],[Claim_Date2]])</f>
        <v>Sep 25 2023</v>
      </c>
      <c r="G594" s="4" t="s">
        <v>795</v>
      </c>
      <c r="H594" s="4" t="str">
        <f>LEFT(Table13[[#This Row],[Values Col 1]],3)</f>
        <v>Sep</v>
      </c>
      <c r="I594" s="4" t="s">
        <v>1102</v>
      </c>
      <c r="J594" s="4" t="str">
        <f>MID(Table13[[#This Row],[Function Col]],5,2)</f>
        <v>25</v>
      </c>
      <c r="K594" s="4" t="s">
        <v>1123</v>
      </c>
      <c r="L594" s="4" t="str">
        <f>RIGHT(Table13[[#This Row],[Function Col]],4)</f>
        <v>2023</v>
      </c>
      <c r="M594" s="4" t="s">
        <v>1146</v>
      </c>
      <c r="N594" s="4" t="str">
        <f>IF(Table13[[#This Row],[Function Col5]]="","",_xlfn.CONCAT(Table13[[#This Row],[Day Col]],"/",Table13[[#This Row],[Month Col]],"/",Table13[[#This Row],[Year Col]]))</f>
        <v>25/Sep/2023</v>
      </c>
      <c r="O594" s="4" t="s">
        <v>1302</v>
      </c>
      <c r="P594" s="4" t="str">
        <f>IF(ISNUMBER(Table13[[#This Row],[Claim_Date2]]),Table13[[#This Row],[Claim_Date2]],Table13[[#This Row],[Function Col32]])</f>
        <v>25/Sep/2023</v>
      </c>
      <c r="Q594" s="4">
        <v>45194</v>
      </c>
      <c r="R594" s="1" t="s">
        <v>85</v>
      </c>
      <c r="S594" s="1" t="s">
        <v>47</v>
      </c>
      <c r="T594" s="1" t="s">
        <v>48</v>
      </c>
      <c r="U594" s="1"/>
      <c r="W594">
        <f>IF(Table1[[#This Row],[Claim_Amount]]&lt;0,0,Table1[[#This Row],[Claim_Amount]])</f>
        <v>0</v>
      </c>
      <c r="X594" t="str">
        <f>IF(Table1[[#This Row],[Column1]]=0,"",Table1[[#This Row],[Column1]])</f>
        <v/>
      </c>
      <c r="Y594" t="s">
        <v>1098</v>
      </c>
      <c r="Z594">
        <v>2481</v>
      </c>
      <c r="AA594">
        <v>832</v>
      </c>
      <c r="AB594" s="1" t="s">
        <v>17</v>
      </c>
      <c r="AC594" s="1" t="s">
        <v>26</v>
      </c>
      <c r="AD594">
        <v>9</v>
      </c>
      <c r="AE594" s="3" t="s">
        <v>19</v>
      </c>
    </row>
    <row r="595" spans="1:31" ht="15.75" customHeight="1" x14ac:dyDescent="0.35">
      <c r="A595" s="1" t="s">
        <v>28</v>
      </c>
      <c r="B595" s="1" t="s">
        <v>796</v>
      </c>
      <c r="C595" s="1" t="s">
        <v>378</v>
      </c>
      <c r="D595" s="1" t="s">
        <v>797</v>
      </c>
      <c r="E595" s="5">
        <v>44966</v>
      </c>
      <c r="F595" s="4" t="str">
        <f>IF(ISNUMBER(Table13[[#This Row],[Claim_Date2]]),"",Table13[[#This Row],[Claim_Date2]])</f>
        <v/>
      </c>
      <c r="G595" s="4" t="s">
        <v>1098</v>
      </c>
      <c r="H595" s="4" t="str">
        <f>LEFT(Table13[[#This Row],[Values Col 1]],3)</f>
        <v/>
      </c>
      <c r="I595" s="4" t="s">
        <v>1098</v>
      </c>
      <c r="J595" s="4" t="str">
        <f>MID(Table13[[#This Row],[Function Col]],5,2)</f>
        <v/>
      </c>
      <c r="K595" s="4" t="s">
        <v>1098</v>
      </c>
      <c r="L595" s="4" t="str">
        <f>RIGHT(Table13[[#This Row],[Function Col]],4)</f>
        <v/>
      </c>
      <c r="M595" s="4" t="s">
        <v>1098</v>
      </c>
      <c r="N595" s="4" t="str">
        <f>IF(Table13[[#This Row],[Function Col5]]="","",_xlfn.CONCAT(Table13[[#This Row],[Day Col]],"/",Table13[[#This Row],[Month Col]],"/",Table13[[#This Row],[Year Col]]))</f>
        <v/>
      </c>
      <c r="O595" s="4" t="s">
        <v>1098</v>
      </c>
      <c r="P595" s="4">
        <f>IF(ISNUMBER(Table13[[#This Row],[Claim_Date2]]),Table13[[#This Row],[Claim_Date2]],Table13[[#This Row],[Function Col32]])</f>
        <v>44966</v>
      </c>
      <c r="Q595" s="4">
        <v>44966</v>
      </c>
      <c r="R595" s="1" t="s">
        <v>16</v>
      </c>
      <c r="S595" s="1" t="s">
        <v>93</v>
      </c>
      <c r="T595" s="1" t="s">
        <v>61</v>
      </c>
      <c r="U595" s="1"/>
      <c r="V595" s="1">
        <v>-129</v>
      </c>
      <c r="W595" s="1">
        <f>IF(Table1[[#This Row],[Claim_Amount]]&lt;0,0,Table1[[#This Row],[Claim_Amount]])</f>
        <v>0</v>
      </c>
      <c r="X595" s="1" t="str">
        <f>IF(Table1[[#This Row],[Column1]]=0,"",Table1[[#This Row],[Column1]])</f>
        <v/>
      </c>
      <c r="Y595" s="1" t="s">
        <v>1098</v>
      </c>
      <c r="Z595" s="1">
        <v>2481</v>
      </c>
      <c r="AA595" s="1">
        <v>980.19</v>
      </c>
      <c r="AB595" s="1" t="s">
        <v>42</v>
      </c>
      <c r="AC595" s="1" t="s">
        <v>18</v>
      </c>
      <c r="AD595">
        <v>9</v>
      </c>
      <c r="AE595" s="3" t="s">
        <v>1097</v>
      </c>
    </row>
    <row r="596" spans="1:31" ht="15.75" customHeight="1" x14ac:dyDescent="0.35">
      <c r="A596" s="1" t="s">
        <v>163</v>
      </c>
      <c r="B596" t="s">
        <v>1083</v>
      </c>
      <c r="C596" t="s">
        <v>1084</v>
      </c>
      <c r="D596" s="1" t="s">
        <v>798</v>
      </c>
      <c r="E596" s="5">
        <v>45262</v>
      </c>
      <c r="F596" s="4" t="str">
        <f>IF(ISNUMBER(Table13[[#This Row],[Claim_Date2]]),"",Table13[[#This Row],[Claim_Date2]])</f>
        <v/>
      </c>
      <c r="G596" s="4" t="s">
        <v>1098</v>
      </c>
      <c r="H596" s="4" t="str">
        <f>LEFT(Table13[[#This Row],[Values Col 1]],3)</f>
        <v/>
      </c>
      <c r="I596" s="4" t="s">
        <v>1098</v>
      </c>
      <c r="J596" s="4" t="str">
        <f>MID(Table13[[#This Row],[Function Col]],5,2)</f>
        <v/>
      </c>
      <c r="K596" s="4" t="s">
        <v>1098</v>
      </c>
      <c r="L596" s="4" t="str">
        <f>RIGHT(Table13[[#This Row],[Function Col]],4)</f>
        <v/>
      </c>
      <c r="M596" s="4" t="s">
        <v>1098</v>
      </c>
      <c r="N596" s="4" t="str">
        <f>IF(Table13[[#This Row],[Function Col5]]="","",_xlfn.CONCAT(Table13[[#This Row],[Day Col]],"/",Table13[[#This Row],[Month Col]],"/",Table13[[#This Row],[Year Col]]))</f>
        <v/>
      </c>
      <c r="O596" s="4" t="s">
        <v>1098</v>
      </c>
      <c r="P596" s="4">
        <f>IF(ISNUMBER(Table13[[#This Row],[Claim_Date2]]),Table13[[#This Row],[Claim_Date2]],Table13[[#This Row],[Function Col32]])</f>
        <v>45262</v>
      </c>
      <c r="Q596" s="4">
        <v>45262</v>
      </c>
      <c r="R596" s="1" t="s">
        <v>85</v>
      </c>
      <c r="S596" s="1" t="s">
        <v>93</v>
      </c>
      <c r="T596" s="1" t="s">
        <v>41</v>
      </c>
      <c r="U596" s="1"/>
      <c r="W596">
        <f>IF(Table1[[#This Row],[Claim_Amount]]&lt;0,0,Table1[[#This Row],[Claim_Amount]])</f>
        <v>0</v>
      </c>
      <c r="X596" t="str">
        <f>IF(Table1[[#This Row],[Column1]]=0,"",Table1[[#This Row],[Column1]])</f>
        <v/>
      </c>
      <c r="Y596" t="s">
        <v>1098</v>
      </c>
      <c r="Z596">
        <v>2481</v>
      </c>
      <c r="AA596" s="1">
        <v>3911.1</v>
      </c>
      <c r="AB596" s="1" t="s">
        <v>25</v>
      </c>
      <c r="AC596" s="1" t="s">
        <v>32</v>
      </c>
      <c r="AD596" s="1">
        <v>27</v>
      </c>
      <c r="AE596" s="3" t="s">
        <v>27</v>
      </c>
    </row>
    <row r="597" spans="1:31" ht="15.75" customHeight="1" x14ac:dyDescent="0.35">
      <c r="A597" s="1" t="s">
        <v>209</v>
      </c>
      <c r="B597" s="1" t="s">
        <v>799</v>
      </c>
      <c r="C597" t="s">
        <v>1084</v>
      </c>
      <c r="D597" s="1" t="s">
        <v>120</v>
      </c>
      <c r="E597" s="5">
        <v>44981</v>
      </c>
      <c r="F597" s="4" t="str">
        <f>IF(ISNUMBER(Table13[[#This Row],[Claim_Date2]]),"",Table13[[#This Row],[Claim_Date2]])</f>
        <v/>
      </c>
      <c r="G597" s="4" t="s">
        <v>1098</v>
      </c>
      <c r="H597" s="4" t="str">
        <f>LEFT(Table13[[#This Row],[Values Col 1]],3)</f>
        <v/>
      </c>
      <c r="I597" s="4" t="s">
        <v>1098</v>
      </c>
      <c r="J597" s="4" t="str">
        <f>MID(Table13[[#This Row],[Function Col]],5,2)</f>
        <v/>
      </c>
      <c r="K597" s="4" t="s">
        <v>1098</v>
      </c>
      <c r="L597" s="4" t="str">
        <f>RIGHT(Table13[[#This Row],[Function Col]],4)</f>
        <v/>
      </c>
      <c r="M597" s="4" t="s">
        <v>1098</v>
      </c>
      <c r="N597" s="4" t="str">
        <f>IF(Table13[[#This Row],[Function Col5]]="","",_xlfn.CONCAT(Table13[[#This Row],[Day Col]],"/",Table13[[#This Row],[Month Col]],"/",Table13[[#This Row],[Year Col]]))</f>
        <v/>
      </c>
      <c r="O597" s="4" t="s">
        <v>1098</v>
      </c>
      <c r="P597" s="4">
        <f>IF(ISNUMBER(Table13[[#This Row],[Claim_Date2]]),Table13[[#This Row],[Claim_Date2]],Table13[[#This Row],[Function Col32]])</f>
        <v>44981</v>
      </c>
      <c r="Q597" s="4">
        <v>44981</v>
      </c>
      <c r="R597" s="1" t="s">
        <v>77</v>
      </c>
      <c r="S597" s="1" t="s">
        <v>93</v>
      </c>
      <c r="T597" s="1" t="s">
        <v>41</v>
      </c>
      <c r="U597" s="1"/>
      <c r="V597" s="1">
        <v>-179</v>
      </c>
      <c r="W597" s="1">
        <f>IF(Table1[[#This Row],[Claim_Amount]]&lt;0,0,Table1[[#This Row],[Claim_Amount]])</f>
        <v>0</v>
      </c>
      <c r="X597" s="1" t="str">
        <f>IF(Table1[[#This Row],[Column1]]=0,"",Table1[[#This Row],[Column1]])</f>
        <v/>
      </c>
      <c r="Y597" s="1" t="s">
        <v>1098</v>
      </c>
      <c r="Z597" s="1">
        <v>2481</v>
      </c>
      <c r="AA597" s="1">
        <v>1792.19</v>
      </c>
      <c r="AB597" s="1" t="s">
        <v>1091</v>
      </c>
      <c r="AC597" s="1" t="s">
        <v>26</v>
      </c>
      <c r="AD597">
        <v>9</v>
      </c>
      <c r="AE597" s="3" t="s">
        <v>65</v>
      </c>
    </row>
    <row r="598" spans="1:31" ht="15.75" customHeight="1" x14ac:dyDescent="0.35">
      <c r="A598" s="1" t="s">
        <v>50</v>
      </c>
      <c r="B598" t="s">
        <v>1083</v>
      </c>
      <c r="C598" t="s">
        <v>1084</v>
      </c>
      <c r="D598" s="1" t="s">
        <v>392</v>
      </c>
      <c r="E598" s="5">
        <v>45152</v>
      </c>
      <c r="F598" s="4" t="str">
        <f>IF(ISNUMBER(Table13[[#This Row],[Claim_Date2]]),"",Table13[[#This Row],[Claim_Date2]])</f>
        <v/>
      </c>
      <c r="G598" s="4" t="s">
        <v>1098</v>
      </c>
      <c r="H598" s="4" t="str">
        <f>LEFT(Table13[[#This Row],[Values Col 1]],3)</f>
        <v/>
      </c>
      <c r="I598" s="4" t="s">
        <v>1098</v>
      </c>
      <c r="J598" s="4" t="str">
        <f>MID(Table13[[#This Row],[Function Col]],5,2)</f>
        <v/>
      </c>
      <c r="K598" s="4" t="s">
        <v>1098</v>
      </c>
      <c r="L598" s="4" t="str">
        <f>RIGHT(Table13[[#This Row],[Function Col]],4)</f>
        <v/>
      </c>
      <c r="M598" s="4" t="s">
        <v>1098</v>
      </c>
      <c r="N598" s="4" t="str">
        <f>IF(Table13[[#This Row],[Function Col5]]="","",_xlfn.CONCAT(Table13[[#This Row],[Day Col]],"/",Table13[[#This Row],[Month Col]],"/",Table13[[#This Row],[Year Col]]))</f>
        <v/>
      </c>
      <c r="O598" s="4" t="s">
        <v>1098</v>
      </c>
      <c r="P598" s="4">
        <f>IF(ISNUMBER(Table13[[#This Row],[Claim_Date2]]),Table13[[#This Row],[Claim_Date2]],Table13[[#This Row],[Function Col32]])</f>
        <v>45152</v>
      </c>
      <c r="Q598" s="4">
        <v>45152</v>
      </c>
      <c r="R598" s="1" t="s">
        <v>16</v>
      </c>
      <c r="S598" s="1" t="s">
        <v>23</v>
      </c>
      <c r="T598" t="s">
        <v>1086</v>
      </c>
      <c r="W598">
        <f>IF(Table1[[#This Row],[Claim_Amount]]&lt;0,0,Table1[[#This Row],[Claim_Amount]])</f>
        <v>0</v>
      </c>
      <c r="X598" t="str">
        <f>IF(Table1[[#This Row],[Column1]]=0,"",Table1[[#This Row],[Column1]])</f>
        <v/>
      </c>
      <c r="Y598" t="s">
        <v>1098</v>
      </c>
      <c r="Z598">
        <v>2481</v>
      </c>
      <c r="AA598">
        <v>832</v>
      </c>
      <c r="AB598" s="1" t="s">
        <v>17</v>
      </c>
      <c r="AC598" s="1" t="s">
        <v>57</v>
      </c>
      <c r="AD598">
        <v>9</v>
      </c>
      <c r="AE598" s="3" t="s">
        <v>1097</v>
      </c>
    </row>
    <row r="599" spans="1:31" ht="15.75" customHeight="1" x14ac:dyDescent="0.35">
      <c r="A599" s="1" t="s">
        <v>117</v>
      </c>
      <c r="B599" t="s">
        <v>1083</v>
      </c>
      <c r="C599" s="1" t="s">
        <v>479</v>
      </c>
      <c r="D599" s="1" t="s">
        <v>800</v>
      </c>
      <c r="E599" s="5">
        <v>45257</v>
      </c>
      <c r="F599" s="4" t="str">
        <f>IF(ISNUMBER(Table13[[#This Row],[Claim_Date2]]),"",Table13[[#This Row],[Claim_Date2]])</f>
        <v/>
      </c>
      <c r="G599" s="4" t="s">
        <v>1098</v>
      </c>
      <c r="H599" s="4" t="str">
        <f>LEFT(Table13[[#This Row],[Values Col 1]],3)</f>
        <v/>
      </c>
      <c r="I599" s="4" t="s">
        <v>1098</v>
      </c>
      <c r="J599" s="4" t="str">
        <f>MID(Table13[[#This Row],[Function Col]],5,2)</f>
        <v/>
      </c>
      <c r="K599" s="4" t="s">
        <v>1098</v>
      </c>
      <c r="L599" s="4" t="str">
        <f>RIGHT(Table13[[#This Row],[Function Col]],4)</f>
        <v/>
      </c>
      <c r="M599" s="4" t="s">
        <v>1098</v>
      </c>
      <c r="N599" s="4" t="str">
        <f>IF(Table13[[#This Row],[Function Col5]]="","",_xlfn.CONCAT(Table13[[#This Row],[Day Col]],"/",Table13[[#This Row],[Month Col]],"/",Table13[[#This Row],[Year Col]]))</f>
        <v/>
      </c>
      <c r="O599" s="4" t="s">
        <v>1098</v>
      </c>
      <c r="P599" s="4">
        <f>IF(ISNUMBER(Table13[[#This Row],[Claim_Date2]]),Table13[[#This Row],[Claim_Date2]],Table13[[#This Row],[Function Col32]])</f>
        <v>45257</v>
      </c>
      <c r="Q599" s="4">
        <v>45257</v>
      </c>
      <c r="R599" s="1" t="s">
        <v>16</v>
      </c>
      <c r="S599" s="1" t="s">
        <v>23</v>
      </c>
      <c r="T599" s="1" t="s">
        <v>61</v>
      </c>
      <c r="U599" s="1"/>
      <c r="V599" s="1">
        <v>2897.39</v>
      </c>
      <c r="W599" s="1">
        <f>IF(Table1[[#This Row],[Claim_Amount]]&lt;0,0,Table1[[#This Row],[Claim_Amount]])</f>
        <v>2897.39</v>
      </c>
      <c r="X599" s="1">
        <f>IF(Table1[[#This Row],[Column1]]=0,"",Table1[[#This Row],[Column1]])</f>
        <v>2897.39</v>
      </c>
      <c r="Y599" s="1">
        <v>2897.39</v>
      </c>
      <c r="Z599" s="1">
        <v>2897.39</v>
      </c>
      <c r="AA599">
        <v>832</v>
      </c>
      <c r="AB599" s="1" t="s">
        <v>17</v>
      </c>
      <c r="AC599" s="1" t="s">
        <v>57</v>
      </c>
      <c r="AD599">
        <v>9</v>
      </c>
      <c r="AE599" s="3" t="s">
        <v>37</v>
      </c>
    </row>
    <row r="600" spans="1:31" ht="15.75" customHeight="1" x14ac:dyDescent="0.35">
      <c r="A600" s="1" t="s">
        <v>78</v>
      </c>
      <c r="B600" s="1" t="s">
        <v>801</v>
      </c>
      <c r="C600" t="s">
        <v>1084</v>
      </c>
      <c r="D600" s="1" t="s">
        <v>802</v>
      </c>
      <c r="E600" s="5">
        <v>45180</v>
      </c>
      <c r="F600" s="4" t="str">
        <f>IF(ISNUMBER(Table13[[#This Row],[Claim_Date2]]),"",Table13[[#This Row],[Claim_Date2]])</f>
        <v/>
      </c>
      <c r="G600" s="4" t="s">
        <v>1098</v>
      </c>
      <c r="H600" s="4" t="str">
        <f>LEFT(Table13[[#This Row],[Values Col 1]],3)</f>
        <v/>
      </c>
      <c r="I600" s="4" t="s">
        <v>1098</v>
      </c>
      <c r="J600" s="4" t="str">
        <f>MID(Table13[[#This Row],[Function Col]],5,2)</f>
        <v/>
      </c>
      <c r="K600" s="4" t="s">
        <v>1098</v>
      </c>
      <c r="L600" s="4" t="str">
        <f>RIGHT(Table13[[#This Row],[Function Col]],4)</f>
        <v/>
      </c>
      <c r="M600" s="4" t="s">
        <v>1098</v>
      </c>
      <c r="N600" s="4" t="str">
        <f>IF(Table13[[#This Row],[Function Col5]]="","",_xlfn.CONCAT(Table13[[#This Row],[Day Col]],"/",Table13[[#This Row],[Month Col]],"/",Table13[[#This Row],[Year Col]]))</f>
        <v/>
      </c>
      <c r="O600" s="4" t="s">
        <v>1098</v>
      </c>
      <c r="P600" s="4">
        <f>IF(ISNUMBER(Table13[[#This Row],[Claim_Date2]]),Table13[[#This Row],[Claim_Date2]],Table13[[#This Row],[Function Col32]])</f>
        <v>45180</v>
      </c>
      <c r="Q600" s="4">
        <v>45180</v>
      </c>
      <c r="R600" s="1" t="s">
        <v>92</v>
      </c>
      <c r="S600" t="s">
        <v>1085</v>
      </c>
      <c r="T600" s="1" t="s">
        <v>41</v>
      </c>
      <c r="U600" s="1"/>
      <c r="V600" s="1">
        <v>3543.97</v>
      </c>
      <c r="W600" s="1">
        <f>IF(Table1[[#This Row],[Claim_Amount]]&lt;0,0,Table1[[#This Row],[Claim_Amount]])</f>
        <v>3543.97</v>
      </c>
      <c r="X600" s="1">
        <f>IF(Table1[[#This Row],[Column1]]=0,"",Table1[[#This Row],[Column1]])</f>
        <v>3543.97</v>
      </c>
      <c r="Y600" s="1">
        <v>3543.97</v>
      </c>
      <c r="Z600" s="1">
        <v>3543.97</v>
      </c>
      <c r="AA600">
        <v>832</v>
      </c>
      <c r="AB600" s="1" t="s">
        <v>1091</v>
      </c>
      <c r="AC600" s="1" t="s">
        <v>1093</v>
      </c>
      <c r="AD600">
        <v>9</v>
      </c>
      <c r="AE600" s="3" t="s">
        <v>65</v>
      </c>
    </row>
    <row r="601" spans="1:31" ht="15.75" customHeight="1" x14ac:dyDescent="0.35">
      <c r="A601" s="1" t="s">
        <v>132</v>
      </c>
      <c r="B601" t="s">
        <v>1083</v>
      </c>
      <c r="C601" s="1" t="s">
        <v>636</v>
      </c>
      <c r="D601" s="1" t="s">
        <v>439</v>
      </c>
      <c r="E601" s="5">
        <v>45022</v>
      </c>
      <c r="F601" s="4" t="str">
        <f>IF(ISNUMBER(Table13[[#This Row],[Claim_Date2]]),"",Table13[[#This Row],[Claim_Date2]])</f>
        <v/>
      </c>
      <c r="G601" s="4" t="s">
        <v>1098</v>
      </c>
      <c r="H601" s="4" t="str">
        <f>LEFT(Table13[[#This Row],[Values Col 1]],3)</f>
        <v/>
      </c>
      <c r="I601" s="4" t="s">
        <v>1098</v>
      </c>
      <c r="J601" s="4" t="str">
        <f>MID(Table13[[#This Row],[Function Col]],5,2)</f>
        <v/>
      </c>
      <c r="K601" s="4" t="s">
        <v>1098</v>
      </c>
      <c r="L601" s="4" t="str">
        <f>RIGHT(Table13[[#This Row],[Function Col]],4)</f>
        <v/>
      </c>
      <c r="M601" s="4" t="s">
        <v>1098</v>
      </c>
      <c r="N601" s="4" t="str">
        <f>IF(Table13[[#This Row],[Function Col5]]="","",_xlfn.CONCAT(Table13[[#This Row],[Day Col]],"/",Table13[[#This Row],[Month Col]],"/",Table13[[#This Row],[Year Col]]))</f>
        <v/>
      </c>
      <c r="O601" s="4" t="s">
        <v>1098</v>
      </c>
      <c r="P601" s="4">
        <f>IF(ISNUMBER(Table13[[#This Row],[Claim_Date2]]),Table13[[#This Row],[Claim_Date2]],Table13[[#This Row],[Function Col32]])</f>
        <v>45022</v>
      </c>
      <c r="Q601" s="4">
        <v>45022</v>
      </c>
      <c r="R601" s="1" t="s">
        <v>16</v>
      </c>
      <c r="S601" t="s">
        <v>1085</v>
      </c>
      <c r="T601" s="1" t="s">
        <v>48</v>
      </c>
      <c r="U601" s="1"/>
      <c r="W601">
        <f>IF(Table1[[#This Row],[Claim_Amount]]&lt;0,0,Table1[[#This Row],[Claim_Amount]])</f>
        <v>0</v>
      </c>
      <c r="X601" t="str">
        <f>IF(Table1[[#This Row],[Column1]]=0,"",Table1[[#This Row],[Column1]])</f>
        <v/>
      </c>
      <c r="Y601" t="s">
        <v>1098</v>
      </c>
      <c r="Z601">
        <v>2481</v>
      </c>
      <c r="AA601" s="1">
        <v>4873.1400000000003</v>
      </c>
      <c r="AB601" s="1" t="s">
        <v>17</v>
      </c>
      <c r="AC601" s="1" t="s">
        <v>26</v>
      </c>
      <c r="AD601">
        <v>9</v>
      </c>
      <c r="AE601" s="3" t="s">
        <v>37</v>
      </c>
    </row>
    <row r="602" spans="1:31" ht="15.75" customHeight="1" x14ac:dyDescent="0.35">
      <c r="A602" s="1" t="s">
        <v>66</v>
      </c>
      <c r="B602" t="s">
        <v>1083</v>
      </c>
      <c r="C602" t="s">
        <v>1084</v>
      </c>
      <c r="D602" s="1" t="s">
        <v>357</v>
      </c>
      <c r="E602" s="5" t="s">
        <v>357</v>
      </c>
      <c r="F602" s="4" t="str">
        <f>IF(ISNUMBER(Table13[[#This Row],[Claim_Date2]]),"",Table13[[#This Row],[Claim_Date2]])</f>
        <v>Jan 09 2023</v>
      </c>
      <c r="G602" s="4" t="s">
        <v>357</v>
      </c>
      <c r="H602" s="4" t="str">
        <f>LEFT(Table13[[#This Row],[Values Col 1]],3)</f>
        <v>Jan</v>
      </c>
      <c r="I602" s="4" t="s">
        <v>1107</v>
      </c>
      <c r="J602" s="4" t="str">
        <f>MID(Table13[[#This Row],[Function Col]],5,2)</f>
        <v>09</v>
      </c>
      <c r="K602" s="4" t="s">
        <v>1127</v>
      </c>
      <c r="L602" s="4" t="str">
        <f>RIGHT(Table13[[#This Row],[Function Col]],4)</f>
        <v>2023</v>
      </c>
      <c r="M602" s="4" t="s">
        <v>1146</v>
      </c>
      <c r="N602" s="4" t="str">
        <f>IF(Table13[[#This Row],[Function Col5]]="","",_xlfn.CONCAT(Table13[[#This Row],[Day Col]],"/",Table13[[#This Row],[Month Col]],"/",Table13[[#This Row],[Year Col]]))</f>
        <v>09/Jan/2023</v>
      </c>
      <c r="O602" s="4" t="s">
        <v>1201</v>
      </c>
      <c r="P602" s="4" t="str">
        <f>IF(ISNUMBER(Table13[[#This Row],[Claim_Date2]]),Table13[[#This Row],[Claim_Date2]],Table13[[#This Row],[Function Col32]])</f>
        <v>09/Jan/2023</v>
      </c>
      <c r="Q602" s="4">
        <v>44935</v>
      </c>
      <c r="R602" s="1" t="s">
        <v>16</v>
      </c>
      <c r="S602" s="1" t="s">
        <v>31</v>
      </c>
      <c r="T602" s="1" t="s">
        <v>24</v>
      </c>
      <c r="U602" s="1"/>
      <c r="W602">
        <f>IF(Table1[[#This Row],[Claim_Amount]]&lt;0,0,Table1[[#This Row],[Claim_Amount]])</f>
        <v>0</v>
      </c>
      <c r="X602" t="str">
        <f>IF(Table1[[#This Row],[Column1]]=0,"",Table1[[#This Row],[Column1]])</f>
        <v/>
      </c>
      <c r="Y602" t="s">
        <v>1098</v>
      </c>
      <c r="Z602">
        <v>2481</v>
      </c>
      <c r="AA602" s="1">
        <v>3887.52</v>
      </c>
      <c r="AB602" s="1" t="s">
        <v>42</v>
      </c>
      <c r="AC602" s="1" t="s">
        <v>32</v>
      </c>
      <c r="AD602">
        <v>9</v>
      </c>
      <c r="AE602" s="3" t="s">
        <v>27</v>
      </c>
    </row>
    <row r="603" spans="1:31" ht="15.75" customHeight="1" x14ac:dyDescent="0.35">
      <c r="A603" s="1" t="s">
        <v>73</v>
      </c>
      <c r="B603" t="s">
        <v>1083</v>
      </c>
      <c r="C603" t="s">
        <v>1084</v>
      </c>
      <c r="D603" s="1" t="s">
        <v>803</v>
      </c>
      <c r="E603" s="5">
        <v>45161</v>
      </c>
      <c r="F603" s="4" t="str">
        <f>IF(ISNUMBER(Table13[[#This Row],[Claim_Date2]]),"",Table13[[#This Row],[Claim_Date2]])</f>
        <v/>
      </c>
      <c r="G603" s="4" t="s">
        <v>1098</v>
      </c>
      <c r="H603" s="4" t="str">
        <f>LEFT(Table13[[#This Row],[Values Col 1]],3)</f>
        <v/>
      </c>
      <c r="I603" s="4" t="s">
        <v>1098</v>
      </c>
      <c r="J603" s="4" t="str">
        <f>MID(Table13[[#This Row],[Function Col]],5,2)</f>
        <v/>
      </c>
      <c r="K603" s="4" t="s">
        <v>1098</v>
      </c>
      <c r="L603" s="4" t="str">
        <f>RIGHT(Table13[[#This Row],[Function Col]],4)</f>
        <v/>
      </c>
      <c r="M603" s="4" t="s">
        <v>1098</v>
      </c>
      <c r="N603" s="4" t="str">
        <f>IF(Table13[[#This Row],[Function Col5]]="","",_xlfn.CONCAT(Table13[[#This Row],[Day Col]],"/",Table13[[#This Row],[Month Col]],"/",Table13[[#This Row],[Year Col]]))</f>
        <v/>
      </c>
      <c r="O603" s="4" t="s">
        <v>1098</v>
      </c>
      <c r="P603" s="4">
        <f>IF(ISNUMBER(Table13[[#This Row],[Claim_Date2]]),Table13[[#This Row],[Claim_Date2]],Table13[[#This Row],[Function Col32]])</f>
        <v>45161</v>
      </c>
      <c r="Q603" s="4">
        <v>45161</v>
      </c>
      <c r="R603" s="1" t="s">
        <v>92</v>
      </c>
      <c r="S603" t="s">
        <v>1085</v>
      </c>
      <c r="T603" s="1" t="s">
        <v>41</v>
      </c>
      <c r="U603" s="1"/>
      <c r="V603" s="1">
        <v>-179</v>
      </c>
      <c r="W603" s="1">
        <f>IF(Table1[[#This Row],[Claim_Amount]]&lt;0,0,Table1[[#This Row],[Claim_Amount]])</f>
        <v>0</v>
      </c>
      <c r="X603" s="1" t="str">
        <f>IF(Table1[[#This Row],[Column1]]=0,"",Table1[[#This Row],[Column1]])</f>
        <v/>
      </c>
      <c r="Y603" s="1" t="s">
        <v>1098</v>
      </c>
      <c r="Z603" s="1">
        <v>2481</v>
      </c>
      <c r="AA603">
        <v>832</v>
      </c>
      <c r="AB603" s="1" t="s">
        <v>1091</v>
      </c>
      <c r="AC603" s="1" t="s">
        <v>26</v>
      </c>
      <c r="AD603">
        <v>9</v>
      </c>
      <c r="AE603" s="3" t="s">
        <v>65</v>
      </c>
    </row>
    <row r="604" spans="1:31" ht="15.75" customHeight="1" x14ac:dyDescent="0.35">
      <c r="A604" s="1" t="s">
        <v>249</v>
      </c>
      <c r="B604" t="s">
        <v>1083</v>
      </c>
      <c r="C604" s="1" t="s">
        <v>625</v>
      </c>
      <c r="D604" s="1" t="s">
        <v>344</v>
      </c>
      <c r="E604" s="5">
        <v>45222</v>
      </c>
      <c r="F604" s="4" t="str">
        <f>IF(ISNUMBER(Table13[[#This Row],[Claim_Date2]]),"",Table13[[#This Row],[Claim_Date2]])</f>
        <v/>
      </c>
      <c r="G604" s="4" t="s">
        <v>1098</v>
      </c>
      <c r="H604" s="4" t="str">
        <f>LEFT(Table13[[#This Row],[Values Col 1]],3)</f>
        <v/>
      </c>
      <c r="I604" s="4" t="s">
        <v>1098</v>
      </c>
      <c r="J604" s="4" t="str">
        <f>MID(Table13[[#This Row],[Function Col]],5,2)</f>
        <v/>
      </c>
      <c r="K604" s="4" t="s">
        <v>1098</v>
      </c>
      <c r="L604" s="4" t="str">
        <f>RIGHT(Table13[[#This Row],[Function Col]],4)</f>
        <v/>
      </c>
      <c r="M604" s="4" t="s">
        <v>1098</v>
      </c>
      <c r="N604" s="4" t="str">
        <f>IF(Table13[[#This Row],[Function Col5]]="","",_xlfn.CONCAT(Table13[[#This Row],[Day Col]],"/",Table13[[#This Row],[Month Col]],"/",Table13[[#This Row],[Year Col]]))</f>
        <v/>
      </c>
      <c r="O604" s="4" t="s">
        <v>1098</v>
      </c>
      <c r="P604" s="4">
        <f>IF(ISNUMBER(Table13[[#This Row],[Claim_Date2]]),Table13[[#This Row],[Claim_Date2]],Table13[[#This Row],[Function Col32]])</f>
        <v>45222</v>
      </c>
      <c r="Q604" s="4">
        <v>45222</v>
      </c>
      <c r="R604" s="1" t="s">
        <v>92</v>
      </c>
      <c r="S604" s="1" t="s">
        <v>93</v>
      </c>
      <c r="T604" t="s">
        <v>1086</v>
      </c>
      <c r="V604" s="1">
        <v>491.91</v>
      </c>
      <c r="W604" s="1">
        <f>IF(Table1[[#This Row],[Claim_Amount]]&lt;0,0,Table1[[#This Row],[Claim_Amount]])</f>
        <v>491.91</v>
      </c>
      <c r="X604" s="1">
        <f>IF(Table1[[#This Row],[Column1]]=0,"",Table1[[#This Row],[Column1]])</f>
        <v>491.91</v>
      </c>
      <c r="Y604" s="1">
        <v>491.91</v>
      </c>
      <c r="Z604" s="1">
        <v>491.91</v>
      </c>
      <c r="AA604">
        <v>832</v>
      </c>
      <c r="AB604" s="1" t="s">
        <v>1091</v>
      </c>
      <c r="AC604" s="1" t="s">
        <v>1093</v>
      </c>
      <c r="AD604">
        <v>9</v>
      </c>
      <c r="AE604" s="3" t="s">
        <v>65</v>
      </c>
    </row>
    <row r="605" spans="1:31" ht="15.75" customHeight="1" x14ac:dyDescent="0.35">
      <c r="A605" s="1" t="s">
        <v>247</v>
      </c>
      <c r="B605" t="s">
        <v>1083</v>
      </c>
      <c r="C605" t="s">
        <v>1084</v>
      </c>
      <c r="D605" s="1" t="s">
        <v>804</v>
      </c>
      <c r="E605" s="5">
        <v>45140</v>
      </c>
      <c r="F605" s="4" t="str">
        <f>IF(ISNUMBER(Table13[[#This Row],[Claim_Date2]]),"",Table13[[#This Row],[Claim_Date2]])</f>
        <v/>
      </c>
      <c r="G605" s="4" t="s">
        <v>1098</v>
      </c>
      <c r="H605" s="4" t="str">
        <f>LEFT(Table13[[#This Row],[Values Col 1]],3)</f>
        <v/>
      </c>
      <c r="I605" s="4" t="s">
        <v>1098</v>
      </c>
      <c r="J605" s="4" t="str">
        <f>MID(Table13[[#This Row],[Function Col]],5,2)</f>
        <v/>
      </c>
      <c r="K605" s="4" t="s">
        <v>1098</v>
      </c>
      <c r="L605" s="4" t="str">
        <f>RIGHT(Table13[[#This Row],[Function Col]],4)</f>
        <v/>
      </c>
      <c r="M605" s="4" t="s">
        <v>1098</v>
      </c>
      <c r="N605" s="4" t="str">
        <f>IF(Table13[[#This Row],[Function Col5]]="","",_xlfn.CONCAT(Table13[[#This Row],[Day Col]],"/",Table13[[#This Row],[Month Col]],"/",Table13[[#This Row],[Year Col]]))</f>
        <v/>
      </c>
      <c r="O605" s="4" t="s">
        <v>1098</v>
      </c>
      <c r="P605" s="4">
        <f>IF(ISNUMBER(Table13[[#This Row],[Claim_Date2]]),Table13[[#This Row],[Claim_Date2]],Table13[[#This Row],[Function Col32]])</f>
        <v>45140</v>
      </c>
      <c r="Q605" s="4">
        <v>45140</v>
      </c>
      <c r="R605" s="1" t="s">
        <v>85</v>
      </c>
      <c r="S605" s="1" t="s">
        <v>23</v>
      </c>
      <c r="T605" s="1" t="s">
        <v>54</v>
      </c>
      <c r="U605" s="1"/>
      <c r="V605" s="1">
        <v>2624.38</v>
      </c>
      <c r="W605" s="1">
        <f>IF(Table1[[#This Row],[Claim_Amount]]&lt;0,0,Table1[[#This Row],[Claim_Amount]])</f>
        <v>2624.38</v>
      </c>
      <c r="X605" s="1">
        <f>IF(Table1[[#This Row],[Column1]]=0,"",Table1[[#This Row],[Column1]])</f>
        <v>2624.38</v>
      </c>
      <c r="Y605" s="1">
        <v>2624.38</v>
      </c>
      <c r="Z605" s="1">
        <v>2624.38</v>
      </c>
      <c r="AA605">
        <v>832</v>
      </c>
      <c r="AB605" s="1" t="s">
        <v>1091</v>
      </c>
      <c r="AC605" s="1" t="s">
        <v>32</v>
      </c>
      <c r="AD605" s="1">
        <v>18</v>
      </c>
      <c r="AE605" s="3" t="s">
        <v>19</v>
      </c>
    </row>
    <row r="606" spans="1:31" ht="15.75" customHeight="1" x14ac:dyDescent="0.35">
      <c r="A606" s="1" t="s">
        <v>117</v>
      </c>
      <c r="B606" s="1" t="s">
        <v>805</v>
      </c>
      <c r="C606" s="1" t="s">
        <v>503</v>
      </c>
      <c r="D606" s="1" t="s">
        <v>396</v>
      </c>
      <c r="E606" s="5" t="s">
        <v>396</v>
      </c>
      <c r="F606" s="4" t="str">
        <f>IF(ISNUMBER(Table13[[#This Row],[Claim_Date2]]),"",Table13[[#This Row],[Claim_Date2]])</f>
        <v>Nov 16 2023</v>
      </c>
      <c r="G606" s="4" t="s">
        <v>396</v>
      </c>
      <c r="H606" s="4" t="str">
        <f>LEFT(Table13[[#This Row],[Values Col 1]],3)</f>
        <v>Nov</v>
      </c>
      <c r="I606" s="4" t="s">
        <v>1105</v>
      </c>
      <c r="J606" s="4" t="str">
        <f>MID(Table13[[#This Row],[Function Col]],5,2)</f>
        <v>16</v>
      </c>
      <c r="K606" s="4" t="s">
        <v>1125</v>
      </c>
      <c r="L606" s="4" t="str">
        <f>RIGHT(Table13[[#This Row],[Function Col]],4)</f>
        <v>2023</v>
      </c>
      <c r="M606" s="4" t="s">
        <v>1146</v>
      </c>
      <c r="N606" s="4" t="str">
        <f>IF(Table13[[#This Row],[Function Col5]]="","",_xlfn.CONCAT(Table13[[#This Row],[Day Col]],"/",Table13[[#This Row],[Month Col]],"/",Table13[[#This Row],[Year Col]]))</f>
        <v>16/Nov/2023</v>
      </c>
      <c r="O606" s="4" t="s">
        <v>1209</v>
      </c>
      <c r="P606" s="4" t="str">
        <f>IF(ISNUMBER(Table13[[#This Row],[Claim_Date2]]),Table13[[#This Row],[Claim_Date2]],Table13[[#This Row],[Function Col32]])</f>
        <v>16/Nov/2023</v>
      </c>
      <c r="Q606" s="4">
        <v>45246</v>
      </c>
      <c r="R606" s="1" t="s">
        <v>16</v>
      </c>
      <c r="S606" s="1" t="s">
        <v>93</v>
      </c>
      <c r="T606" s="1" t="s">
        <v>41</v>
      </c>
      <c r="U606" s="1"/>
      <c r="W606">
        <f>IF(Table1[[#This Row],[Claim_Amount]]&lt;0,0,Table1[[#This Row],[Claim_Amount]])</f>
        <v>0</v>
      </c>
      <c r="X606" t="str">
        <f>IF(Table1[[#This Row],[Column1]]=0,"",Table1[[#This Row],[Column1]])</f>
        <v/>
      </c>
      <c r="Y606" t="s">
        <v>1098</v>
      </c>
      <c r="Z606">
        <v>2481</v>
      </c>
      <c r="AA606" s="1">
        <v>127.18</v>
      </c>
      <c r="AB606" s="1" t="s">
        <v>17</v>
      </c>
      <c r="AC606" s="1" t="s">
        <v>32</v>
      </c>
      <c r="AD606">
        <v>9</v>
      </c>
      <c r="AE606" s="3" t="s">
        <v>19</v>
      </c>
    </row>
    <row r="607" spans="1:31" ht="15.75" customHeight="1" x14ac:dyDescent="0.35">
      <c r="A607" s="1" t="s">
        <v>82</v>
      </c>
      <c r="B607" t="s">
        <v>1083</v>
      </c>
      <c r="C607" t="s">
        <v>1084</v>
      </c>
      <c r="D607" s="1" t="s">
        <v>806</v>
      </c>
      <c r="E607" s="5">
        <v>45107</v>
      </c>
      <c r="F607" s="4" t="str">
        <f>IF(ISNUMBER(Table13[[#This Row],[Claim_Date2]]),"",Table13[[#This Row],[Claim_Date2]])</f>
        <v/>
      </c>
      <c r="G607" s="4" t="s">
        <v>1098</v>
      </c>
      <c r="H607" s="4" t="str">
        <f>LEFT(Table13[[#This Row],[Values Col 1]],3)</f>
        <v/>
      </c>
      <c r="I607" s="4" t="s">
        <v>1098</v>
      </c>
      <c r="J607" s="4" t="str">
        <f>MID(Table13[[#This Row],[Function Col]],5,2)</f>
        <v/>
      </c>
      <c r="K607" s="4" t="s">
        <v>1098</v>
      </c>
      <c r="L607" s="4" t="str">
        <f>RIGHT(Table13[[#This Row],[Function Col]],4)</f>
        <v/>
      </c>
      <c r="M607" s="4" t="s">
        <v>1098</v>
      </c>
      <c r="N607" s="4" t="str">
        <f>IF(Table13[[#This Row],[Function Col5]]="","",_xlfn.CONCAT(Table13[[#This Row],[Day Col]],"/",Table13[[#This Row],[Month Col]],"/",Table13[[#This Row],[Year Col]]))</f>
        <v/>
      </c>
      <c r="O607" s="4" t="s">
        <v>1098</v>
      </c>
      <c r="P607" s="4">
        <f>IF(ISNUMBER(Table13[[#This Row],[Claim_Date2]]),Table13[[#This Row],[Claim_Date2]],Table13[[#This Row],[Function Col32]])</f>
        <v>45107</v>
      </c>
      <c r="Q607" s="4">
        <v>45107</v>
      </c>
      <c r="R607" s="1" t="s">
        <v>92</v>
      </c>
      <c r="S607" s="1" t="s">
        <v>93</v>
      </c>
      <c r="T607" s="1" t="s">
        <v>41</v>
      </c>
      <c r="U607" s="1"/>
      <c r="W607">
        <f>IF(Table1[[#This Row],[Claim_Amount]]&lt;0,0,Table1[[#This Row],[Claim_Amount]])</f>
        <v>0</v>
      </c>
      <c r="X607" t="str">
        <f>IF(Table1[[#This Row],[Column1]]=0,"",Table1[[#This Row],[Column1]])</f>
        <v/>
      </c>
      <c r="Y607" t="s">
        <v>1098</v>
      </c>
      <c r="Z607">
        <v>2481</v>
      </c>
      <c r="AA607">
        <v>832</v>
      </c>
      <c r="AB607" s="1" t="s">
        <v>42</v>
      </c>
      <c r="AC607" s="1" t="s">
        <v>18</v>
      </c>
      <c r="AD607" s="1">
        <v>46</v>
      </c>
      <c r="AE607" s="3" t="s">
        <v>37</v>
      </c>
    </row>
    <row r="608" spans="1:31" ht="15.75" customHeight="1" x14ac:dyDescent="0.35">
      <c r="A608" s="1" t="s">
        <v>66</v>
      </c>
      <c r="B608" t="s">
        <v>1083</v>
      </c>
      <c r="C608" s="1" t="s">
        <v>581</v>
      </c>
      <c r="D608" s="1" t="s">
        <v>807</v>
      </c>
      <c r="E608" s="5" t="s">
        <v>807</v>
      </c>
      <c r="F608" s="4" t="str">
        <f>IF(ISNUMBER(Table13[[#This Row],[Claim_Date2]]),"",Table13[[#This Row],[Claim_Date2]])</f>
        <v>May 08 2023</v>
      </c>
      <c r="G608" s="4" t="s">
        <v>807</v>
      </c>
      <c r="H608" s="4" t="str">
        <f>LEFT(Table13[[#This Row],[Values Col 1]],3)</f>
        <v>May</v>
      </c>
      <c r="I608" s="4" t="s">
        <v>1110</v>
      </c>
      <c r="J608" s="4" t="str">
        <f>MID(Table13[[#This Row],[Function Col]],5,2)</f>
        <v>08</v>
      </c>
      <c r="K608" s="4" t="s">
        <v>1119</v>
      </c>
      <c r="L608" s="4" t="str">
        <f>RIGHT(Table13[[#This Row],[Function Col]],4)</f>
        <v>2023</v>
      </c>
      <c r="M608" s="4" t="s">
        <v>1146</v>
      </c>
      <c r="N608" s="4" t="str">
        <f>IF(Table13[[#This Row],[Function Col5]]="","",_xlfn.CONCAT(Table13[[#This Row],[Day Col]],"/",Table13[[#This Row],[Month Col]],"/",Table13[[#This Row],[Year Col]]))</f>
        <v>08/May/2023</v>
      </c>
      <c r="O608" s="4" t="s">
        <v>1303</v>
      </c>
      <c r="P608" s="4" t="str">
        <f>IF(ISNUMBER(Table13[[#This Row],[Claim_Date2]]),Table13[[#This Row],[Claim_Date2]],Table13[[#This Row],[Function Col32]])</f>
        <v>08/May/2023</v>
      </c>
      <c r="Q608" s="4">
        <v>45054</v>
      </c>
      <c r="R608" s="1" t="s">
        <v>16</v>
      </c>
      <c r="S608" s="1" t="s">
        <v>53</v>
      </c>
      <c r="T608" s="1" t="s">
        <v>48</v>
      </c>
      <c r="U608" s="1"/>
      <c r="W608">
        <f>IF(Table1[[#This Row],[Claim_Amount]]&lt;0,0,Table1[[#This Row],[Claim_Amount]])</f>
        <v>0</v>
      </c>
      <c r="X608" t="str">
        <f>IF(Table1[[#This Row],[Column1]]=0,"",Table1[[#This Row],[Column1]])</f>
        <v/>
      </c>
      <c r="Y608" t="s">
        <v>1098</v>
      </c>
      <c r="Z608">
        <v>2481</v>
      </c>
      <c r="AA608">
        <v>832</v>
      </c>
      <c r="AB608" s="1" t="s">
        <v>42</v>
      </c>
      <c r="AC608" s="1" t="s">
        <v>18</v>
      </c>
      <c r="AD608">
        <v>9</v>
      </c>
      <c r="AE608" s="3" t="s">
        <v>27</v>
      </c>
    </row>
    <row r="609" spans="1:31" ht="15.75" customHeight="1" x14ac:dyDescent="0.35">
      <c r="A609" s="1" t="s">
        <v>66</v>
      </c>
      <c r="B609" t="s">
        <v>1083</v>
      </c>
      <c r="C609" s="1" t="s">
        <v>224</v>
      </c>
      <c r="D609" s="1" t="s">
        <v>267</v>
      </c>
      <c r="E609" s="5" t="s">
        <v>267</v>
      </c>
      <c r="F609" s="4" t="str">
        <f>IF(ISNUMBER(Table13[[#This Row],[Claim_Date2]]),"",Table13[[#This Row],[Claim_Date2]])</f>
        <v>Aug 02 2023</v>
      </c>
      <c r="G609" s="4" t="s">
        <v>267</v>
      </c>
      <c r="H609" s="4" t="str">
        <f>LEFT(Table13[[#This Row],[Values Col 1]],3)</f>
        <v>Aug</v>
      </c>
      <c r="I609" s="4" t="s">
        <v>1106</v>
      </c>
      <c r="J609" s="4" t="str">
        <f>MID(Table13[[#This Row],[Function Col]],5,2)</f>
        <v>02</v>
      </c>
      <c r="K609" s="4" t="s">
        <v>1130</v>
      </c>
      <c r="L609" s="4" t="str">
        <f>RIGHT(Table13[[#This Row],[Function Col]],4)</f>
        <v>2023</v>
      </c>
      <c r="M609" s="4" t="s">
        <v>1146</v>
      </c>
      <c r="N609" s="4" t="str">
        <f>IF(Table13[[#This Row],[Function Col5]]="","",_xlfn.CONCAT(Table13[[#This Row],[Day Col]],"/",Table13[[#This Row],[Month Col]],"/",Table13[[#This Row],[Year Col]]))</f>
        <v>02/Aug/2023</v>
      </c>
      <c r="O609" s="4" t="s">
        <v>1182</v>
      </c>
      <c r="P609" s="4" t="str">
        <f>IF(ISNUMBER(Table13[[#This Row],[Claim_Date2]]),Table13[[#This Row],[Claim_Date2]],Table13[[#This Row],[Function Col32]])</f>
        <v>02/Aug/2023</v>
      </c>
      <c r="Q609" s="4">
        <v>45140</v>
      </c>
      <c r="R609" s="1" t="s">
        <v>85</v>
      </c>
      <c r="S609" s="1" t="s">
        <v>31</v>
      </c>
      <c r="T609" s="1" t="s">
        <v>41</v>
      </c>
      <c r="U609" s="1"/>
      <c r="V609" s="1">
        <v>-155</v>
      </c>
      <c r="W609" s="1">
        <f>IF(Table1[[#This Row],[Claim_Amount]]&lt;0,0,Table1[[#This Row],[Claim_Amount]])</f>
        <v>0</v>
      </c>
      <c r="X609" s="1" t="str">
        <f>IF(Table1[[#This Row],[Column1]]=0,"",Table1[[#This Row],[Column1]])</f>
        <v/>
      </c>
      <c r="Y609" s="1" t="s">
        <v>1098</v>
      </c>
      <c r="Z609" s="1">
        <v>2481</v>
      </c>
      <c r="AA609">
        <v>832</v>
      </c>
      <c r="AB609" s="1" t="s">
        <v>25</v>
      </c>
      <c r="AC609" s="1" t="s">
        <v>26</v>
      </c>
      <c r="AD609">
        <v>9</v>
      </c>
      <c r="AE609" s="3" t="s">
        <v>37</v>
      </c>
    </row>
    <row r="610" spans="1:31" ht="15.75" customHeight="1" x14ac:dyDescent="0.35">
      <c r="A610" s="1" t="s">
        <v>321</v>
      </c>
      <c r="B610" t="s">
        <v>1083</v>
      </c>
      <c r="C610" t="s">
        <v>1084</v>
      </c>
      <c r="D610" s="1" t="s">
        <v>197</v>
      </c>
      <c r="E610" s="5">
        <v>45108</v>
      </c>
      <c r="F610" s="4" t="str">
        <f>IF(ISNUMBER(Table13[[#This Row],[Claim_Date2]]),"",Table13[[#This Row],[Claim_Date2]])</f>
        <v/>
      </c>
      <c r="G610" s="4" t="s">
        <v>1098</v>
      </c>
      <c r="H610" s="4" t="str">
        <f>LEFT(Table13[[#This Row],[Values Col 1]],3)</f>
        <v/>
      </c>
      <c r="I610" s="4" t="s">
        <v>1098</v>
      </c>
      <c r="J610" s="4" t="str">
        <f>MID(Table13[[#This Row],[Function Col]],5,2)</f>
        <v/>
      </c>
      <c r="K610" s="4" t="s">
        <v>1098</v>
      </c>
      <c r="L610" s="4" t="str">
        <f>RIGHT(Table13[[#This Row],[Function Col]],4)</f>
        <v/>
      </c>
      <c r="M610" s="4" t="s">
        <v>1098</v>
      </c>
      <c r="N610" s="4" t="str">
        <f>IF(Table13[[#This Row],[Function Col5]]="","",_xlfn.CONCAT(Table13[[#This Row],[Day Col]],"/",Table13[[#This Row],[Month Col]],"/",Table13[[#This Row],[Year Col]]))</f>
        <v/>
      </c>
      <c r="O610" s="4" t="s">
        <v>1098</v>
      </c>
      <c r="P610" s="4">
        <f>IF(ISNUMBER(Table13[[#This Row],[Claim_Date2]]),Table13[[#This Row],[Claim_Date2]],Table13[[#This Row],[Function Col32]])</f>
        <v>45108</v>
      </c>
      <c r="Q610" s="4">
        <v>45108</v>
      </c>
      <c r="R610" s="1" t="s">
        <v>77</v>
      </c>
      <c r="S610" s="1" t="s">
        <v>53</v>
      </c>
      <c r="T610" s="1" t="s">
        <v>48</v>
      </c>
      <c r="U610" s="1"/>
      <c r="V610" s="1">
        <v>186.98</v>
      </c>
      <c r="W610" s="1">
        <f>IF(Table1[[#This Row],[Claim_Amount]]&lt;0,0,Table1[[#This Row],[Claim_Amount]])</f>
        <v>186.98</v>
      </c>
      <c r="X610" s="1">
        <f>IF(Table1[[#This Row],[Column1]]=0,"",Table1[[#This Row],[Column1]])</f>
        <v>186.98</v>
      </c>
      <c r="Y610" s="1">
        <v>186.98</v>
      </c>
      <c r="Z610" s="1">
        <v>186.98</v>
      </c>
      <c r="AA610">
        <v>832</v>
      </c>
      <c r="AB610" s="1" t="s">
        <v>25</v>
      </c>
      <c r="AC610" s="1" t="s">
        <v>18</v>
      </c>
      <c r="AD610">
        <v>9</v>
      </c>
      <c r="AE610" s="3" t="s">
        <v>65</v>
      </c>
    </row>
    <row r="611" spans="1:31" ht="15.75" customHeight="1" x14ac:dyDescent="0.35">
      <c r="A611" s="1" t="s">
        <v>66</v>
      </c>
      <c r="B611" t="s">
        <v>1083</v>
      </c>
      <c r="C611" t="s">
        <v>1084</v>
      </c>
      <c r="D611" s="1" t="s">
        <v>808</v>
      </c>
      <c r="E611" s="5">
        <v>45128</v>
      </c>
      <c r="F611" s="4" t="str">
        <f>IF(ISNUMBER(Table13[[#This Row],[Claim_Date2]]),"",Table13[[#This Row],[Claim_Date2]])</f>
        <v/>
      </c>
      <c r="G611" s="4" t="s">
        <v>1098</v>
      </c>
      <c r="H611" s="4" t="str">
        <f>LEFT(Table13[[#This Row],[Values Col 1]],3)</f>
        <v/>
      </c>
      <c r="I611" s="4" t="s">
        <v>1098</v>
      </c>
      <c r="J611" s="4" t="str">
        <f>MID(Table13[[#This Row],[Function Col]],5,2)</f>
        <v/>
      </c>
      <c r="K611" s="4" t="s">
        <v>1098</v>
      </c>
      <c r="L611" s="4" t="str">
        <f>RIGHT(Table13[[#This Row],[Function Col]],4)</f>
        <v/>
      </c>
      <c r="M611" s="4" t="s">
        <v>1098</v>
      </c>
      <c r="N611" s="4" t="str">
        <f>IF(Table13[[#This Row],[Function Col5]]="","",_xlfn.CONCAT(Table13[[#This Row],[Day Col]],"/",Table13[[#This Row],[Month Col]],"/",Table13[[#This Row],[Year Col]]))</f>
        <v/>
      </c>
      <c r="O611" s="4" t="s">
        <v>1098</v>
      </c>
      <c r="P611" s="4">
        <f>IF(ISNUMBER(Table13[[#This Row],[Claim_Date2]]),Table13[[#This Row],[Claim_Date2]],Table13[[#This Row],[Function Col32]])</f>
        <v>45128</v>
      </c>
      <c r="Q611" s="4">
        <v>45128</v>
      </c>
      <c r="R611" s="1" t="s">
        <v>16</v>
      </c>
      <c r="S611" s="1" t="s">
        <v>23</v>
      </c>
      <c r="T611" s="1" t="s">
        <v>48</v>
      </c>
      <c r="U611" s="1"/>
      <c r="V611" s="1">
        <v>-142</v>
      </c>
      <c r="W611" s="1">
        <f>IF(Table1[[#This Row],[Claim_Amount]]&lt;0,0,Table1[[#This Row],[Claim_Amount]])</f>
        <v>0</v>
      </c>
      <c r="X611" s="1" t="str">
        <f>IF(Table1[[#This Row],[Column1]]=0,"",Table1[[#This Row],[Column1]])</f>
        <v/>
      </c>
      <c r="Y611" s="1" t="s">
        <v>1098</v>
      </c>
      <c r="Z611" s="1">
        <v>2481</v>
      </c>
      <c r="AA611" s="1">
        <v>4204.03</v>
      </c>
      <c r="AB611" s="1" t="s">
        <v>25</v>
      </c>
      <c r="AC611" s="1" t="s">
        <v>32</v>
      </c>
      <c r="AD611">
        <v>9</v>
      </c>
      <c r="AE611" s="3" t="s">
        <v>19</v>
      </c>
    </row>
    <row r="612" spans="1:31" ht="15.75" customHeight="1" x14ac:dyDescent="0.35">
      <c r="A612" s="1" t="s">
        <v>114</v>
      </c>
      <c r="B612" s="1" t="s">
        <v>86</v>
      </c>
      <c r="C612" t="s">
        <v>1084</v>
      </c>
      <c r="D612" s="1" t="s">
        <v>809</v>
      </c>
      <c r="E612" s="5">
        <v>45280</v>
      </c>
      <c r="F612" s="4" t="str">
        <f>IF(ISNUMBER(Table13[[#This Row],[Claim_Date2]]),"",Table13[[#This Row],[Claim_Date2]])</f>
        <v/>
      </c>
      <c r="G612" s="4" t="s">
        <v>1098</v>
      </c>
      <c r="H612" s="4" t="str">
        <f>LEFT(Table13[[#This Row],[Values Col 1]],3)</f>
        <v/>
      </c>
      <c r="I612" s="4" t="s">
        <v>1098</v>
      </c>
      <c r="J612" s="4" t="str">
        <f>MID(Table13[[#This Row],[Function Col]],5,2)</f>
        <v/>
      </c>
      <c r="K612" s="4" t="s">
        <v>1098</v>
      </c>
      <c r="L612" s="4" t="str">
        <f>RIGHT(Table13[[#This Row],[Function Col]],4)</f>
        <v/>
      </c>
      <c r="M612" s="4" t="s">
        <v>1098</v>
      </c>
      <c r="N612" s="4" t="str">
        <f>IF(Table13[[#This Row],[Function Col5]]="","",_xlfn.CONCAT(Table13[[#This Row],[Day Col]],"/",Table13[[#This Row],[Month Col]],"/",Table13[[#This Row],[Year Col]]))</f>
        <v/>
      </c>
      <c r="O612" s="4" t="s">
        <v>1098</v>
      </c>
      <c r="P612" s="4">
        <f>IF(ISNUMBER(Table13[[#This Row],[Claim_Date2]]),Table13[[#This Row],[Claim_Date2]],Table13[[#This Row],[Function Col32]])</f>
        <v>45280</v>
      </c>
      <c r="Q612" s="4">
        <v>45280</v>
      </c>
      <c r="R612" s="1" t="s">
        <v>16</v>
      </c>
      <c r="S612" s="1" t="s">
        <v>47</v>
      </c>
      <c r="T612" t="s">
        <v>1086</v>
      </c>
      <c r="V612" s="1">
        <v>2578.56</v>
      </c>
      <c r="W612" s="1">
        <f>IF(Table1[[#This Row],[Claim_Amount]]&lt;0,0,Table1[[#This Row],[Claim_Amount]])</f>
        <v>2578.56</v>
      </c>
      <c r="X612" s="1">
        <f>IF(Table1[[#This Row],[Column1]]=0,"",Table1[[#This Row],[Column1]])</f>
        <v>2578.56</v>
      </c>
      <c r="Y612" s="1">
        <v>2578.56</v>
      </c>
      <c r="Z612" s="1">
        <v>2578.56</v>
      </c>
      <c r="AA612">
        <v>832</v>
      </c>
      <c r="AB612" s="1" t="s">
        <v>17</v>
      </c>
      <c r="AC612" s="1" t="s">
        <v>57</v>
      </c>
      <c r="AD612">
        <v>9</v>
      </c>
      <c r="AE612" s="3" t="s">
        <v>65</v>
      </c>
    </row>
    <row r="613" spans="1:31" ht="15.75" customHeight="1" x14ac:dyDescent="0.35">
      <c r="A613" s="1" t="s">
        <v>198</v>
      </c>
      <c r="B613" t="s">
        <v>1083</v>
      </c>
      <c r="C613" t="s">
        <v>1084</v>
      </c>
      <c r="D613" s="1" t="s">
        <v>810</v>
      </c>
      <c r="E613" s="5">
        <v>45086</v>
      </c>
      <c r="F613" s="4" t="str">
        <f>IF(ISNUMBER(Table13[[#This Row],[Claim_Date2]]),"",Table13[[#This Row],[Claim_Date2]])</f>
        <v/>
      </c>
      <c r="G613" s="4" t="s">
        <v>1098</v>
      </c>
      <c r="H613" s="4" t="str">
        <f>LEFT(Table13[[#This Row],[Values Col 1]],3)</f>
        <v/>
      </c>
      <c r="I613" s="4" t="s">
        <v>1098</v>
      </c>
      <c r="J613" s="4" t="str">
        <f>MID(Table13[[#This Row],[Function Col]],5,2)</f>
        <v/>
      </c>
      <c r="K613" s="4" t="s">
        <v>1098</v>
      </c>
      <c r="L613" s="4" t="str">
        <f>RIGHT(Table13[[#This Row],[Function Col]],4)</f>
        <v/>
      </c>
      <c r="M613" s="4" t="s">
        <v>1098</v>
      </c>
      <c r="N613" s="4" t="str">
        <f>IF(Table13[[#This Row],[Function Col5]]="","",_xlfn.CONCAT(Table13[[#This Row],[Day Col]],"/",Table13[[#This Row],[Month Col]],"/",Table13[[#This Row],[Year Col]]))</f>
        <v/>
      </c>
      <c r="O613" s="4" t="s">
        <v>1098</v>
      </c>
      <c r="P613" s="4">
        <f>IF(ISNUMBER(Table13[[#This Row],[Claim_Date2]]),Table13[[#This Row],[Claim_Date2]],Table13[[#This Row],[Function Col32]])</f>
        <v>45086</v>
      </c>
      <c r="Q613" s="4">
        <v>45086</v>
      </c>
      <c r="R613" s="1" t="s">
        <v>30</v>
      </c>
      <c r="S613" t="s">
        <v>1085</v>
      </c>
      <c r="T613" s="1" t="s">
        <v>24</v>
      </c>
      <c r="U613" s="1"/>
      <c r="W613">
        <f>IF(Table1[[#This Row],[Claim_Amount]]&lt;0,0,Table1[[#This Row],[Claim_Amount]])</f>
        <v>0</v>
      </c>
      <c r="X613" t="str">
        <f>IF(Table1[[#This Row],[Column1]]=0,"",Table1[[#This Row],[Column1]])</f>
        <v/>
      </c>
      <c r="Y613" t="s">
        <v>1098</v>
      </c>
      <c r="Z613">
        <v>2481</v>
      </c>
      <c r="AA613" s="1">
        <v>3038.76</v>
      </c>
      <c r="AB613" s="1" t="s">
        <v>1091</v>
      </c>
      <c r="AC613" s="1" t="s">
        <v>26</v>
      </c>
      <c r="AD613" s="1">
        <v>15</v>
      </c>
      <c r="AE613" s="3" t="s">
        <v>19</v>
      </c>
    </row>
    <row r="614" spans="1:31" ht="15.75" customHeight="1" x14ac:dyDescent="0.35">
      <c r="A614" s="1" t="s">
        <v>285</v>
      </c>
      <c r="B614" t="s">
        <v>1083</v>
      </c>
      <c r="C614" t="s">
        <v>1084</v>
      </c>
      <c r="D614" s="1" t="s">
        <v>259</v>
      </c>
      <c r="E614" s="5">
        <v>44989</v>
      </c>
      <c r="F614" s="4" t="str">
        <f>IF(ISNUMBER(Table13[[#This Row],[Claim_Date2]]),"",Table13[[#This Row],[Claim_Date2]])</f>
        <v/>
      </c>
      <c r="G614" s="4" t="s">
        <v>1098</v>
      </c>
      <c r="H614" s="4" t="str">
        <f>LEFT(Table13[[#This Row],[Values Col 1]],3)</f>
        <v/>
      </c>
      <c r="I614" s="4" t="s">
        <v>1098</v>
      </c>
      <c r="J614" s="4" t="str">
        <f>MID(Table13[[#This Row],[Function Col]],5,2)</f>
        <v/>
      </c>
      <c r="K614" s="4" t="s">
        <v>1098</v>
      </c>
      <c r="L614" s="4" t="str">
        <f>RIGHT(Table13[[#This Row],[Function Col]],4)</f>
        <v/>
      </c>
      <c r="M614" s="4" t="s">
        <v>1098</v>
      </c>
      <c r="N614" s="4" t="str">
        <f>IF(Table13[[#This Row],[Function Col5]]="","",_xlfn.CONCAT(Table13[[#This Row],[Day Col]],"/",Table13[[#This Row],[Month Col]],"/",Table13[[#This Row],[Year Col]]))</f>
        <v/>
      </c>
      <c r="O614" s="4" t="s">
        <v>1098</v>
      </c>
      <c r="P614" s="4">
        <f>IF(ISNUMBER(Table13[[#This Row],[Claim_Date2]]),Table13[[#This Row],[Claim_Date2]],Table13[[#This Row],[Function Col32]])</f>
        <v>44989</v>
      </c>
      <c r="Q614" s="4">
        <v>44989</v>
      </c>
      <c r="R614" s="1" t="s">
        <v>77</v>
      </c>
      <c r="S614" s="1" t="s">
        <v>93</v>
      </c>
      <c r="T614" s="1" t="s">
        <v>24</v>
      </c>
      <c r="U614" s="1"/>
      <c r="W614">
        <f>IF(Table1[[#This Row],[Claim_Amount]]&lt;0,0,Table1[[#This Row],[Claim_Amount]])</f>
        <v>0</v>
      </c>
      <c r="X614" t="str">
        <f>IF(Table1[[#This Row],[Column1]]=0,"",Table1[[#This Row],[Column1]])</f>
        <v/>
      </c>
      <c r="Y614" t="s">
        <v>1098</v>
      </c>
      <c r="Z614">
        <v>2481</v>
      </c>
      <c r="AA614">
        <v>832</v>
      </c>
      <c r="AB614" s="1" t="s">
        <v>25</v>
      </c>
      <c r="AC614" s="1" t="s">
        <v>57</v>
      </c>
      <c r="AD614">
        <v>9</v>
      </c>
      <c r="AE614" s="3" t="s">
        <v>65</v>
      </c>
    </row>
    <row r="615" spans="1:31" ht="15.75" customHeight="1" x14ac:dyDescent="0.35">
      <c r="A615" s="1" t="s">
        <v>13</v>
      </c>
      <c r="B615" s="1" t="s">
        <v>811</v>
      </c>
      <c r="C615" s="1" t="s">
        <v>119</v>
      </c>
      <c r="D615" s="1" t="s">
        <v>370</v>
      </c>
      <c r="E615" s="5" t="s">
        <v>370</v>
      </c>
      <c r="F615" s="4" t="str">
        <f>IF(ISNUMBER(Table13[[#This Row],[Claim_Date2]]),"",Table13[[#This Row],[Claim_Date2]])</f>
        <v>Dec 25 2023</v>
      </c>
      <c r="G615" s="4" t="s">
        <v>370</v>
      </c>
      <c r="H615" s="4" t="str">
        <f>LEFT(Table13[[#This Row],[Values Col 1]],3)</f>
        <v>Dec</v>
      </c>
      <c r="I615" s="4" t="s">
        <v>1111</v>
      </c>
      <c r="J615" s="4" t="str">
        <f>MID(Table13[[#This Row],[Function Col]],5,2)</f>
        <v>25</v>
      </c>
      <c r="K615" s="4" t="s">
        <v>1123</v>
      </c>
      <c r="L615" s="4" t="str">
        <f>RIGHT(Table13[[#This Row],[Function Col]],4)</f>
        <v>2023</v>
      </c>
      <c r="M615" s="4" t="s">
        <v>1146</v>
      </c>
      <c r="N615" s="4" t="str">
        <f>IF(Table13[[#This Row],[Function Col5]]="","",_xlfn.CONCAT(Table13[[#This Row],[Day Col]],"/",Table13[[#This Row],[Month Col]],"/",Table13[[#This Row],[Year Col]]))</f>
        <v>25/Dec/2023</v>
      </c>
      <c r="O615" s="4" t="s">
        <v>1203</v>
      </c>
      <c r="P615" s="4" t="str">
        <f>IF(ISNUMBER(Table13[[#This Row],[Claim_Date2]]),Table13[[#This Row],[Claim_Date2]],Table13[[#This Row],[Function Col32]])</f>
        <v>25/Dec/2023</v>
      </c>
      <c r="Q615" s="4">
        <v>45285</v>
      </c>
      <c r="R615" s="1" t="s">
        <v>85</v>
      </c>
      <c r="S615" s="1" t="s">
        <v>53</v>
      </c>
      <c r="T615" s="1" t="s">
        <v>48</v>
      </c>
      <c r="U615" s="1"/>
      <c r="V615" s="1">
        <v>1485.68</v>
      </c>
      <c r="W615" s="1">
        <f>IF(Table1[[#This Row],[Claim_Amount]]&lt;0,0,Table1[[#This Row],[Claim_Amount]])</f>
        <v>1485.68</v>
      </c>
      <c r="X615" s="1">
        <f>IF(Table1[[#This Row],[Column1]]=0,"",Table1[[#This Row],[Column1]])</f>
        <v>1485.68</v>
      </c>
      <c r="Y615" s="1">
        <v>1485.68</v>
      </c>
      <c r="Z615" s="1">
        <v>1485.68</v>
      </c>
      <c r="AA615">
        <v>832</v>
      </c>
      <c r="AB615" s="1" t="s">
        <v>42</v>
      </c>
      <c r="AC615" s="1" t="s">
        <v>32</v>
      </c>
      <c r="AD615">
        <v>9</v>
      </c>
      <c r="AE615" s="3" t="s">
        <v>19</v>
      </c>
    </row>
    <row r="616" spans="1:31" ht="15.75" customHeight="1" x14ac:dyDescent="0.35">
      <c r="A616" s="1" t="s">
        <v>173</v>
      </c>
      <c r="B616" t="s">
        <v>1083</v>
      </c>
      <c r="C616" s="1" t="s">
        <v>119</v>
      </c>
      <c r="D616" s="1" t="s">
        <v>812</v>
      </c>
      <c r="E616" s="5" t="s">
        <v>812</v>
      </c>
      <c r="F616" s="4" t="str">
        <f>IF(ISNUMBER(Table13[[#This Row],[Claim_Date2]]),"",Table13[[#This Row],[Claim_Date2]])</f>
        <v>Mar 03 2023</v>
      </c>
      <c r="G616" s="4" t="s">
        <v>812</v>
      </c>
      <c r="H616" s="4" t="str">
        <f>LEFT(Table13[[#This Row],[Values Col 1]],3)</f>
        <v>Mar</v>
      </c>
      <c r="I616" s="4" t="s">
        <v>1100</v>
      </c>
      <c r="J616" s="4" t="str">
        <f>MID(Table13[[#This Row],[Function Col]],5,2)</f>
        <v>03</v>
      </c>
      <c r="K616" s="4" t="s">
        <v>1141</v>
      </c>
      <c r="L616" s="4" t="str">
        <f>RIGHT(Table13[[#This Row],[Function Col]],4)</f>
        <v>2023</v>
      </c>
      <c r="M616" s="4" t="s">
        <v>1146</v>
      </c>
      <c r="N616" s="4" t="str">
        <f>IF(Table13[[#This Row],[Function Col5]]="","",_xlfn.CONCAT(Table13[[#This Row],[Day Col]],"/",Table13[[#This Row],[Month Col]],"/",Table13[[#This Row],[Year Col]]))</f>
        <v>03/Mar/2023</v>
      </c>
      <c r="O616" s="4" t="s">
        <v>1304</v>
      </c>
      <c r="P616" s="4" t="str">
        <f>IF(ISNUMBER(Table13[[#This Row],[Claim_Date2]]),Table13[[#This Row],[Claim_Date2]],Table13[[#This Row],[Function Col32]])</f>
        <v>03/Mar/2023</v>
      </c>
      <c r="Q616" s="4">
        <v>44988</v>
      </c>
      <c r="R616" s="1" t="s">
        <v>77</v>
      </c>
      <c r="S616" s="1" t="s">
        <v>23</v>
      </c>
      <c r="T616" s="1" t="s">
        <v>54</v>
      </c>
      <c r="U616" s="1"/>
      <c r="V616" s="1">
        <v>-175</v>
      </c>
      <c r="W616" s="1">
        <f>IF(Table1[[#This Row],[Claim_Amount]]&lt;0,0,Table1[[#This Row],[Claim_Amount]])</f>
        <v>0</v>
      </c>
      <c r="X616" s="1" t="str">
        <f>IF(Table1[[#This Row],[Column1]]=0,"",Table1[[#This Row],[Column1]])</f>
        <v/>
      </c>
      <c r="Y616" s="1" t="s">
        <v>1098</v>
      </c>
      <c r="Z616" s="1">
        <v>2481</v>
      </c>
      <c r="AA616">
        <v>832</v>
      </c>
      <c r="AB616" s="1" t="s">
        <v>17</v>
      </c>
      <c r="AC616" s="1" t="s">
        <v>1093</v>
      </c>
      <c r="AD616">
        <v>9</v>
      </c>
      <c r="AE616" s="3" t="s">
        <v>37</v>
      </c>
    </row>
    <row r="617" spans="1:31" ht="15.75" customHeight="1" x14ac:dyDescent="0.35">
      <c r="A617" s="1" t="s">
        <v>38</v>
      </c>
      <c r="B617" s="1" t="s">
        <v>758</v>
      </c>
      <c r="C617" s="1" t="s">
        <v>518</v>
      </c>
      <c r="D617" s="1" t="s">
        <v>649</v>
      </c>
      <c r="E617" s="5">
        <v>45288</v>
      </c>
      <c r="F617" s="4" t="str">
        <f>IF(ISNUMBER(Table13[[#This Row],[Claim_Date2]]),"",Table13[[#This Row],[Claim_Date2]])</f>
        <v/>
      </c>
      <c r="G617" s="4" t="s">
        <v>1098</v>
      </c>
      <c r="H617" s="4" t="str">
        <f>LEFT(Table13[[#This Row],[Values Col 1]],3)</f>
        <v/>
      </c>
      <c r="I617" s="4" t="s">
        <v>1098</v>
      </c>
      <c r="J617" s="4" t="str">
        <f>MID(Table13[[#This Row],[Function Col]],5,2)</f>
        <v/>
      </c>
      <c r="K617" s="4" t="s">
        <v>1098</v>
      </c>
      <c r="L617" s="4" t="str">
        <f>RIGHT(Table13[[#This Row],[Function Col]],4)</f>
        <v/>
      </c>
      <c r="M617" s="4" t="s">
        <v>1098</v>
      </c>
      <c r="N617" s="4" t="str">
        <f>IF(Table13[[#This Row],[Function Col5]]="","",_xlfn.CONCAT(Table13[[#This Row],[Day Col]],"/",Table13[[#This Row],[Month Col]],"/",Table13[[#This Row],[Year Col]]))</f>
        <v/>
      </c>
      <c r="O617" s="4" t="s">
        <v>1098</v>
      </c>
      <c r="P617" s="4">
        <f>IF(ISNUMBER(Table13[[#This Row],[Claim_Date2]]),Table13[[#This Row],[Claim_Date2]],Table13[[#This Row],[Function Col32]])</f>
        <v>45288</v>
      </c>
      <c r="Q617" s="4">
        <v>45288</v>
      </c>
      <c r="R617" s="1" t="s">
        <v>30</v>
      </c>
      <c r="S617" s="1" t="s">
        <v>23</v>
      </c>
      <c r="T617" s="1" t="s">
        <v>24</v>
      </c>
      <c r="U617" s="1"/>
      <c r="W617">
        <f>IF(Table1[[#This Row],[Claim_Amount]]&lt;0,0,Table1[[#This Row],[Claim_Amount]])</f>
        <v>0</v>
      </c>
      <c r="X617" t="str">
        <f>IF(Table1[[#This Row],[Column1]]=0,"",Table1[[#This Row],[Column1]])</f>
        <v/>
      </c>
      <c r="Y617" t="s">
        <v>1098</v>
      </c>
      <c r="Z617">
        <v>2481</v>
      </c>
      <c r="AA617" s="1">
        <v>2324.4299999999998</v>
      </c>
      <c r="AB617" s="1" t="s">
        <v>42</v>
      </c>
      <c r="AC617" s="1" t="s">
        <v>32</v>
      </c>
      <c r="AD617">
        <v>9</v>
      </c>
      <c r="AE617" s="3" t="s">
        <v>19</v>
      </c>
    </row>
    <row r="618" spans="1:31" ht="15.75" customHeight="1" x14ac:dyDescent="0.35">
      <c r="A618" s="1" t="s">
        <v>43</v>
      </c>
      <c r="B618" t="s">
        <v>1083</v>
      </c>
      <c r="C618" s="1" t="s">
        <v>458</v>
      </c>
      <c r="D618" s="1" t="s">
        <v>813</v>
      </c>
      <c r="E618" s="5" t="s">
        <v>813</v>
      </c>
      <c r="F618" s="4" t="str">
        <f>IF(ISNUMBER(Table13[[#This Row],[Claim_Date2]]),"",Table13[[#This Row],[Claim_Date2]])</f>
        <v>Sep 17 2023</v>
      </c>
      <c r="G618" s="4" t="s">
        <v>813</v>
      </c>
      <c r="H618" s="4" t="str">
        <f>LEFT(Table13[[#This Row],[Values Col 1]],3)</f>
        <v>Sep</v>
      </c>
      <c r="I618" s="4" t="s">
        <v>1102</v>
      </c>
      <c r="J618" s="4" t="str">
        <f>MID(Table13[[#This Row],[Function Col]],5,2)</f>
        <v>17</v>
      </c>
      <c r="K618" s="4" t="s">
        <v>1140</v>
      </c>
      <c r="L618" s="4" t="str">
        <f>RIGHT(Table13[[#This Row],[Function Col]],4)</f>
        <v>2023</v>
      </c>
      <c r="M618" s="4" t="s">
        <v>1146</v>
      </c>
      <c r="N618" s="4" t="str">
        <f>IF(Table13[[#This Row],[Function Col5]]="","",_xlfn.CONCAT(Table13[[#This Row],[Day Col]],"/",Table13[[#This Row],[Month Col]],"/",Table13[[#This Row],[Year Col]]))</f>
        <v>17/Sep/2023</v>
      </c>
      <c r="O618" s="4" t="s">
        <v>1305</v>
      </c>
      <c r="P618" s="4" t="str">
        <f>IF(ISNUMBER(Table13[[#This Row],[Claim_Date2]]),Table13[[#This Row],[Claim_Date2]],Table13[[#This Row],[Function Col32]])</f>
        <v>17/Sep/2023</v>
      </c>
      <c r="Q618" s="4">
        <v>45186</v>
      </c>
      <c r="R618" s="1" t="s">
        <v>30</v>
      </c>
      <c r="S618" s="1" t="s">
        <v>31</v>
      </c>
      <c r="T618" s="1" t="s">
        <v>24</v>
      </c>
      <c r="U618" s="1"/>
      <c r="W618">
        <f>IF(Table1[[#This Row],[Claim_Amount]]&lt;0,0,Table1[[#This Row],[Claim_Amount]])</f>
        <v>0</v>
      </c>
      <c r="X618" t="str">
        <f>IF(Table1[[#This Row],[Column1]]=0,"",Table1[[#This Row],[Column1]])</f>
        <v/>
      </c>
      <c r="Y618" t="s">
        <v>1098</v>
      </c>
      <c r="Z618">
        <v>2481</v>
      </c>
      <c r="AA618">
        <v>832</v>
      </c>
      <c r="AB618" s="1" t="s">
        <v>25</v>
      </c>
      <c r="AC618" s="1" t="s">
        <v>26</v>
      </c>
      <c r="AD618">
        <v>9</v>
      </c>
      <c r="AE618" s="3" t="s">
        <v>65</v>
      </c>
    </row>
    <row r="619" spans="1:31" ht="15.75" customHeight="1" x14ac:dyDescent="0.35">
      <c r="A619" s="1" t="s">
        <v>198</v>
      </c>
      <c r="B619" t="s">
        <v>1083</v>
      </c>
      <c r="C619" t="s">
        <v>1084</v>
      </c>
      <c r="D619" s="1" t="s">
        <v>814</v>
      </c>
      <c r="E619" s="5">
        <v>45274</v>
      </c>
      <c r="F619" s="4" t="str">
        <f>IF(ISNUMBER(Table13[[#This Row],[Claim_Date2]]),"",Table13[[#This Row],[Claim_Date2]])</f>
        <v/>
      </c>
      <c r="G619" s="4" t="s">
        <v>1098</v>
      </c>
      <c r="H619" s="4" t="str">
        <f>LEFT(Table13[[#This Row],[Values Col 1]],3)</f>
        <v/>
      </c>
      <c r="I619" s="4" t="s">
        <v>1098</v>
      </c>
      <c r="J619" s="4" t="str">
        <f>MID(Table13[[#This Row],[Function Col]],5,2)</f>
        <v/>
      </c>
      <c r="K619" s="4" t="s">
        <v>1098</v>
      </c>
      <c r="L619" s="4" t="str">
        <f>RIGHT(Table13[[#This Row],[Function Col]],4)</f>
        <v/>
      </c>
      <c r="M619" s="4" t="s">
        <v>1098</v>
      </c>
      <c r="N619" s="4" t="str">
        <f>IF(Table13[[#This Row],[Function Col5]]="","",_xlfn.CONCAT(Table13[[#This Row],[Day Col]],"/",Table13[[#This Row],[Month Col]],"/",Table13[[#This Row],[Year Col]]))</f>
        <v/>
      </c>
      <c r="O619" s="4" t="s">
        <v>1098</v>
      </c>
      <c r="P619" s="4">
        <f>IF(ISNUMBER(Table13[[#This Row],[Claim_Date2]]),Table13[[#This Row],[Claim_Date2]],Table13[[#This Row],[Function Col32]])</f>
        <v>45274</v>
      </c>
      <c r="Q619" s="4">
        <v>45274</v>
      </c>
      <c r="R619" s="1" t="s">
        <v>85</v>
      </c>
      <c r="S619" t="s">
        <v>1085</v>
      </c>
      <c r="T619" s="1" t="s">
        <v>24</v>
      </c>
      <c r="U619" s="1"/>
      <c r="V619" s="1">
        <v>-54</v>
      </c>
      <c r="W619" s="1">
        <f>IF(Table1[[#This Row],[Claim_Amount]]&lt;0,0,Table1[[#This Row],[Claim_Amount]])</f>
        <v>0</v>
      </c>
      <c r="X619" s="1" t="str">
        <f>IF(Table1[[#This Row],[Column1]]=0,"",Table1[[#This Row],[Column1]])</f>
        <v/>
      </c>
      <c r="Y619" s="1" t="s">
        <v>1098</v>
      </c>
      <c r="Z619" s="1">
        <v>2481</v>
      </c>
      <c r="AA619">
        <v>832</v>
      </c>
      <c r="AB619" s="1" t="s">
        <v>25</v>
      </c>
      <c r="AC619" s="1" t="s">
        <v>26</v>
      </c>
      <c r="AD619">
        <v>9</v>
      </c>
      <c r="AE619" s="3" t="s">
        <v>19</v>
      </c>
    </row>
    <row r="620" spans="1:31" ht="15.75" customHeight="1" x14ac:dyDescent="0.35">
      <c r="A620" s="1" t="s">
        <v>166</v>
      </c>
      <c r="B620" s="1" t="s">
        <v>737</v>
      </c>
      <c r="C620" t="s">
        <v>1084</v>
      </c>
      <c r="D620" s="1" t="s">
        <v>147</v>
      </c>
      <c r="E620" s="5">
        <v>45237</v>
      </c>
      <c r="F620" s="4" t="str">
        <f>IF(ISNUMBER(Table13[[#This Row],[Claim_Date2]]),"",Table13[[#This Row],[Claim_Date2]])</f>
        <v/>
      </c>
      <c r="G620" s="4" t="s">
        <v>1098</v>
      </c>
      <c r="H620" s="4" t="str">
        <f>LEFT(Table13[[#This Row],[Values Col 1]],3)</f>
        <v/>
      </c>
      <c r="I620" s="4" t="s">
        <v>1098</v>
      </c>
      <c r="J620" s="4" t="str">
        <f>MID(Table13[[#This Row],[Function Col]],5,2)</f>
        <v/>
      </c>
      <c r="K620" s="4" t="s">
        <v>1098</v>
      </c>
      <c r="L620" s="4" t="str">
        <f>RIGHT(Table13[[#This Row],[Function Col]],4)</f>
        <v/>
      </c>
      <c r="M620" s="4" t="s">
        <v>1098</v>
      </c>
      <c r="N620" s="4" t="str">
        <f>IF(Table13[[#This Row],[Function Col5]]="","",_xlfn.CONCAT(Table13[[#This Row],[Day Col]],"/",Table13[[#This Row],[Month Col]],"/",Table13[[#This Row],[Year Col]]))</f>
        <v/>
      </c>
      <c r="O620" s="4" t="s">
        <v>1098</v>
      </c>
      <c r="P620" s="4">
        <f>IF(ISNUMBER(Table13[[#This Row],[Claim_Date2]]),Table13[[#This Row],[Claim_Date2]],Table13[[#This Row],[Function Col32]])</f>
        <v>45237</v>
      </c>
      <c r="Q620" s="4">
        <v>45237</v>
      </c>
      <c r="R620" s="1" t="s">
        <v>92</v>
      </c>
      <c r="S620" s="1" t="s">
        <v>23</v>
      </c>
      <c r="T620" t="s">
        <v>1086</v>
      </c>
      <c r="W620">
        <f>IF(Table1[[#This Row],[Claim_Amount]]&lt;0,0,Table1[[#This Row],[Claim_Amount]])</f>
        <v>0</v>
      </c>
      <c r="X620" t="str">
        <f>IF(Table1[[#This Row],[Column1]]=0,"",Table1[[#This Row],[Column1]])</f>
        <v/>
      </c>
      <c r="Y620" t="s">
        <v>1098</v>
      </c>
      <c r="Z620">
        <v>2481</v>
      </c>
      <c r="AA620">
        <v>832</v>
      </c>
      <c r="AB620" s="1" t="s">
        <v>25</v>
      </c>
      <c r="AC620" s="1" t="s">
        <v>32</v>
      </c>
      <c r="AD620" s="1">
        <v>14</v>
      </c>
      <c r="AE620" s="3" t="s">
        <v>65</v>
      </c>
    </row>
    <row r="621" spans="1:31" ht="15.75" customHeight="1" x14ac:dyDescent="0.35">
      <c r="A621" s="1" t="s">
        <v>62</v>
      </c>
      <c r="B621" s="1" t="s">
        <v>815</v>
      </c>
      <c r="C621" s="1" t="s">
        <v>816</v>
      </c>
      <c r="D621" s="1" t="s">
        <v>565</v>
      </c>
      <c r="E621" s="5">
        <v>45249</v>
      </c>
      <c r="F621" s="4" t="str">
        <f>IF(ISNUMBER(Table13[[#This Row],[Claim_Date2]]),"",Table13[[#This Row],[Claim_Date2]])</f>
        <v/>
      </c>
      <c r="G621" s="4" t="s">
        <v>1098</v>
      </c>
      <c r="H621" s="4" t="str">
        <f>LEFT(Table13[[#This Row],[Values Col 1]],3)</f>
        <v/>
      </c>
      <c r="I621" s="4" t="s">
        <v>1098</v>
      </c>
      <c r="J621" s="4" t="str">
        <f>MID(Table13[[#This Row],[Function Col]],5,2)</f>
        <v/>
      </c>
      <c r="K621" s="4" t="s">
        <v>1098</v>
      </c>
      <c r="L621" s="4" t="str">
        <f>RIGHT(Table13[[#This Row],[Function Col]],4)</f>
        <v/>
      </c>
      <c r="M621" s="4" t="s">
        <v>1098</v>
      </c>
      <c r="N621" s="4" t="str">
        <f>IF(Table13[[#This Row],[Function Col5]]="","",_xlfn.CONCAT(Table13[[#This Row],[Day Col]],"/",Table13[[#This Row],[Month Col]],"/",Table13[[#This Row],[Year Col]]))</f>
        <v/>
      </c>
      <c r="O621" s="4" t="s">
        <v>1098</v>
      </c>
      <c r="P621" s="4">
        <f>IF(ISNUMBER(Table13[[#This Row],[Claim_Date2]]),Table13[[#This Row],[Claim_Date2]],Table13[[#This Row],[Function Col32]])</f>
        <v>45249</v>
      </c>
      <c r="Q621" s="4">
        <v>45249</v>
      </c>
      <c r="R621" s="1" t="s">
        <v>16</v>
      </c>
      <c r="S621" s="1" t="s">
        <v>93</v>
      </c>
      <c r="T621" s="1" t="s">
        <v>61</v>
      </c>
      <c r="U621" s="1"/>
      <c r="V621" s="1">
        <v>1829.83</v>
      </c>
      <c r="W621" s="1">
        <f>IF(Table1[[#This Row],[Claim_Amount]]&lt;0,0,Table1[[#This Row],[Claim_Amount]])</f>
        <v>1829.83</v>
      </c>
      <c r="X621" s="1">
        <f>IF(Table1[[#This Row],[Column1]]=0,"",Table1[[#This Row],[Column1]])</f>
        <v>1829.83</v>
      </c>
      <c r="Y621" s="1">
        <v>1829.83</v>
      </c>
      <c r="Z621" s="1">
        <v>1829.83</v>
      </c>
      <c r="AA621">
        <v>832</v>
      </c>
      <c r="AB621" s="1" t="s">
        <v>1091</v>
      </c>
      <c r="AC621" s="1" t="s">
        <v>1093</v>
      </c>
      <c r="AD621" s="1">
        <v>12</v>
      </c>
      <c r="AE621" s="3" t="s">
        <v>1097</v>
      </c>
    </row>
    <row r="622" spans="1:31" ht="15.75" customHeight="1" x14ac:dyDescent="0.35">
      <c r="A622" s="1" t="s">
        <v>285</v>
      </c>
      <c r="B622" t="s">
        <v>1083</v>
      </c>
      <c r="C622" s="1" t="s">
        <v>518</v>
      </c>
      <c r="D622" s="1" t="s">
        <v>122</v>
      </c>
      <c r="E622" s="5" t="s">
        <v>122</v>
      </c>
      <c r="F622" s="4" t="str">
        <f>IF(ISNUMBER(Table13[[#This Row],[Claim_Date2]]),"",Table13[[#This Row],[Claim_Date2]])</f>
        <v>Aug 07 2023</v>
      </c>
      <c r="G622" s="4" t="s">
        <v>122</v>
      </c>
      <c r="H622" s="4" t="str">
        <f>LEFT(Table13[[#This Row],[Values Col 1]],3)</f>
        <v>Aug</v>
      </c>
      <c r="I622" s="4" t="s">
        <v>1106</v>
      </c>
      <c r="J622" s="4" t="str">
        <f>MID(Table13[[#This Row],[Function Col]],5,2)</f>
        <v>07</v>
      </c>
      <c r="K622" s="4" t="s">
        <v>1120</v>
      </c>
      <c r="L622" s="4" t="str">
        <f>RIGHT(Table13[[#This Row],[Function Col]],4)</f>
        <v>2023</v>
      </c>
      <c r="M622" s="4" t="s">
        <v>1146</v>
      </c>
      <c r="N622" s="4" t="str">
        <f>IF(Table13[[#This Row],[Function Col5]]="","",_xlfn.CONCAT(Table13[[#This Row],[Day Col]],"/",Table13[[#This Row],[Month Col]],"/",Table13[[#This Row],[Year Col]]))</f>
        <v>07/Aug/2023</v>
      </c>
      <c r="O622" s="4" t="s">
        <v>1160</v>
      </c>
      <c r="P622" s="4" t="str">
        <f>IF(ISNUMBER(Table13[[#This Row],[Claim_Date2]]),Table13[[#This Row],[Claim_Date2]],Table13[[#This Row],[Function Col32]])</f>
        <v>07/Aug/2023</v>
      </c>
      <c r="Q622" s="4">
        <v>45145</v>
      </c>
      <c r="R622" s="1" t="s">
        <v>77</v>
      </c>
      <c r="S622" s="1" t="s">
        <v>23</v>
      </c>
      <c r="T622" s="1" t="s">
        <v>54</v>
      </c>
      <c r="U622" s="1"/>
      <c r="W622">
        <f>IF(Table1[[#This Row],[Claim_Amount]]&lt;0,0,Table1[[#This Row],[Claim_Amount]])</f>
        <v>0</v>
      </c>
      <c r="X622" t="str">
        <f>IF(Table1[[#This Row],[Column1]]=0,"",Table1[[#This Row],[Column1]])</f>
        <v/>
      </c>
      <c r="Y622" t="s">
        <v>1098</v>
      </c>
      <c r="Z622">
        <v>2481</v>
      </c>
      <c r="AA622">
        <v>832</v>
      </c>
      <c r="AB622" s="1" t="s">
        <v>17</v>
      </c>
      <c r="AC622" s="1" t="s">
        <v>26</v>
      </c>
      <c r="AD622">
        <v>9</v>
      </c>
      <c r="AE622" s="3" t="s">
        <v>27</v>
      </c>
    </row>
    <row r="623" spans="1:31" ht="15.75" customHeight="1" x14ac:dyDescent="0.35">
      <c r="A623" s="1" t="s">
        <v>105</v>
      </c>
      <c r="B623" t="s">
        <v>1083</v>
      </c>
      <c r="C623" t="s">
        <v>1084</v>
      </c>
      <c r="D623" s="1" t="s">
        <v>817</v>
      </c>
      <c r="E623" s="5">
        <v>45287</v>
      </c>
      <c r="F623" s="4" t="str">
        <f>IF(ISNUMBER(Table13[[#This Row],[Claim_Date2]]),"",Table13[[#This Row],[Claim_Date2]])</f>
        <v/>
      </c>
      <c r="G623" s="4" t="s">
        <v>1098</v>
      </c>
      <c r="H623" s="4" t="str">
        <f>LEFT(Table13[[#This Row],[Values Col 1]],3)</f>
        <v/>
      </c>
      <c r="I623" s="4" t="s">
        <v>1098</v>
      </c>
      <c r="J623" s="4" t="str">
        <f>MID(Table13[[#This Row],[Function Col]],5,2)</f>
        <v/>
      </c>
      <c r="K623" s="4" t="s">
        <v>1098</v>
      </c>
      <c r="L623" s="4" t="str">
        <f>RIGHT(Table13[[#This Row],[Function Col]],4)</f>
        <v/>
      </c>
      <c r="M623" s="4" t="s">
        <v>1098</v>
      </c>
      <c r="N623" s="4" t="str">
        <f>IF(Table13[[#This Row],[Function Col5]]="","",_xlfn.CONCAT(Table13[[#This Row],[Day Col]],"/",Table13[[#This Row],[Month Col]],"/",Table13[[#This Row],[Year Col]]))</f>
        <v/>
      </c>
      <c r="O623" s="4" t="s">
        <v>1098</v>
      </c>
      <c r="P623" s="4">
        <f>IF(ISNUMBER(Table13[[#This Row],[Claim_Date2]]),Table13[[#This Row],[Claim_Date2]],Table13[[#This Row],[Function Col32]])</f>
        <v>45287</v>
      </c>
      <c r="Q623" s="4">
        <v>45287</v>
      </c>
      <c r="R623" s="1" t="s">
        <v>92</v>
      </c>
      <c r="S623" s="1" t="s">
        <v>23</v>
      </c>
      <c r="T623" s="1" t="s">
        <v>54</v>
      </c>
      <c r="U623" s="1"/>
      <c r="W623">
        <f>IF(Table1[[#This Row],[Claim_Amount]]&lt;0,0,Table1[[#This Row],[Claim_Amount]])</f>
        <v>0</v>
      </c>
      <c r="X623" t="str">
        <f>IF(Table1[[#This Row],[Column1]]=0,"",Table1[[#This Row],[Column1]])</f>
        <v/>
      </c>
      <c r="Y623" t="s">
        <v>1098</v>
      </c>
      <c r="Z623">
        <v>2481</v>
      </c>
      <c r="AA623" s="1">
        <v>2026.14</v>
      </c>
      <c r="AB623" s="1" t="s">
        <v>1091</v>
      </c>
      <c r="AC623" s="1" t="s">
        <v>26</v>
      </c>
      <c r="AD623">
        <v>9</v>
      </c>
      <c r="AE623" s="3" t="s">
        <v>27</v>
      </c>
    </row>
    <row r="624" spans="1:31" ht="15.75" customHeight="1" x14ac:dyDescent="0.35">
      <c r="A624" s="1" t="s">
        <v>43</v>
      </c>
      <c r="B624" s="1" t="s">
        <v>818</v>
      </c>
      <c r="C624" t="s">
        <v>1084</v>
      </c>
      <c r="D624" s="1" t="s">
        <v>819</v>
      </c>
      <c r="E624" s="5">
        <v>45060</v>
      </c>
      <c r="F624" s="4" t="str">
        <f>IF(ISNUMBER(Table13[[#This Row],[Claim_Date2]]),"",Table13[[#This Row],[Claim_Date2]])</f>
        <v/>
      </c>
      <c r="G624" s="4" t="s">
        <v>1098</v>
      </c>
      <c r="H624" s="4" t="str">
        <f>LEFT(Table13[[#This Row],[Values Col 1]],3)</f>
        <v/>
      </c>
      <c r="I624" s="4" t="s">
        <v>1098</v>
      </c>
      <c r="J624" s="4" t="str">
        <f>MID(Table13[[#This Row],[Function Col]],5,2)</f>
        <v/>
      </c>
      <c r="K624" s="4" t="s">
        <v>1098</v>
      </c>
      <c r="L624" s="4" t="str">
        <f>RIGHT(Table13[[#This Row],[Function Col]],4)</f>
        <v/>
      </c>
      <c r="M624" s="4" t="s">
        <v>1098</v>
      </c>
      <c r="N624" s="4" t="str">
        <f>IF(Table13[[#This Row],[Function Col5]]="","",_xlfn.CONCAT(Table13[[#This Row],[Day Col]],"/",Table13[[#This Row],[Month Col]],"/",Table13[[#This Row],[Year Col]]))</f>
        <v/>
      </c>
      <c r="O624" s="4" t="s">
        <v>1098</v>
      </c>
      <c r="P624" s="4">
        <f>IF(ISNUMBER(Table13[[#This Row],[Claim_Date2]]),Table13[[#This Row],[Claim_Date2]],Table13[[#This Row],[Function Col32]])</f>
        <v>45060</v>
      </c>
      <c r="Q624" s="4">
        <v>45060</v>
      </c>
      <c r="R624" s="1" t="s">
        <v>85</v>
      </c>
      <c r="S624" s="1" t="s">
        <v>93</v>
      </c>
      <c r="T624" s="1" t="s">
        <v>54</v>
      </c>
      <c r="U624" s="1"/>
      <c r="V624" s="1">
        <v>4092.97</v>
      </c>
      <c r="W624" s="1">
        <f>IF(Table1[[#This Row],[Claim_Amount]]&lt;0,0,Table1[[#This Row],[Claim_Amount]])</f>
        <v>4092.97</v>
      </c>
      <c r="X624" s="1">
        <f>IF(Table1[[#This Row],[Column1]]=0,"",Table1[[#This Row],[Column1]])</f>
        <v>4092.97</v>
      </c>
      <c r="Y624" s="1">
        <v>4092.97</v>
      </c>
      <c r="Z624" s="1">
        <v>4092.97</v>
      </c>
      <c r="AA624" s="1">
        <v>1216.31</v>
      </c>
      <c r="AB624" s="1" t="s">
        <v>1091</v>
      </c>
      <c r="AC624" s="1" t="s">
        <v>57</v>
      </c>
      <c r="AD624" s="1">
        <v>44</v>
      </c>
      <c r="AE624" s="3" t="s">
        <v>27</v>
      </c>
    </row>
    <row r="625" spans="1:31" ht="15.75" customHeight="1" x14ac:dyDescent="0.35">
      <c r="A625" s="1" t="s">
        <v>430</v>
      </c>
      <c r="B625" t="s">
        <v>1083</v>
      </c>
      <c r="C625" s="1" t="s">
        <v>278</v>
      </c>
      <c r="D625" s="1" t="s">
        <v>820</v>
      </c>
      <c r="E625" s="5">
        <v>45172</v>
      </c>
      <c r="F625" s="4" t="str">
        <f>IF(ISNUMBER(Table13[[#This Row],[Claim_Date2]]),"",Table13[[#This Row],[Claim_Date2]])</f>
        <v/>
      </c>
      <c r="G625" s="4" t="s">
        <v>1098</v>
      </c>
      <c r="H625" s="4" t="str">
        <f>LEFT(Table13[[#This Row],[Values Col 1]],3)</f>
        <v/>
      </c>
      <c r="I625" s="4" t="s">
        <v>1098</v>
      </c>
      <c r="J625" s="4" t="str">
        <f>MID(Table13[[#This Row],[Function Col]],5,2)</f>
        <v/>
      </c>
      <c r="K625" s="4" t="s">
        <v>1098</v>
      </c>
      <c r="L625" s="4" t="str">
        <f>RIGHT(Table13[[#This Row],[Function Col]],4)</f>
        <v/>
      </c>
      <c r="M625" s="4" t="s">
        <v>1098</v>
      </c>
      <c r="N625" s="4" t="str">
        <f>IF(Table13[[#This Row],[Function Col5]]="","",_xlfn.CONCAT(Table13[[#This Row],[Day Col]],"/",Table13[[#This Row],[Month Col]],"/",Table13[[#This Row],[Year Col]]))</f>
        <v/>
      </c>
      <c r="O625" s="4" t="s">
        <v>1098</v>
      </c>
      <c r="P625" s="4">
        <f>IF(ISNUMBER(Table13[[#This Row],[Claim_Date2]]),Table13[[#This Row],[Claim_Date2]],Table13[[#This Row],[Function Col32]])</f>
        <v>45172</v>
      </c>
      <c r="Q625" s="4">
        <v>45172</v>
      </c>
      <c r="R625" s="1" t="s">
        <v>16</v>
      </c>
      <c r="S625" s="1" t="s">
        <v>23</v>
      </c>
      <c r="T625" s="1" t="s">
        <v>61</v>
      </c>
      <c r="U625" s="1"/>
      <c r="W625">
        <f>IF(Table1[[#This Row],[Claim_Amount]]&lt;0,0,Table1[[#This Row],[Claim_Amount]])</f>
        <v>0</v>
      </c>
      <c r="X625" t="str">
        <f>IF(Table1[[#This Row],[Column1]]=0,"",Table1[[#This Row],[Column1]])</f>
        <v/>
      </c>
      <c r="Y625" t="s">
        <v>1098</v>
      </c>
      <c r="Z625">
        <v>2481</v>
      </c>
      <c r="AA625">
        <v>832</v>
      </c>
      <c r="AB625" s="1" t="s">
        <v>25</v>
      </c>
      <c r="AC625" s="1" t="s">
        <v>32</v>
      </c>
      <c r="AD625" s="1">
        <v>50</v>
      </c>
      <c r="AE625" s="3" t="s">
        <v>19</v>
      </c>
    </row>
    <row r="626" spans="1:31" ht="15.75" customHeight="1" x14ac:dyDescent="0.35">
      <c r="A626" s="1" t="s">
        <v>82</v>
      </c>
      <c r="B626" s="1" t="s">
        <v>821</v>
      </c>
      <c r="C626" t="s">
        <v>1084</v>
      </c>
      <c r="D626" s="1" t="s">
        <v>822</v>
      </c>
      <c r="E626" s="5" t="s">
        <v>822</v>
      </c>
      <c r="F626" s="4" t="str">
        <f>IF(ISNUMBER(Table13[[#This Row],[Claim_Date2]]),"",Table13[[#This Row],[Claim_Date2]])</f>
        <v>Jan 10 2023</v>
      </c>
      <c r="G626" s="4" t="s">
        <v>822</v>
      </c>
      <c r="H626" s="4" t="str">
        <f>LEFT(Table13[[#This Row],[Values Col 1]],3)</f>
        <v>Jan</v>
      </c>
      <c r="I626" s="4" t="s">
        <v>1107</v>
      </c>
      <c r="J626" s="4" t="str">
        <f>MID(Table13[[#This Row],[Function Col]],5,2)</f>
        <v>10</v>
      </c>
      <c r="K626" s="4" t="s">
        <v>1128</v>
      </c>
      <c r="L626" s="4" t="str">
        <f>RIGHT(Table13[[#This Row],[Function Col]],4)</f>
        <v>2023</v>
      </c>
      <c r="M626" s="4" t="s">
        <v>1146</v>
      </c>
      <c r="N626" s="4" t="str">
        <f>IF(Table13[[#This Row],[Function Col5]]="","",_xlfn.CONCAT(Table13[[#This Row],[Day Col]],"/",Table13[[#This Row],[Month Col]],"/",Table13[[#This Row],[Year Col]]))</f>
        <v>10/Jan/2023</v>
      </c>
      <c r="O626" s="4" t="s">
        <v>1306</v>
      </c>
      <c r="P626" s="4" t="str">
        <f>IF(ISNUMBER(Table13[[#This Row],[Claim_Date2]]),Table13[[#This Row],[Claim_Date2]],Table13[[#This Row],[Function Col32]])</f>
        <v>10/Jan/2023</v>
      </c>
      <c r="Q626" s="4">
        <v>44936</v>
      </c>
      <c r="R626" s="1" t="s">
        <v>77</v>
      </c>
      <c r="S626" s="1" t="s">
        <v>23</v>
      </c>
      <c r="T626" s="1" t="s">
        <v>48</v>
      </c>
      <c r="U626" s="1"/>
      <c r="W626">
        <f>IF(Table1[[#This Row],[Claim_Amount]]&lt;0,0,Table1[[#This Row],[Claim_Amount]])</f>
        <v>0</v>
      </c>
      <c r="X626" t="str">
        <f>IF(Table1[[#This Row],[Column1]]=0,"",Table1[[#This Row],[Column1]])</f>
        <v/>
      </c>
      <c r="Y626" t="s">
        <v>1098</v>
      </c>
      <c r="Z626">
        <v>2481</v>
      </c>
      <c r="AA626">
        <v>832</v>
      </c>
      <c r="AB626" s="1" t="s">
        <v>1091</v>
      </c>
      <c r="AC626" s="1" t="s">
        <v>18</v>
      </c>
      <c r="AD626">
        <v>9</v>
      </c>
      <c r="AE626" s="3" t="s">
        <v>19</v>
      </c>
    </row>
    <row r="627" spans="1:31" ht="15.75" customHeight="1" x14ac:dyDescent="0.35">
      <c r="A627" s="1" t="s">
        <v>110</v>
      </c>
      <c r="B627" t="s">
        <v>1083</v>
      </c>
      <c r="C627" t="s">
        <v>1084</v>
      </c>
      <c r="D627" s="1" t="s">
        <v>109</v>
      </c>
      <c r="E627" s="5">
        <v>45150</v>
      </c>
      <c r="F627" s="4" t="str">
        <f>IF(ISNUMBER(Table13[[#This Row],[Claim_Date2]]),"",Table13[[#This Row],[Claim_Date2]])</f>
        <v/>
      </c>
      <c r="G627" s="4" t="s">
        <v>1098</v>
      </c>
      <c r="H627" s="4" t="str">
        <f>LEFT(Table13[[#This Row],[Values Col 1]],3)</f>
        <v/>
      </c>
      <c r="I627" s="4" t="s">
        <v>1098</v>
      </c>
      <c r="J627" s="4" t="str">
        <f>MID(Table13[[#This Row],[Function Col]],5,2)</f>
        <v/>
      </c>
      <c r="K627" s="4" t="s">
        <v>1098</v>
      </c>
      <c r="L627" s="4" t="str">
        <f>RIGHT(Table13[[#This Row],[Function Col]],4)</f>
        <v/>
      </c>
      <c r="M627" s="4" t="s">
        <v>1098</v>
      </c>
      <c r="N627" s="4" t="str">
        <f>IF(Table13[[#This Row],[Function Col5]]="","",_xlfn.CONCAT(Table13[[#This Row],[Day Col]],"/",Table13[[#This Row],[Month Col]],"/",Table13[[#This Row],[Year Col]]))</f>
        <v/>
      </c>
      <c r="O627" s="4" t="s">
        <v>1098</v>
      </c>
      <c r="P627" s="4">
        <f>IF(ISNUMBER(Table13[[#This Row],[Claim_Date2]]),Table13[[#This Row],[Claim_Date2]],Table13[[#This Row],[Function Col32]])</f>
        <v>45150</v>
      </c>
      <c r="Q627" s="4">
        <v>45150</v>
      </c>
      <c r="R627" s="1" t="s">
        <v>16</v>
      </c>
      <c r="S627" s="1" t="s">
        <v>47</v>
      </c>
      <c r="T627" s="1" t="s">
        <v>61</v>
      </c>
      <c r="U627" s="1"/>
      <c r="V627" s="1">
        <v>1174.27</v>
      </c>
      <c r="W627" s="1">
        <f>IF(Table1[[#This Row],[Claim_Amount]]&lt;0,0,Table1[[#This Row],[Claim_Amount]])</f>
        <v>1174.27</v>
      </c>
      <c r="X627" s="1">
        <f>IF(Table1[[#This Row],[Column1]]=0,"",Table1[[#This Row],[Column1]])</f>
        <v>1174.27</v>
      </c>
      <c r="Y627" s="1">
        <v>1174.27</v>
      </c>
      <c r="Z627" s="1">
        <v>1174.27</v>
      </c>
      <c r="AA627" s="1">
        <v>4955.1499999999996</v>
      </c>
      <c r="AB627" s="1" t="s">
        <v>17</v>
      </c>
      <c r="AC627" s="1" t="s">
        <v>26</v>
      </c>
      <c r="AD627" s="1">
        <v>4</v>
      </c>
      <c r="AE627" s="3" t="s">
        <v>65</v>
      </c>
    </row>
    <row r="628" spans="1:31" ht="15.75" customHeight="1" x14ac:dyDescent="0.35">
      <c r="A628" s="1" t="s">
        <v>215</v>
      </c>
      <c r="B628" t="s">
        <v>1083</v>
      </c>
      <c r="C628" t="s">
        <v>1084</v>
      </c>
      <c r="D628" s="1" t="s">
        <v>823</v>
      </c>
      <c r="E628" s="5">
        <v>45106</v>
      </c>
      <c r="F628" s="4" t="str">
        <f>IF(ISNUMBER(Table13[[#This Row],[Claim_Date2]]),"",Table13[[#This Row],[Claim_Date2]])</f>
        <v/>
      </c>
      <c r="G628" s="4" t="s">
        <v>1098</v>
      </c>
      <c r="H628" s="4" t="str">
        <f>LEFT(Table13[[#This Row],[Values Col 1]],3)</f>
        <v/>
      </c>
      <c r="I628" s="4" t="s">
        <v>1098</v>
      </c>
      <c r="J628" s="4" t="str">
        <f>MID(Table13[[#This Row],[Function Col]],5,2)</f>
        <v/>
      </c>
      <c r="K628" s="4" t="s">
        <v>1098</v>
      </c>
      <c r="L628" s="4" t="str">
        <f>RIGHT(Table13[[#This Row],[Function Col]],4)</f>
        <v/>
      </c>
      <c r="M628" s="4" t="s">
        <v>1098</v>
      </c>
      <c r="N628" s="4" t="str">
        <f>IF(Table13[[#This Row],[Function Col5]]="","",_xlfn.CONCAT(Table13[[#This Row],[Day Col]],"/",Table13[[#This Row],[Month Col]],"/",Table13[[#This Row],[Year Col]]))</f>
        <v/>
      </c>
      <c r="O628" s="4" t="s">
        <v>1098</v>
      </c>
      <c r="P628" s="4">
        <f>IF(ISNUMBER(Table13[[#This Row],[Claim_Date2]]),Table13[[#This Row],[Claim_Date2]],Table13[[#This Row],[Function Col32]])</f>
        <v>45106</v>
      </c>
      <c r="Q628" s="4">
        <v>45106</v>
      </c>
      <c r="R628" s="1" t="s">
        <v>92</v>
      </c>
      <c r="S628" s="1" t="s">
        <v>93</v>
      </c>
      <c r="T628" s="1" t="s">
        <v>54</v>
      </c>
      <c r="U628" s="1"/>
      <c r="V628" s="1">
        <v>2019.2</v>
      </c>
      <c r="W628" s="1">
        <f>IF(Table1[[#This Row],[Claim_Amount]]&lt;0,0,Table1[[#This Row],[Claim_Amount]])</f>
        <v>2019.2</v>
      </c>
      <c r="X628" s="1">
        <f>IF(Table1[[#This Row],[Column1]]=0,"",Table1[[#This Row],[Column1]])</f>
        <v>2019.2</v>
      </c>
      <c r="Y628" s="1">
        <v>2019.2</v>
      </c>
      <c r="Z628" s="1">
        <v>2019.2</v>
      </c>
      <c r="AA628" s="1">
        <v>3300.12</v>
      </c>
      <c r="AB628" s="1" t="s">
        <v>42</v>
      </c>
      <c r="AC628" s="1" t="s">
        <v>57</v>
      </c>
      <c r="AD628">
        <v>9</v>
      </c>
      <c r="AE628" s="3" t="s">
        <v>27</v>
      </c>
    </row>
    <row r="629" spans="1:31" ht="15.75" customHeight="1" x14ac:dyDescent="0.35">
      <c r="A629" s="1" t="s">
        <v>198</v>
      </c>
      <c r="B629" t="s">
        <v>1083</v>
      </c>
      <c r="C629" t="s">
        <v>1084</v>
      </c>
      <c r="D629" s="1" t="s">
        <v>251</v>
      </c>
      <c r="E629" s="5">
        <v>45209</v>
      </c>
      <c r="F629" s="4" t="str">
        <f>IF(ISNUMBER(Table13[[#This Row],[Claim_Date2]]),"",Table13[[#This Row],[Claim_Date2]])</f>
        <v/>
      </c>
      <c r="G629" s="4" t="s">
        <v>1098</v>
      </c>
      <c r="H629" s="4" t="str">
        <f>LEFT(Table13[[#This Row],[Values Col 1]],3)</f>
        <v/>
      </c>
      <c r="I629" s="4" t="s">
        <v>1098</v>
      </c>
      <c r="J629" s="4" t="str">
        <f>MID(Table13[[#This Row],[Function Col]],5,2)</f>
        <v/>
      </c>
      <c r="K629" s="4" t="s">
        <v>1098</v>
      </c>
      <c r="L629" s="4" t="str">
        <f>RIGHT(Table13[[#This Row],[Function Col]],4)</f>
        <v/>
      </c>
      <c r="M629" s="4" t="s">
        <v>1098</v>
      </c>
      <c r="N629" s="4" t="str">
        <f>IF(Table13[[#This Row],[Function Col5]]="","",_xlfn.CONCAT(Table13[[#This Row],[Day Col]],"/",Table13[[#This Row],[Month Col]],"/",Table13[[#This Row],[Year Col]]))</f>
        <v/>
      </c>
      <c r="O629" s="4" t="s">
        <v>1098</v>
      </c>
      <c r="P629" s="4">
        <f>IF(ISNUMBER(Table13[[#This Row],[Claim_Date2]]),Table13[[#This Row],[Claim_Date2]],Table13[[#This Row],[Function Col32]])</f>
        <v>45209</v>
      </c>
      <c r="Q629" s="4">
        <v>45209</v>
      </c>
      <c r="R629" s="1" t="s">
        <v>30</v>
      </c>
      <c r="S629" s="1" t="s">
        <v>31</v>
      </c>
      <c r="T629" s="1" t="s">
        <v>41</v>
      </c>
      <c r="U629" s="1"/>
      <c r="V629" s="1">
        <v>3503.97</v>
      </c>
      <c r="W629" s="1">
        <f>IF(Table1[[#This Row],[Claim_Amount]]&lt;0,0,Table1[[#This Row],[Claim_Amount]])</f>
        <v>3503.97</v>
      </c>
      <c r="X629" s="1">
        <f>IF(Table1[[#This Row],[Column1]]=0,"",Table1[[#This Row],[Column1]])</f>
        <v>3503.97</v>
      </c>
      <c r="Y629" s="1">
        <v>3503.97</v>
      </c>
      <c r="Z629" s="1">
        <v>3503.97</v>
      </c>
      <c r="AA629">
        <v>832</v>
      </c>
      <c r="AB629" s="1" t="s">
        <v>1091</v>
      </c>
      <c r="AC629" s="1" t="s">
        <v>1093</v>
      </c>
      <c r="AD629" s="1">
        <v>17</v>
      </c>
      <c r="AE629" s="3" t="s">
        <v>65</v>
      </c>
    </row>
    <row r="630" spans="1:31" ht="15.75" customHeight="1" x14ac:dyDescent="0.35">
      <c r="A630" s="1" t="s">
        <v>277</v>
      </c>
      <c r="B630" s="1" t="s">
        <v>691</v>
      </c>
      <c r="C630" s="1" t="s">
        <v>414</v>
      </c>
      <c r="D630" s="1" t="s">
        <v>789</v>
      </c>
      <c r="E630" s="5">
        <v>44989</v>
      </c>
      <c r="F630" s="4" t="str">
        <f>IF(ISNUMBER(Table13[[#This Row],[Claim_Date2]]),"",Table13[[#This Row],[Claim_Date2]])</f>
        <v/>
      </c>
      <c r="G630" s="4" t="s">
        <v>1098</v>
      </c>
      <c r="H630" s="4" t="str">
        <f>LEFT(Table13[[#This Row],[Values Col 1]],3)</f>
        <v/>
      </c>
      <c r="I630" s="4" t="s">
        <v>1098</v>
      </c>
      <c r="J630" s="4" t="str">
        <f>MID(Table13[[#This Row],[Function Col]],5,2)</f>
        <v/>
      </c>
      <c r="K630" s="4" t="s">
        <v>1098</v>
      </c>
      <c r="L630" s="4" t="str">
        <f>RIGHT(Table13[[#This Row],[Function Col]],4)</f>
        <v/>
      </c>
      <c r="M630" s="4" t="s">
        <v>1098</v>
      </c>
      <c r="N630" s="4" t="str">
        <f>IF(Table13[[#This Row],[Function Col5]]="","",_xlfn.CONCAT(Table13[[#This Row],[Day Col]],"/",Table13[[#This Row],[Month Col]],"/",Table13[[#This Row],[Year Col]]))</f>
        <v/>
      </c>
      <c r="O630" s="4" t="s">
        <v>1098</v>
      </c>
      <c r="P630" s="4">
        <f>IF(ISNUMBER(Table13[[#This Row],[Claim_Date2]]),Table13[[#This Row],[Claim_Date2]],Table13[[#This Row],[Function Col32]])</f>
        <v>44989</v>
      </c>
      <c r="Q630" s="4">
        <v>44989</v>
      </c>
      <c r="R630" s="1" t="s">
        <v>85</v>
      </c>
      <c r="S630" t="s">
        <v>1085</v>
      </c>
      <c r="T630" s="1" t="s">
        <v>48</v>
      </c>
      <c r="U630" s="1"/>
      <c r="V630" s="1">
        <v>3267.05</v>
      </c>
      <c r="W630" s="1">
        <f>IF(Table1[[#This Row],[Claim_Amount]]&lt;0,0,Table1[[#This Row],[Claim_Amount]])</f>
        <v>3267.05</v>
      </c>
      <c r="X630" s="1">
        <f>IF(Table1[[#This Row],[Column1]]=0,"",Table1[[#This Row],[Column1]])</f>
        <v>3267.05</v>
      </c>
      <c r="Y630" s="1">
        <v>3267.05</v>
      </c>
      <c r="Z630" s="1">
        <v>3267.05</v>
      </c>
      <c r="AA630" s="1">
        <v>155.38</v>
      </c>
      <c r="AB630" s="1" t="s">
        <v>42</v>
      </c>
      <c r="AC630" s="1" t="s">
        <v>32</v>
      </c>
      <c r="AD630">
        <v>9</v>
      </c>
      <c r="AE630" s="3" t="s">
        <v>27</v>
      </c>
    </row>
    <row r="631" spans="1:31" ht="15.75" customHeight="1" x14ac:dyDescent="0.35">
      <c r="A631" s="1" t="s">
        <v>96</v>
      </c>
      <c r="B631" t="s">
        <v>1083</v>
      </c>
      <c r="C631" t="s">
        <v>1084</v>
      </c>
      <c r="D631" s="1" t="s">
        <v>615</v>
      </c>
      <c r="E631" s="5">
        <v>44936</v>
      </c>
      <c r="F631" s="4" t="str">
        <f>IF(ISNUMBER(Table13[[#This Row],[Claim_Date2]]),"",Table13[[#This Row],[Claim_Date2]])</f>
        <v/>
      </c>
      <c r="G631" s="4" t="s">
        <v>1098</v>
      </c>
      <c r="H631" s="4" t="str">
        <f>LEFT(Table13[[#This Row],[Values Col 1]],3)</f>
        <v/>
      </c>
      <c r="I631" s="4" t="s">
        <v>1098</v>
      </c>
      <c r="J631" s="4" t="str">
        <f>MID(Table13[[#This Row],[Function Col]],5,2)</f>
        <v/>
      </c>
      <c r="K631" s="4" t="s">
        <v>1098</v>
      </c>
      <c r="L631" s="4" t="str">
        <f>RIGHT(Table13[[#This Row],[Function Col]],4)</f>
        <v/>
      </c>
      <c r="M631" s="4" t="s">
        <v>1098</v>
      </c>
      <c r="N631" s="4" t="str">
        <f>IF(Table13[[#This Row],[Function Col5]]="","",_xlfn.CONCAT(Table13[[#This Row],[Day Col]],"/",Table13[[#This Row],[Month Col]],"/",Table13[[#This Row],[Year Col]]))</f>
        <v/>
      </c>
      <c r="O631" s="4" t="s">
        <v>1098</v>
      </c>
      <c r="P631" s="4">
        <f>IF(ISNUMBER(Table13[[#This Row],[Claim_Date2]]),Table13[[#This Row],[Claim_Date2]],Table13[[#This Row],[Function Col32]])</f>
        <v>44936</v>
      </c>
      <c r="Q631" s="4">
        <v>44936</v>
      </c>
      <c r="R631" s="1" t="s">
        <v>77</v>
      </c>
      <c r="S631" s="1" t="s">
        <v>23</v>
      </c>
      <c r="T631" s="1" t="s">
        <v>24</v>
      </c>
      <c r="U631" s="1"/>
      <c r="V631" s="1">
        <v>-57</v>
      </c>
      <c r="W631" s="1">
        <f>IF(Table1[[#This Row],[Claim_Amount]]&lt;0,0,Table1[[#This Row],[Claim_Amount]])</f>
        <v>0</v>
      </c>
      <c r="X631" s="1" t="str">
        <f>IF(Table1[[#This Row],[Column1]]=0,"",Table1[[#This Row],[Column1]])</f>
        <v/>
      </c>
      <c r="Y631" s="1" t="s">
        <v>1098</v>
      </c>
      <c r="Z631" s="1">
        <v>2481</v>
      </c>
      <c r="AA631">
        <v>832</v>
      </c>
      <c r="AB631" s="1" t="s">
        <v>42</v>
      </c>
      <c r="AC631" s="1" t="s">
        <v>26</v>
      </c>
      <c r="AD631">
        <v>9</v>
      </c>
      <c r="AE631" s="3" t="s">
        <v>19</v>
      </c>
    </row>
    <row r="632" spans="1:31" ht="15.75" customHeight="1" x14ac:dyDescent="0.35">
      <c r="A632" s="1" t="s">
        <v>154</v>
      </c>
      <c r="B632" t="s">
        <v>1083</v>
      </c>
      <c r="C632" s="1" t="s">
        <v>45</v>
      </c>
      <c r="D632" s="1" t="s">
        <v>824</v>
      </c>
      <c r="E632" s="5">
        <v>45101</v>
      </c>
      <c r="F632" s="4" t="str">
        <f>IF(ISNUMBER(Table13[[#This Row],[Claim_Date2]]),"",Table13[[#This Row],[Claim_Date2]])</f>
        <v/>
      </c>
      <c r="G632" s="4" t="s">
        <v>1098</v>
      </c>
      <c r="H632" s="4" t="str">
        <f>LEFT(Table13[[#This Row],[Values Col 1]],3)</f>
        <v/>
      </c>
      <c r="I632" s="4" t="s">
        <v>1098</v>
      </c>
      <c r="J632" s="4" t="str">
        <f>MID(Table13[[#This Row],[Function Col]],5,2)</f>
        <v/>
      </c>
      <c r="K632" s="4" t="s">
        <v>1098</v>
      </c>
      <c r="L632" s="4" t="str">
        <f>RIGHT(Table13[[#This Row],[Function Col]],4)</f>
        <v/>
      </c>
      <c r="M632" s="4" t="s">
        <v>1098</v>
      </c>
      <c r="N632" s="4" t="str">
        <f>IF(Table13[[#This Row],[Function Col5]]="","",_xlfn.CONCAT(Table13[[#This Row],[Day Col]],"/",Table13[[#This Row],[Month Col]],"/",Table13[[#This Row],[Year Col]]))</f>
        <v/>
      </c>
      <c r="O632" s="4" t="s">
        <v>1098</v>
      </c>
      <c r="P632" s="4">
        <f>IF(ISNUMBER(Table13[[#This Row],[Claim_Date2]]),Table13[[#This Row],[Claim_Date2]],Table13[[#This Row],[Function Col32]])</f>
        <v>45101</v>
      </c>
      <c r="Q632" s="4">
        <v>45101</v>
      </c>
      <c r="R632" s="1" t="s">
        <v>85</v>
      </c>
      <c r="S632" s="1" t="s">
        <v>53</v>
      </c>
      <c r="T632" t="s">
        <v>1086</v>
      </c>
      <c r="V632" s="1">
        <v>4646.3999999999996</v>
      </c>
      <c r="W632" s="1">
        <f>IF(Table1[[#This Row],[Claim_Amount]]&lt;0,0,Table1[[#This Row],[Claim_Amount]])</f>
        <v>4646.3999999999996</v>
      </c>
      <c r="X632" s="1">
        <f>IF(Table1[[#This Row],[Column1]]=0,"",Table1[[#This Row],[Column1]])</f>
        <v>4646.3999999999996</v>
      </c>
      <c r="Y632" s="1">
        <v>4646.3999999999996</v>
      </c>
      <c r="Z632" s="1">
        <v>4646.3999999999996</v>
      </c>
      <c r="AA632">
        <v>832</v>
      </c>
      <c r="AB632" s="1" t="s">
        <v>42</v>
      </c>
      <c r="AC632" s="1" t="s">
        <v>57</v>
      </c>
      <c r="AD632">
        <v>9</v>
      </c>
      <c r="AE632" s="3" t="s">
        <v>1097</v>
      </c>
    </row>
    <row r="633" spans="1:31" ht="15.75" customHeight="1" x14ac:dyDescent="0.35">
      <c r="A633" s="1" t="s">
        <v>168</v>
      </c>
      <c r="B633" t="s">
        <v>1083</v>
      </c>
      <c r="C633" s="1" t="s">
        <v>45</v>
      </c>
      <c r="D633" s="1" t="s">
        <v>448</v>
      </c>
      <c r="E633" s="5">
        <v>45122</v>
      </c>
      <c r="F633" s="4" t="str">
        <f>IF(ISNUMBER(Table13[[#This Row],[Claim_Date2]]),"",Table13[[#This Row],[Claim_Date2]])</f>
        <v/>
      </c>
      <c r="G633" s="4" t="s">
        <v>1098</v>
      </c>
      <c r="H633" s="4" t="str">
        <f>LEFT(Table13[[#This Row],[Values Col 1]],3)</f>
        <v/>
      </c>
      <c r="I633" s="4" t="s">
        <v>1098</v>
      </c>
      <c r="J633" s="4" t="str">
        <f>MID(Table13[[#This Row],[Function Col]],5,2)</f>
        <v/>
      </c>
      <c r="K633" s="4" t="s">
        <v>1098</v>
      </c>
      <c r="L633" s="4" t="str">
        <f>RIGHT(Table13[[#This Row],[Function Col]],4)</f>
        <v/>
      </c>
      <c r="M633" s="4" t="s">
        <v>1098</v>
      </c>
      <c r="N633" s="4" t="str">
        <f>IF(Table13[[#This Row],[Function Col5]]="","",_xlfn.CONCAT(Table13[[#This Row],[Day Col]],"/",Table13[[#This Row],[Month Col]],"/",Table13[[#This Row],[Year Col]]))</f>
        <v/>
      </c>
      <c r="O633" s="4" t="s">
        <v>1098</v>
      </c>
      <c r="P633" s="4">
        <f>IF(ISNUMBER(Table13[[#This Row],[Claim_Date2]]),Table13[[#This Row],[Claim_Date2]],Table13[[#This Row],[Function Col32]])</f>
        <v>45122</v>
      </c>
      <c r="Q633" s="4">
        <v>45122</v>
      </c>
      <c r="R633" s="1" t="s">
        <v>16</v>
      </c>
      <c r="S633" s="1" t="s">
        <v>31</v>
      </c>
      <c r="T633" t="s">
        <v>1086</v>
      </c>
      <c r="W633">
        <f>IF(Table1[[#This Row],[Claim_Amount]]&lt;0,0,Table1[[#This Row],[Claim_Amount]])</f>
        <v>0</v>
      </c>
      <c r="X633" t="str">
        <f>IF(Table1[[#This Row],[Column1]]=0,"",Table1[[#This Row],[Column1]])</f>
        <v/>
      </c>
      <c r="Y633" t="s">
        <v>1098</v>
      </c>
      <c r="Z633">
        <v>2481</v>
      </c>
      <c r="AA633">
        <v>832</v>
      </c>
      <c r="AB633" s="1" t="s">
        <v>42</v>
      </c>
      <c r="AC633" s="1" t="s">
        <v>57</v>
      </c>
      <c r="AD633" s="1">
        <v>25</v>
      </c>
      <c r="AE633" s="3" t="s">
        <v>1097</v>
      </c>
    </row>
    <row r="634" spans="1:31" ht="15.75" customHeight="1" x14ac:dyDescent="0.35">
      <c r="A634" s="1" t="s">
        <v>38</v>
      </c>
      <c r="B634" t="s">
        <v>1083</v>
      </c>
      <c r="C634" t="s">
        <v>1084</v>
      </c>
      <c r="D634" s="1" t="s">
        <v>825</v>
      </c>
      <c r="E634" s="5">
        <v>45261</v>
      </c>
      <c r="F634" s="4" t="str">
        <f>IF(ISNUMBER(Table13[[#This Row],[Claim_Date2]]),"",Table13[[#This Row],[Claim_Date2]])</f>
        <v/>
      </c>
      <c r="G634" s="4" t="s">
        <v>1098</v>
      </c>
      <c r="H634" s="4" t="str">
        <f>LEFT(Table13[[#This Row],[Values Col 1]],3)</f>
        <v/>
      </c>
      <c r="I634" s="4" t="s">
        <v>1098</v>
      </c>
      <c r="J634" s="4" t="str">
        <f>MID(Table13[[#This Row],[Function Col]],5,2)</f>
        <v/>
      </c>
      <c r="K634" s="4" t="s">
        <v>1098</v>
      </c>
      <c r="L634" s="4" t="str">
        <f>RIGHT(Table13[[#This Row],[Function Col]],4)</f>
        <v/>
      </c>
      <c r="M634" s="4" t="s">
        <v>1098</v>
      </c>
      <c r="N634" s="4" t="str">
        <f>IF(Table13[[#This Row],[Function Col5]]="","",_xlfn.CONCAT(Table13[[#This Row],[Day Col]],"/",Table13[[#This Row],[Month Col]],"/",Table13[[#This Row],[Year Col]]))</f>
        <v/>
      </c>
      <c r="O634" s="4" t="s">
        <v>1098</v>
      </c>
      <c r="P634" s="4">
        <f>IF(ISNUMBER(Table13[[#This Row],[Claim_Date2]]),Table13[[#This Row],[Claim_Date2]],Table13[[#This Row],[Function Col32]])</f>
        <v>45261</v>
      </c>
      <c r="Q634" s="4">
        <v>45261</v>
      </c>
      <c r="R634" s="1" t="s">
        <v>92</v>
      </c>
      <c r="S634" s="1" t="s">
        <v>47</v>
      </c>
      <c r="T634" t="s">
        <v>1086</v>
      </c>
      <c r="W634">
        <f>IF(Table1[[#This Row],[Claim_Amount]]&lt;0,0,Table1[[#This Row],[Claim_Amount]])</f>
        <v>0</v>
      </c>
      <c r="X634" t="str">
        <f>IF(Table1[[#This Row],[Column1]]=0,"",Table1[[#This Row],[Column1]])</f>
        <v/>
      </c>
      <c r="Y634" t="s">
        <v>1098</v>
      </c>
      <c r="Z634">
        <v>2481</v>
      </c>
      <c r="AA634" s="1">
        <v>2246.85</v>
      </c>
      <c r="AB634" s="1" t="s">
        <v>25</v>
      </c>
      <c r="AC634" s="1" t="s">
        <v>26</v>
      </c>
      <c r="AD634" s="1">
        <v>29</v>
      </c>
      <c r="AE634" s="3" t="s">
        <v>27</v>
      </c>
    </row>
    <row r="635" spans="1:31" ht="15.75" customHeight="1" x14ac:dyDescent="0.35">
      <c r="A635" s="1" t="s">
        <v>285</v>
      </c>
      <c r="B635" t="s">
        <v>1083</v>
      </c>
      <c r="C635" t="s">
        <v>1084</v>
      </c>
      <c r="D635" s="1" t="s">
        <v>826</v>
      </c>
      <c r="E635" s="5">
        <v>45223</v>
      </c>
      <c r="F635" s="4" t="str">
        <f>IF(ISNUMBER(Table13[[#This Row],[Claim_Date2]]),"",Table13[[#This Row],[Claim_Date2]])</f>
        <v/>
      </c>
      <c r="G635" s="4" t="s">
        <v>1098</v>
      </c>
      <c r="H635" s="4" t="str">
        <f>LEFT(Table13[[#This Row],[Values Col 1]],3)</f>
        <v/>
      </c>
      <c r="I635" s="4" t="s">
        <v>1098</v>
      </c>
      <c r="J635" s="4" t="str">
        <f>MID(Table13[[#This Row],[Function Col]],5,2)</f>
        <v/>
      </c>
      <c r="K635" s="4" t="s">
        <v>1098</v>
      </c>
      <c r="L635" s="4" t="str">
        <f>RIGHT(Table13[[#This Row],[Function Col]],4)</f>
        <v/>
      </c>
      <c r="M635" s="4" t="s">
        <v>1098</v>
      </c>
      <c r="N635" s="4" t="str">
        <f>IF(Table13[[#This Row],[Function Col5]]="","",_xlfn.CONCAT(Table13[[#This Row],[Day Col]],"/",Table13[[#This Row],[Month Col]],"/",Table13[[#This Row],[Year Col]]))</f>
        <v/>
      </c>
      <c r="O635" s="4" t="s">
        <v>1098</v>
      </c>
      <c r="P635" s="4">
        <f>IF(ISNUMBER(Table13[[#This Row],[Claim_Date2]]),Table13[[#This Row],[Claim_Date2]],Table13[[#This Row],[Function Col32]])</f>
        <v>45223</v>
      </c>
      <c r="Q635" s="4">
        <v>45223</v>
      </c>
      <c r="R635" s="1" t="s">
        <v>30</v>
      </c>
      <c r="S635" s="1" t="s">
        <v>47</v>
      </c>
      <c r="T635" s="1" t="s">
        <v>41</v>
      </c>
      <c r="U635" s="1"/>
      <c r="W635">
        <f>IF(Table1[[#This Row],[Claim_Amount]]&lt;0,0,Table1[[#This Row],[Claim_Amount]])</f>
        <v>0</v>
      </c>
      <c r="X635" t="str">
        <f>IF(Table1[[#This Row],[Column1]]=0,"",Table1[[#This Row],[Column1]])</f>
        <v/>
      </c>
      <c r="Y635" t="s">
        <v>1098</v>
      </c>
      <c r="Z635">
        <v>2481</v>
      </c>
      <c r="AA635">
        <v>832</v>
      </c>
      <c r="AB635" s="1" t="s">
        <v>42</v>
      </c>
      <c r="AC635" s="1" t="s">
        <v>1093</v>
      </c>
      <c r="AD635" s="1">
        <v>8</v>
      </c>
      <c r="AE635" s="3" t="s">
        <v>65</v>
      </c>
    </row>
    <row r="636" spans="1:31" ht="15.75" customHeight="1" x14ac:dyDescent="0.35">
      <c r="A636" s="1" t="s">
        <v>50</v>
      </c>
      <c r="B636" t="s">
        <v>1083</v>
      </c>
      <c r="C636" s="1" t="s">
        <v>416</v>
      </c>
      <c r="D636" s="1" t="s">
        <v>199</v>
      </c>
      <c r="E636" s="5">
        <v>44985</v>
      </c>
      <c r="F636" s="4" t="str">
        <f>IF(ISNUMBER(Table13[[#This Row],[Claim_Date2]]),"",Table13[[#This Row],[Claim_Date2]])</f>
        <v/>
      </c>
      <c r="G636" s="4" t="s">
        <v>1098</v>
      </c>
      <c r="H636" s="4" t="str">
        <f>LEFT(Table13[[#This Row],[Values Col 1]],3)</f>
        <v/>
      </c>
      <c r="I636" s="4" t="s">
        <v>1098</v>
      </c>
      <c r="J636" s="4" t="str">
        <f>MID(Table13[[#This Row],[Function Col]],5,2)</f>
        <v/>
      </c>
      <c r="K636" s="4" t="s">
        <v>1098</v>
      </c>
      <c r="L636" s="4" t="str">
        <f>RIGHT(Table13[[#This Row],[Function Col]],4)</f>
        <v/>
      </c>
      <c r="M636" s="4" t="s">
        <v>1098</v>
      </c>
      <c r="N636" s="4" t="str">
        <f>IF(Table13[[#This Row],[Function Col5]]="","",_xlfn.CONCAT(Table13[[#This Row],[Day Col]],"/",Table13[[#This Row],[Month Col]],"/",Table13[[#This Row],[Year Col]]))</f>
        <v/>
      </c>
      <c r="O636" s="4" t="s">
        <v>1098</v>
      </c>
      <c r="P636" s="4">
        <f>IF(ISNUMBER(Table13[[#This Row],[Claim_Date2]]),Table13[[#This Row],[Claim_Date2]],Table13[[#This Row],[Function Col32]])</f>
        <v>44985</v>
      </c>
      <c r="Q636" s="4">
        <v>44985</v>
      </c>
      <c r="R636" s="1" t="s">
        <v>16</v>
      </c>
      <c r="S636" s="1" t="s">
        <v>47</v>
      </c>
      <c r="T636" s="1" t="s">
        <v>48</v>
      </c>
      <c r="U636" s="1"/>
      <c r="W636">
        <f>IF(Table1[[#This Row],[Claim_Amount]]&lt;0,0,Table1[[#This Row],[Claim_Amount]])</f>
        <v>0</v>
      </c>
      <c r="X636" t="str">
        <f>IF(Table1[[#This Row],[Column1]]=0,"",Table1[[#This Row],[Column1]])</f>
        <v/>
      </c>
      <c r="Y636" t="s">
        <v>1098</v>
      </c>
      <c r="Z636">
        <v>2481</v>
      </c>
      <c r="AA636">
        <v>832</v>
      </c>
      <c r="AB636" s="1" t="s">
        <v>42</v>
      </c>
      <c r="AC636" s="1" t="s">
        <v>32</v>
      </c>
      <c r="AD636">
        <v>9</v>
      </c>
      <c r="AE636" s="3" t="s">
        <v>27</v>
      </c>
    </row>
    <row r="637" spans="1:31" ht="15.75" customHeight="1" x14ac:dyDescent="0.35">
      <c r="A637" s="1" t="s">
        <v>73</v>
      </c>
      <c r="B637" s="1" t="s">
        <v>513</v>
      </c>
      <c r="C637" s="1" t="s">
        <v>440</v>
      </c>
      <c r="D637" s="1" t="s">
        <v>762</v>
      </c>
      <c r="E637" s="5" t="s">
        <v>762</v>
      </c>
      <c r="F637" s="4" t="str">
        <f>IF(ISNUMBER(Table13[[#This Row],[Claim_Date2]]),"",Table13[[#This Row],[Claim_Date2]])</f>
        <v>Feb 09 2023</v>
      </c>
      <c r="G637" s="4" t="s">
        <v>762</v>
      </c>
      <c r="H637" s="4" t="str">
        <f>LEFT(Table13[[#This Row],[Values Col 1]],3)</f>
        <v>Feb</v>
      </c>
      <c r="I637" s="4" t="s">
        <v>1109</v>
      </c>
      <c r="J637" s="4" t="str">
        <f>MID(Table13[[#This Row],[Function Col]],5,2)</f>
        <v>09</v>
      </c>
      <c r="K637" s="4" t="s">
        <v>1127</v>
      </c>
      <c r="L637" s="4" t="str">
        <f>RIGHT(Table13[[#This Row],[Function Col]],4)</f>
        <v>2023</v>
      </c>
      <c r="M637" s="4" t="s">
        <v>1146</v>
      </c>
      <c r="N637" s="4" t="str">
        <f>IF(Table13[[#This Row],[Function Col5]]="","",_xlfn.CONCAT(Table13[[#This Row],[Day Col]],"/",Table13[[#This Row],[Month Col]],"/",Table13[[#This Row],[Year Col]]))</f>
        <v>09/Feb/2023</v>
      </c>
      <c r="O637" s="4" t="s">
        <v>1293</v>
      </c>
      <c r="P637" s="4" t="str">
        <f>IF(ISNUMBER(Table13[[#This Row],[Claim_Date2]]),Table13[[#This Row],[Claim_Date2]],Table13[[#This Row],[Function Col32]])</f>
        <v>09/Feb/2023</v>
      </c>
      <c r="Q637" s="4">
        <v>44966</v>
      </c>
      <c r="R637" s="1" t="s">
        <v>77</v>
      </c>
      <c r="S637" s="1" t="s">
        <v>23</v>
      </c>
      <c r="T637" s="1" t="s">
        <v>54</v>
      </c>
      <c r="U637" s="1"/>
      <c r="W637">
        <f>IF(Table1[[#This Row],[Claim_Amount]]&lt;0,0,Table1[[#This Row],[Claim_Amount]])</f>
        <v>0</v>
      </c>
      <c r="X637" t="str">
        <f>IF(Table1[[#This Row],[Column1]]=0,"",Table1[[#This Row],[Column1]])</f>
        <v/>
      </c>
      <c r="Y637" t="s">
        <v>1098</v>
      </c>
      <c r="Z637">
        <v>2481</v>
      </c>
      <c r="AA637">
        <v>832</v>
      </c>
      <c r="AB637" s="1" t="s">
        <v>25</v>
      </c>
      <c r="AC637" s="1" t="s">
        <v>26</v>
      </c>
      <c r="AD637">
        <v>9</v>
      </c>
      <c r="AE637" s="3" t="s">
        <v>27</v>
      </c>
    </row>
    <row r="638" spans="1:31" ht="15.75" customHeight="1" x14ac:dyDescent="0.35">
      <c r="A638" s="1" t="s">
        <v>50</v>
      </c>
      <c r="B638" t="s">
        <v>1083</v>
      </c>
      <c r="C638" t="s">
        <v>1084</v>
      </c>
      <c r="D638" s="1" t="s">
        <v>827</v>
      </c>
      <c r="E638" s="5">
        <v>45135</v>
      </c>
      <c r="F638" s="4" t="str">
        <f>IF(ISNUMBER(Table13[[#This Row],[Claim_Date2]]),"",Table13[[#This Row],[Claim_Date2]])</f>
        <v/>
      </c>
      <c r="G638" s="4" t="s">
        <v>1098</v>
      </c>
      <c r="H638" s="4" t="str">
        <f>LEFT(Table13[[#This Row],[Values Col 1]],3)</f>
        <v/>
      </c>
      <c r="I638" s="4" t="s">
        <v>1098</v>
      </c>
      <c r="J638" s="4" t="str">
        <f>MID(Table13[[#This Row],[Function Col]],5,2)</f>
        <v/>
      </c>
      <c r="K638" s="4" t="s">
        <v>1098</v>
      </c>
      <c r="L638" s="4" t="str">
        <f>RIGHT(Table13[[#This Row],[Function Col]],4)</f>
        <v/>
      </c>
      <c r="M638" s="4" t="s">
        <v>1098</v>
      </c>
      <c r="N638" s="4" t="str">
        <f>IF(Table13[[#This Row],[Function Col5]]="","",_xlfn.CONCAT(Table13[[#This Row],[Day Col]],"/",Table13[[#This Row],[Month Col]],"/",Table13[[#This Row],[Year Col]]))</f>
        <v/>
      </c>
      <c r="O638" s="4" t="s">
        <v>1098</v>
      </c>
      <c r="P638" s="4">
        <f>IF(ISNUMBER(Table13[[#This Row],[Claim_Date2]]),Table13[[#This Row],[Claim_Date2]],Table13[[#This Row],[Function Col32]])</f>
        <v>45135</v>
      </c>
      <c r="Q638" s="4">
        <v>45135</v>
      </c>
      <c r="R638" s="1" t="s">
        <v>77</v>
      </c>
      <c r="S638" s="1" t="s">
        <v>31</v>
      </c>
      <c r="T638" s="1" t="s">
        <v>54</v>
      </c>
      <c r="U638" s="1"/>
      <c r="V638" s="1">
        <v>204.23</v>
      </c>
      <c r="W638" s="1">
        <f>IF(Table1[[#This Row],[Claim_Amount]]&lt;0,0,Table1[[#This Row],[Claim_Amount]])</f>
        <v>204.23</v>
      </c>
      <c r="X638" s="1">
        <f>IF(Table1[[#This Row],[Column1]]=0,"",Table1[[#This Row],[Column1]])</f>
        <v>204.23</v>
      </c>
      <c r="Y638" s="1">
        <v>204.23</v>
      </c>
      <c r="Z638" s="1">
        <v>204.23</v>
      </c>
      <c r="AA638" s="1">
        <v>1489.82</v>
      </c>
      <c r="AB638" s="1" t="s">
        <v>1091</v>
      </c>
      <c r="AC638" s="1" t="s">
        <v>26</v>
      </c>
      <c r="AD638">
        <v>9</v>
      </c>
      <c r="AE638" s="3" t="s">
        <v>65</v>
      </c>
    </row>
    <row r="639" spans="1:31" ht="15.75" customHeight="1" x14ac:dyDescent="0.35">
      <c r="A639" s="1" t="s">
        <v>58</v>
      </c>
      <c r="B639" t="s">
        <v>1083</v>
      </c>
      <c r="C639" t="s">
        <v>1084</v>
      </c>
      <c r="D639" s="1" t="s">
        <v>828</v>
      </c>
      <c r="E639" s="5">
        <v>45037</v>
      </c>
      <c r="F639" s="4" t="str">
        <f>IF(ISNUMBER(Table13[[#This Row],[Claim_Date2]]),"",Table13[[#This Row],[Claim_Date2]])</f>
        <v/>
      </c>
      <c r="G639" s="4" t="s">
        <v>1098</v>
      </c>
      <c r="H639" s="4" t="str">
        <f>LEFT(Table13[[#This Row],[Values Col 1]],3)</f>
        <v/>
      </c>
      <c r="I639" s="4" t="s">
        <v>1098</v>
      </c>
      <c r="J639" s="4" t="str">
        <f>MID(Table13[[#This Row],[Function Col]],5,2)</f>
        <v/>
      </c>
      <c r="K639" s="4" t="s">
        <v>1098</v>
      </c>
      <c r="L639" s="4" t="str">
        <f>RIGHT(Table13[[#This Row],[Function Col]],4)</f>
        <v/>
      </c>
      <c r="M639" s="4" t="s">
        <v>1098</v>
      </c>
      <c r="N639" s="4" t="str">
        <f>IF(Table13[[#This Row],[Function Col5]]="","",_xlfn.CONCAT(Table13[[#This Row],[Day Col]],"/",Table13[[#This Row],[Month Col]],"/",Table13[[#This Row],[Year Col]]))</f>
        <v/>
      </c>
      <c r="O639" s="4" t="s">
        <v>1098</v>
      </c>
      <c r="P639" s="4">
        <f>IF(ISNUMBER(Table13[[#This Row],[Claim_Date2]]),Table13[[#This Row],[Claim_Date2]],Table13[[#This Row],[Function Col32]])</f>
        <v>45037</v>
      </c>
      <c r="Q639" s="4">
        <v>45037</v>
      </c>
      <c r="R639" s="1" t="s">
        <v>16</v>
      </c>
      <c r="S639" t="s">
        <v>1085</v>
      </c>
      <c r="T639" s="1" t="s">
        <v>24</v>
      </c>
      <c r="U639" s="1"/>
      <c r="V639" s="1">
        <v>1936.39</v>
      </c>
      <c r="W639" s="1">
        <f>IF(Table1[[#This Row],[Claim_Amount]]&lt;0,0,Table1[[#This Row],[Claim_Amount]])</f>
        <v>1936.39</v>
      </c>
      <c r="X639" s="1">
        <f>IF(Table1[[#This Row],[Column1]]=0,"",Table1[[#This Row],[Column1]])</f>
        <v>1936.39</v>
      </c>
      <c r="Y639" s="1">
        <v>1936.39</v>
      </c>
      <c r="Z639" s="1">
        <v>1936.39</v>
      </c>
      <c r="AA639" s="1">
        <v>4778.1400000000003</v>
      </c>
      <c r="AB639" s="1" t="s">
        <v>1091</v>
      </c>
      <c r="AC639" s="1" t="s">
        <v>57</v>
      </c>
      <c r="AD639">
        <v>9</v>
      </c>
      <c r="AE639" s="3" t="s">
        <v>1097</v>
      </c>
    </row>
    <row r="640" spans="1:31" ht="15.75" customHeight="1" x14ac:dyDescent="0.35">
      <c r="A640" s="1" t="s">
        <v>168</v>
      </c>
      <c r="B640" t="s">
        <v>1083</v>
      </c>
      <c r="C640" s="1" t="s">
        <v>183</v>
      </c>
      <c r="D640" s="1" t="s">
        <v>829</v>
      </c>
      <c r="E640" s="5">
        <v>44953</v>
      </c>
      <c r="F640" s="4" t="str">
        <f>IF(ISNUMBER(Table13[[#This Row],[Claim_Date2]]),"",Table13[[#This Row],[Claim_Date2]])</f>
        <v/>
      </c>
      <c r="G640" s="4" t="s">
        <v>1098</v>
      </c>
      <c r="H640" s="4" t="str">
        <f>LEFT(Table13[[#This Row],[Values Col 1]],3)</f>
        <v/>
      </c>
      <c r="I640" s="4" t="s">
        <v>1098</v>
      </c>
      <c r="J640" s="4" t="str">
        <f>MID(Table13[[#This Row],[Function Col]],5,2)</f>
        <v/>
      </c>
      <c r="K640" s="4" t="s">
        <v>1098</v>
      </c>
      <c r="L640" s="4" t="str">
        <f>RIGHT(Table13[[#This Row],[Function Col]],4)</f>
        <v/>
      </c>
      <c r="M640" s="4" t="s">
        <v>1098</v>
      </c>
      <c r="N640" s="4" t="str">
        <f>IF(Table13[[#This Row],[Function Col5]]="","",_xlfn.CONCAT(Table13[[#This Row],[Day Col]],"/",Table13[[#This Row],[Month Col]],"/",Table13[[#This Row],[Year Col]]))</f>
        <v/>
      </c>
      <c r="O640" s="4" t="s">
        <v>1098</v>
      </c>
      <c r="P640" s="4">
        <f>IF(ISNUMBER(Table13[[#This Row],[Claim_Date2]]),Table13[[#This Row],[Claim_Date2]],Table13[[#This Row],[Function Col32]])</f>
        <v>44953</v>
      </c>
      <c r="Q640" s="4">
        <v>44953</v>
      </c>
      <c r="R640" s="1" t="s">
        <v>16</v>
      </c>
      <c r="S640" s="1" t="s">
        <v>47</v>
      </c>
      <c r="T640" s="1" t="s">
        <v>54</v>
      </c>
      <c r="U640" s="1"/>
      <c r="W640">
        <f>IF(Table1[[#This Row],[Claim_Amount]]&lt;0,0,Table1[[#This Row],[Claim_Amount]])</f>
        <v>0</v>
      </c>
      <c r="X640" t="str">
        <f>IF(Table1[[#This Row],[Column1]]=0,"",Table1[[#This Row],[Column1]])</f>
        <v/>
      </c>
      <c r="Y640" t="s">
        <v>1098</v>
      </c>
      <c r="Z640">
        <v>2481</v>
      </c>
      <c r="AA640">
        <v>832</v>
      </c>
      <c r="AB640" s="1" t="s">
        <v>17</v>
      </c>
      <c r="AC640" s="1" t="s">
        <v>32</v>
      </c>
      <c r="AD640">
        <v>9</v>
      </c>
      <c r="AE640" s="3" t="s">
        <v>65</v>
      </c>
    </row>
    <row r="641" spans="1:31" ht="15.75" customHeight="1" x14ac:dyDescent="0.35">
      <c r="A641" s="1" t="s">
        <v>173</v>
      </c>
      <c r="B641" t="s">
        <v>1083</v>
      </c>
      <c r="C641" s="1" t="s">
        <v>425</v>
      </c>
      <c r="D641" s="1" t="s">
        <v>830</v>
      </c>
      <c r="E641" s="5">
        <v>45154</v>
      </c>
      <c r="F641" s="4" t="str">
        <f>IF(ISNUMBER(Table13[[#This Row],[Claim_Date2]]),"",Table13[[#This Row],[Claim_Date2]])</f>
        <v/>
      </c>
      <c r="G641" s="4" t="s">
        <v>1098</v>
      </c>
      <c r="H641" s="4" t="str">
        <f>LEFT(Table13[[#This Row],[Values Col 1]],3)</f>
        <v/>
      </c>
      <c r="I641" s="4" t="s">
        <v>1098</v>
      </c>
      <c r="J641" s="4" t="str">
        <f>MID(Table13[[#This Row],[Function Col]],5,2)</f>
        <v/>
      </c>
      <c r="K641" s="4" t="s">
        <v>1098</v>
      </c>
      <c r="L641" s="4" t="str">
        <f>RIGHT(Table13[[#This Row],[Function Col]],4)</f>
        <v/>
      </c>
      <c r="M641" s="4" t="s">
        <v>1098</v>
      </c>
      <c r="N641" s="4" t="str">
        <f>IF(Table13[[#This Row],[Function Col5]]="","",_xlfn.CONCAT(Table13[[#This Row],[Day Col]],"/",Table13[[#This Row],[Month Col]],"/",Table13[[#This Row],[Year Col]]))</f>
        <v/>
      </c>
      <c r="O641" s="4" t="s">
        <v>1098</v>
      </c>
      <c r="P641" s="4">
        <f>IF(ISNUMBER(Table13[[#This Row],[Claim_Date2]]),Table13[[#This Row],[Claim_Date2]],Table13[[#This Row],[Function Col32]])</f>
        <v>45154</v>
      </c>
      <c r="Q641" s="4">
        <v>45154</v>
      </c>
      <c r="R641" s="1" t="s">
        <v>92</v>
      </c>
      <c r="S641" s="1" t="s">
        <v>47</v>
      </c>
      <c r="T641" s="1" t="s">
        <v>54</v>
      </c>
      <c r="U641" s="1"/>
      <c r="V641" s="1">
        <v>-102</v>
      </c>
      <c r="W641" s="1">
        <f>IF(Table1[[#This Row],[Claim_Amount]]&lt;0,0,Table1[[#This Row],[Claim_Amount]])</f>
        <v>0</v>
      </c>
      <c r="X641" s="1" t="str">
        <f>IF(Table1[[#This Row],[Column1]]=0,"",Table1[[#This Row],[Column1]])</f>
        <v/>
      </c>
      <c r="Y641" s="1" t="s">
        <v>1098</v>
      </c>
      <c r="Z641" s="1">
        <v>2481</v>
      </c>
      <c r="AA641">
        <v>832</v>
      </c>
      <c r="AB641" s="1" t="s">
        <v>25</v>
      </c>
      <c r="AC641" s="1" t="s">
        <v>18</v>
      </c>
      <c r="AD641" s="1">
        <v>36</v>
      </c>
      <c r="AE641" s="3" t="s">
        <v>1097</v>
      </c>
    </row>
    <row r="642" spans="1:31" ht="15.75" customHeight="1" x14ac:dyDescent="0.35">
      <c r="A642" s="1" t="s">
        <v>170</v>
      </c>
      <c r="B642" t="s">
        <v>1083</v>
      </c>
      <c r="C642" s="1" t="s">
        <v>243</v>
      </c>
      <c r="D642" s="1" t="s">
        <v>831</v>
      </c>
      <c r="E642" s="5">
        <v>45060</v>
      </c>
      <c r="F642" s="4" t="str">
        <f>IF(ISNUMBER(Table13[[#This Row],[Claim_Date2]]),"",Table13[[#This Row],[Claim_Date2]])</f>
        <v/>
      </c>
      <c r="G642" s="4" t="s">
        <v>1098</v>
      </c>
      <c r="H642" s="4" t="str">
        <f>LEFT(Table13[[#This Row],[Values Col 1]],3)</f>
        <v/>
      </c>
      <c r="I642" s="4" t="s">
        <v>1098</v>
      </c>
      <c r="J642" s="4" t="str">
        <f>MID(Table13[[#This Row],[Function Col]],5,2)</f>
        <v/>
      </c>
      <c r="K642" s="4" t="s">
        <v>1098</v>
      </c>
      <c r="L642" s="4" t="str">
        <f>RIGHT(Table13[[#This Row],[Function Col]],4)</f>
        <v/>
      </c>
      <c r="M642" s="4" t="s">
        <v>1098</v>
      </c>
      <c r="N642" s="4" t="str">
        <f>IF(Table13[[#This Row],[Function Col5]]="","",_xlfn.CONCAT(Table13[[#This Row],[Day Col]],"/",Table13[[#This Row],[Month Col]],"/",Table13[[#This Row],[Year Col]]))</f>
        <v/>
      </c>
      <c r="O642" s="4" t="s">
        <v>1098</v>
      </c>
      <c r="P642" s="4">
        <f>IF(ISNUMBER(Table13[[#This Row],[Claim_Date2]]),Table13[[#This Row],[Claim_Date2]],Table13[[#This Row],[Function Col32]])</f>
        <v>45060</v>
      </c>
      <c r="Q642" s="4">
        <v>45060</v>
      </c>
      <c r="R642" s="1" t="s">
        <v>92</v>
      </c>
      <c r="S642" s="1" t="s">
        <v>23</v>
      </c>
      <c r="T642" s="1" t="s">
        <v>61</v>
      </c>
      <c r="U642" s="1"/>
      <c r="W642">
        <f>IF(Table1[[#This Row],[Claim_Amount]]&lt;0,0,Table1[[#This Row],[Claim_Amount]])</f>
        <v>0</v>
      </c>
      <c r="X642" t="str">
        <f>IF(Table1[[#This Row],[Column1]]=0,"",Table1[[#This Row],[Column1]])</f>
        <v/>
      </c>
      <c r="Y642" t="s">
        <v>1098</v>
      </c>
      <c r="Z642">
        <v>2481</v>
      </c>
      <c r="AA642">
        <v>832</v>
      </c>
      <c r="AB642" s="1" t="s">
        <v>17</v>
      </c>
      <c r="AC642" s="1" t="s">
        <v>18</v>
      </c>
      <c r="AD642">
        <v>9</v>
      </c>
      <c r="AE642" s="3" t="s">
        <v>19</v>
      </c>
    </row>
    <row r="643" spans="1:31" ht="15.75" customHeight="1" x14ac:dyDescent="0.35">
      <c r="A643" s="1" t="s">
        <v>132</v>
      </c>
      <c r="B643" t="s">
        <v>1083</v>
      </c>
      <c r="C643" t="s">
        <v>1084</v>
      </c>
      <c r="D643" s="1" t="s">
        <v>832</v>
      </c>
      <c r="E643" s="5">
        <v>44991</v>
      </c>
      <c r="F643" s="4" t="str">
        <f>IF(ISNUMBER(Table13[[#This Row],[Claim_Date2]]),"",Table13[[#This Row],[Claim_Date2]])</f>
        <v/>
      </c>
      <c r="G643" s="4" t="s">
        <v>1098</v>
      </c>
      <c r="H643" s="4" t="str">
        <f>LEFT(Table13[[#This Row],[Values Col 1]],3)</f>
        <v/>
      </c>
      <c r="I643" s="4" t="s">
        <v>1098</v>
      </c>
      <c r="J643" s="4" t="str">
        <f>MID(Table13[[#This Row],[Function Col]],5,2)</f>
        <v/>
      </c>
      <c r="K643" s="4" t="s">
        <v>1098</v>
      </c>
      <c r="L643" s="4" t="str">
        <f>RIGHT(Table13[[#This Row],[Function Col]],4)</f>
        <v/>
      </c>
      <c r="M643" s="4" t="s">
        <v>1098</v>
      </c>
      <c r="N643" s="4" t="str">
        <f>IF(Table13[[#This Row],[Function Col5]]="","",_xlfn.CONCAT(Table13[[#This Row],[Day Col]],"/",Table13[[#This Row],[Month Col]],"/",Table13[[#This Row],[Year Col]]))</f>
        <v/>
      </c>
      <c r="O643" s="4" t="s">
        <v>1098</v>
      </c>
      <c r="P643" s="4">
        <f>IF(ISNUMBER(Table13[[#This Row],[Claim_Date2]]),Table13[[#This Row],[Claim_Date2]],Table13[[#This Row],[Function Col32]])</f>
        <v>44991</v>
      </c>
      <c r="Q643" s="4">
        <v>44991</v>
      </c>
      <c r="R643" s="1" t="s">
        <v>16</v>
      </c>
      <c r="S643" t="s">
        <v>1085</v>
      </c>
      <c r="T643" s="1" t="s">
        <v>24</v>
      </c>
      <c r="U643" s="1"/>
      <c r="V643" s="1">
        <v>-43</v>
      </c>
      <c r="W643" s="1">
        <f>IF(Table1[[#This Row],[Claim_Amount]]&lt;0,0,Table1[[#This Row],[Claim_Amount]])</f>
        <v>0</v>
      </c>
      <c r="X643" s="1" t="str">
        <f>IF(Table1[[#This Row],[Column1]]=0,"",Table1[[#This Row],[Column1]])</f>
        <v/>
      </c>
      <c r="Y643" s="1" t="s">
        <v>1098</v>
      </c>
      <c r="Z643" s="1">
        <v>2481</v>
      </c>
      <c r="AA643">
        <v>832</v>
      </c>
      <c r="AB643" s="1" t="s">
        <v>17</v>
      </c>
      <c r="AC643" s="1" t="s">
        <v>1093</v>
      </c>
      <c r="AD643">
        <v>9</v>
      </c>
      <c r="AE643" s="3" t="s">
        <v>65</v>
      </c>
    </row>
    <row r="644" spans="1:31" ht="15.75" customHeight="1" x14ac:dyDescent="0.35">
      <c r="A644" s="1" t="s">
        <v>137</v>
      </c>
      <c r="B644" s="1" t="s">
        <v>237</v>
      </c>
      <c r="C644" t="s">
        <v>1084</v>
      </c>
      <c r="D644" s="1" t="s">
        <v>833</v>
      </c>
      <c r="E644" s="5">
        <v>45229</v>
      </c>
      <c r="F644" s="4" t="str">
        <f>IF(ISNUMBER(Table13[[#This Row],[Claim_Date2]]),"",Table13[[#This Row],[Claim_Date2]])</f>
        <v/>
      </c>
      <c r="G644" s="4" t="s">
        <v>1098</v>
      </c>
      <c r="H644" s="4" t="str">
        <f>LEFT(Table13[[#This Row],[Values Col 1]],3)</f>
        <v/>
      </c>
      <c r="I644" s="4" t="s">
        <v>1098</v>
      </c>
      <c r="J644" s="4" t="str">
        <f>MID(Table13[[#This Row],[Function Col]],5,2)</f>
        <v/>
      </c>
      <c r="K644" s="4" t="s">
        <v>1098</v>
      </c>
      <c r="L644" s="4" t="str">
        <f>RIGHT(Table13[[#This Row],[Function Col]],4)</f>
        <v/>
      </c>
      <c r="M644" s="4" t="s">
        <v>1098</v>
      </c>
      <c r="N644" s="4" t="str">
        <f>IF(Table13[[#This Row],[Function Col5]]="","",_xlfn.CONCAT(Table13[[#This Row],[Day Col]],"/",Table13[[#This Row],[Month Col]],"/",Table13[[#This Row],[Year Col]]))</f>
        <v/>
      </c>
      <c r="O644" s="4" t="s">
        <v>1098</v>
      </c>
      <c r="P644" s="4">
        <f>IF(ISNUMBER(Table13[[#This Row],[Claim_Date2]]),Table13[[#This Row],[Claim_Date2]],Table13[[#This Row],[Function Col32]])</f>
        <v>45229</v>
      </c>
      <c r="Q644" s="4">
        <v>45229</v>
      </c>
      <c r="R644" s="1" t="s">
        <v>16</v>
      </c>
      <c r="S644" s="1" t="s">
        <v>23</v>
      </c>
      <c r="T644" s="1" t="s">
        <v>61</v>
      </c>
      <c r="U644" s="1"/>
      <c r="V644" s="1">
        <v>-100</v>
      </c>
      <c r="W644" s="1">
        <f>IF(Table1[[#This Row],[Claim_Amount]]&lt;0,0,Table1[[#This Row],[Claim_Amount]])</f>
        <v>0</v>
      </c>
      <c r="X644" s="1" t="str">
        <f>IF(Table1[[#This Row],[Column1]]=0,"",Table1[[#This Row],[Column1]])</f>
        <v/>
      </c>
      <c r="Y644" s="1" t="s">
        <v>1098</v>
      </c>
      <c r="Z644" s="1">
        <v>2481</v>
      </c>
      <c r="AA644">
        <v>832</v>
      </c>
      <c r="AB644" s="1" t="s">
        <v>25</v>
      </c>
      <c r="AC644" s="1" t="s">
        <v>1093</v>
      </c>
      <c r="AD644">
        <v>9</v>
      </c>
      <c r="AE644" s="3" t="s">
        <v>65</v>
      </c>
    </row>
    <row r="645" spans="1:31" ht="15.75" customHeight="1" x14ac:dyDescent="0.35">
      <c r="A645" s="1" t="s">
        <v>168</v>
      </c>
      <c r="B645" t="s">
        <v>1083</v>
      </c>
      <c r="C645" s="1" t="s">
        <v>224</v>
      </c>
      <c r="D645" s="1" t="s">
        <v>834</v>
      </c>
      <c r="E645" s="5" t="s">
        <v>834</v>
      </c>
      <c r="F645" s="4" t="str">
        <f>IF(ISNUMBER(Table13[[#This Row],[Claim_Date2]]),"",Table13[[#This Row],[Claim_Date2]])</f>
        <v>Oct 31 2023</v>
      </c>
      <c r="G645" s="4" t="s">
        <v>834</v>
      </c>
      <c r="H645" s="4" t="str">
        <f>LEFT(Table13[[#This Row],[Values Col 1]],3)</f>
        <v>Oct</v>
      </c>
      <c r="I645" s="4" t="s">
        <v>1103</v>
      </c>
      <c r="J645" s="4" t="str">
        <f>MID(Table13[[#This Row],[Function Col]],5,2)</f>
        <v>31</v>
      </c>
      <c r="K645" s="4" t="s">
        <v>1133</v>
      </c>
      <c r="L645" s="4" t="str">
        <f>RIGHT(Table13[[#This Row],[Function Col]],4)</f>
        <v>2023</v>
      </c>
      <c r="M645" s="4" t="s">
        <v>1146</v>
      </c>
      <c r="N645" s="4" t="str">
        <f>IF(Table13[[#This Row],[Function Col5]]="","",_xlfn.CONCAT(Table13[[#This Row],[Day Col]],"/",Table13[[#This Row],[Month Col]],"/",Table13[[#This Row],[Year Col]]))</f>
        <v>31/Oct/2023</v>
      </c>
      <c r="O645" s="4" t="s">
        <v>1307</v>
      </c>
      <c r="P645" s="4" t="str">
        <f>IF(ISNUMBER(Table13[[#This Row],[Claim_Date2]]),Table13[[#This Row],[Claim_Date2]],Table13[[#This Row],[Function Col32]])</f>
        <v>31/Oct/2023</v>
      </c>
      <c r="Q645" s="4">
        <v>45230</v>
      </c>
      <c r="R645" s="1" t="s">
        <v>92</v>
      </c>
      <c r="S645" t="s">
        <v>1085</v>
      </c>
      <c r="T645" t="s">
        <v>1086</v>
      </c>
      <c r="V645" s="1">
        <v>-92</v>
      </c>
      <c r="W645" s="1">
        <f>IF(Table1[[#This Row],[Claim_Amount]]&lt;0,0,Table1[[#This Row],[Claim_Amount]])</f>
        <v>0</v>
      </c>
      <c r="X645" s="1" t="str">
        <f>IF(Table1[[#This Row],[Column1]]=0,"",Table1[[#This Row],[Column1]])</f>
        <v/>
      </c>
      <c r="Y645" s="1" t="s">
        <v>1098</v>
      </c>
      <c r="Z645" s="1">
        <v>2481</v>
      </c>
      <c r="AA645">
        <v>832</v>
      </c>
      <c r="AB645" s="1" t="s">
        <v>1091</v>
      </c>
      <c r="AC645" s="1" t="s">
        <v>32</v>
      </c>
      <c r="AD645" s="1">
        <v>60</v>
      </c>
      <c r="AE645" s="3" t="s">
        <v>65</v>
      </c>
    </row>
    <row r="646" spans="1:31" ht="15.75" customHeight="1" x14ac:dyDescent="0.35">
      <c r="A646" s="1" t="s">
        <v>192</v>
      </c>
      <c r="B646" t="s">
        <v>1083</v>
      </c>
      <c r="C646" t="s">
        <v>1084</v>
      </c>
      <c r="D646" s="1" t="s">
        <v>835</v>
      </c>
      <c r="E646" s="5">
        <v>45092</v>
      </c>
      <c r="F646" s="4" t="str">
        <f>IF(ISNUMBER(Table13[[#This Row],[Claim_Date2]]),"",Table13[[#This Row],[Claim_Date2]])</f>
        <v/>
      </c>
      <c r="G646" s="4" t="s">
        <v>1098</v>
      </c>
      <c r="H646" s="4" t="str">
        <f>LEFT(Table13[[#This Row],[Values Col 1]],3)</f>
        <v/>
      </c>
      <c r="I646" s="4" t="s">
        <v>1098</v>
      </c>
      <c r="J646" s="4" t="str">
        <f>MID(Table13[[#This Row],[Function Col]],5,2)</f>
        <v/>
      </c>
      <c r="K646" s="4" t="s">
        <v>1098</v>
      </c>
      <c r="L646" s="4" t="str">
        <f>RIGHT(Table13[[#This Row],[Function Col]],4)</f>
        <v/>
      </c>
      <c r="M646" s="4" t="s">
        <v>1098</v>
      </c>
      <c r="N646" s="4" t="str">
        <f>IF(Table13[[#This Row],[Function Col5]]="","",_xlfn.CONCAT(Table13[[#This Row],[Day Col]],"/",Table13[[#This Row],[Month Col]],"/",Table13[[#This Row],[Year Col]]))</f>
        <v/>
      </c>
      <c r="O646" s="4" t="s">
        <v>1098</v>
      </c>
      <c r="P646" s="4">
        <f>IF(ISNUMBER(Table13[[#This Row],[Claim_Date2]]),Table13[[#This Row],[Claim_Date2]],Table13[[#This Row],[Function Col32]])</f>
        <v>45092</v>
      </c>
      <c r="Q646" s="4">
        <v>45092</v>
      </c>
      <c r="R646" s="1" t="s">
        <v>85</v>
      </c>
      <c r="S646" s="1" t="s">
        <v>93</v>
      </c>
      <c r="T646" s="1" t="s">
        <v>24</v>
      </c>
      <c r="U646" s="1"/>
      <c r="W646">
        <f>IF(Table1[[#This Row],[Claim_Amount]]&lt;0,0,Table1[[#This Row],[Claim_Amount]])</f>
        <v>0</v>
      </c>
      <c r="X646" t="str">
        <f>IF(Table1[[#This Row],[Column1]]=0,"",Table1[[#This Row],[Column1]])</f>
        <v/>
      </c>
      <c r="Y646" t="s">
        <v>1098</v>
      </c>
      <c r="Z646">
        <v>2481</v>
      </c>
      <c r="AA646">
        <v>832</v>
      </c>
      <c r="AB646" s="1" t="s">
        <v>1091</v>
      </c>
      <c r="AC646" s="1" t="s">
        <v>57</v>
      </c>
      <c r="AD646" s="1">
        <v>20</v>
      </c>
      <c r="AE646" s="3" t="s">
        <v>27</v>
      </c>
    </row>
    <row r="647" spans="1:31" ht="15.75" customHeight="1" x14ac:dyDescent="0.35">
      <c r="A647" s="1" t="s">
        <v>261</v>
      </c>
      <c r="B647" s="1" t="s">
        <v>836</v>
      </c>
      <c r="C647" t="s">
        <v>1084</v>
      </c>
      <c r="D647" s="1" t="s">
        <v>837</v>
      </c>
      <c r="E647" s="5">
        <v>45176</v>
      </c>
      <c r="F647" s="4" t="str">
        <f>IF(ISNUMBER(Table13[[#This Row],[Claim_Date2]]),"",Table13[[#This Row],[Claim_Date2]])</f>
        <v/>
      </c>
      <c r="G647" s="4" t="s">
        <v>1098</v>
      </c>
      <c r="H647" s="4" t="str">
        <f>LEFT(Table13[[#This Row],[Values Col 1]],3)</f>
        <v/>
      </c>
      <c r="I647" s="4" t="s">
        <v>1098</v>
      </c>
      <c r="J647" s="4" t="str">
        <f>MID(Table13[[#This Row],[Function Col]],5,2)</f>
        <v/>
      </c>
      <c r="K647" s="4" t="s">
        <v>1098</v>
      </c>
      <c r="L647" s="4" t="str">
        <f>RIGHT(Table13[[#This Row],[Function Col]],4)</f>
        <v/>
      </c>
      <c r="M647" s="4" t="s">
        <v>1098</v>
      </c>
      <c r="N647" s="4" t="str">
        <f>IF(Table13[[#This Row],[Function Col5]]="","",_xlfn.CONCAT(Table13[[#This Row],[Day Col]],"/",Table13[[#This Row],[Month Col]],"/",Table13[[#This Row],[Year Col]]))</f>
        <v/>
      </c>
      <c r="O647" s="4" t="s">
        <v>1098</v>
      </c>
      <c r="P647" s="4">
        <f>IF(ISNUMBER(Table13[[#This Row],[Claim_Date2]]),Table13[[#This Row],[Claim_Date2]],Table13[[#This Row],[Function Col32]])</f>
        <v>45176</v>
      </c>
      <c r="Q647" s="4">
        <v>45176</v>
      </c>
      <c r="R647" s="1" t="s">
        <v>92</v>
      </c>
      <c r="S647" s="1" t="s">
        <v>31</v>
      </c>
      <c r="T647" s="1" t="s">
        <v>54</v>
      </c>
      <c r="U647" s="1"/>
      <c r="W647">
        <f>IF(Table1[[#This Row],[Claim_Amount]]&lt;0,0,Table1[[#This Row],[Claim_Amount]])</f>
        <v>0</v>
      </c>
      <c r="X647" t="str">
        <f>IF(Table1[[#This Row],[Column1]]=0,"",Table1[[#This Row],[Column1]])</f>
        <v/>
      </c>
      <c r="Y647" t="s">
        <v>1098</v>
      </c>
      <c r="Z647">
        <v>2481</v>
      </c>
      <c r="AA647" s="1">
        <v>747.97</v>
      </c>
      <c r="AB647" s="1" t="s">
        <v>1091</v>
      </c>
      <c r="AC647" s="1" t="s">
        <v>57</v>
      </c>
      <c r="AD647" s="1">
        <v>48</v>
      </c>
      <c r="AE647" s="3" t="s">
        <v>19</v>
      </c>
    </row>
    <row r="648" spans="1:31" ht="15.75" customHeight="1" x14ac:dyDescent="0.35">
      <c r="A648" s="1" t="s">
        <v>154</v>
      </c>
      <c r="B648" t="s">
        <v>1083</v>
      </c>
      <c r="C648" s="1" t="s">
        <v>358</v>
      </c>
      <c r="D648" s="1" t="s">
        <v>838</v>
      </c>
      <c r="E648" s="5">
        <v>45177</v>
      </c>
      <c r="F648" s="4" t="str">
        <f>IF(ISNUMBER(Table13[[#This Row],[Claim_Date2]]),"",Table13[[#This Row],[Claim_Date2]])</f>
        <v/>
      </c>
      <c r="G648" s="4" t="s">
        <v>1098</v>
      </c>
      <c r="H648" s="4" t="str">
        <f>LEFT(Table13[[#This Row],[Values Col 1]],3)</f>
        <v/>
      </c>
      <c r="I648" s="4" t="s">
        <v>1098</v>
      </c>
      <c r="J648" s="4" t="str">
        <f>MID(Table13[[#This Row],[Function Col]],5,2)</f>
        <v/>
      </c>
      <c r="K648" s="4" t="s">
        <v>1098</v>
      </c>
      <c r="L648" s="4" t="str">
        <f>RIGHT(Table13[[#This Row],[Function Col]],4)</f>
        <v/>
      </c>
      <c r="M648" s="4" t="s">
        <v>1098</v>
      </c>
      <c r="N648" s="4" t="str">
        <f>IF(Table13[[#This Row],[Function Col5]]="","",_xlfn.CONCAT(Table13[[#This Row],[Day Col]],"/",Table13[[#This Row],[Month Col]],"/",Table13[[#This Row],[Year Col]]))</f>
        <v/>
      </c>
      <c r="O648" s="4" t="s">
        <v>1098</v>
      </c>
      <c r="P648" s="4">
        <f>IF(ISNUMBER(Table13[[#This Row],[Claim_Date2]]),Table13[[#This Row],[Claim_Date2]],Table13[[#This Row],[Function Col32]])</f>
        <v>45177</v>
      </c>
      <c r="Q648" s="4">
        <v>45177</v>
      </c>
      <c r="R648" s="1" t="s">
        <v>85</v>
      </c>
      <c r="S648" s="1" t="s">
        <v>31</v>
      </c>
      <c r="T648" s="1" t="s">
        <v>54</v>
      </c>
      <c r="U648" s="1"/>
      <c r="W648">
        <f>IF(Table1[[#This Row],[Claim_Amount]]&lt;0,0,Table1[[#This Row],[Claim_Amount]])</f>
        <v>0</v>
      </c>
      <c r="X648" t="str">
        <f>IF(Table1[[#This Row],[Column1]]=0,"",Table1[[#This Row],[Column1]])</f>
        <v/>
      </c>
      <c r="Y648" t="s">
        <v>1098</v>
      </c>
      <c r="Z648">
        <v>2481</v>
      </c>
      <c r="AA648">
        <v>832</v>
      </c>
      <c r="AB648" s="1" t="s">
        <v>25</v>
      </c>
      <c r="AC648" s="1" t="s">
        <v>26</v>
      </c>
      <c r="AD648">
        <v>9</v>
      </c>
      <c r="AE648" s="3" t="s">
        <v>37</v>
      </c>
    </row>
    <row r="649" spans="1:31" ht="15.75" customHeight="1" x14ac:dyDescent="0.35">
      <c r="A649" s="1" t="s">
        <v>247</v>
      </c>
      <c r="B649" s="1" t="s">
        <v>839</v>
      </c>
      <c r="C649" s="1" t="s">
        <v>97</v>
      </c>
      <c r="D649" s="1" t="s">
        <v>407</v>
      </c>
      <c r="E649" s="5" t="s">
        <v>407</v>
      </c>
      <c r="F649" s="4" t="str">
        <f>IF(ISNUMBER(Table13[[#This Row],[Claim_Date2]]),"",Table13[[#This Row],[Claim_Date2]])</f>
        <v>Apr 24 2023</v>
      </c>
      <c r="G649" s="4" t="s">
        <v>407</v>
      </c>
      <c r="H649" s="4" t="str">
        <f>LEFT(Table13[[#This Row],[Values Col 1]],3)</f>
        <v>Apr</v>
      </c>
      <c r="I649" s="4" t="s">
        <v>1104</v>
      </c>
      <c r="J649" s="4" t="str">
        <f>MID(Table13[[#This Row],[Function Col]],5,2)</f>
        <v>24</v>
      </c>
      <c r="K649" s="4" t="s">
        <v>1115</v>
      </c>
      <c r="L649" s="4" t="str">
        <f>RIGHT(Table13[[#This Row],[Function Col]],4)</f>
        <v>2023</v>
      </c>
      <c r="M649" s="4" t="s">
        <v>1146</v>
      </c>
      <c r="N649" s="4" t="str">
        <f>IF(Table13[[#This Row],[Function Col5]]="","",_xlfn.CONCAT(Table13[[#This Row],[Day Col]],"/",Table13[[#This Row],[Month Col]],"/",Table13[[#This Row],[Year Col]]))</f>
        <v>24/Apr/2023</v>
      </c>
      <c r="O649" s="4" t="s">
        <v>1214</v>
      </c>
      <c r="P649" s="4" t="str">
        <f>IF(ISNUMBER(Table13[[#This Row],[Claim_Date2]]),Table13[[#This Row],[Claim_Date2]],Table13[[#This Row],[Function Col32]])</f>
        <v>24/Apr/2023</v>
      </c>
      <c r="Q649" s="4">
        <v>45040</v>
      </c>
      <c r="R649" s="1" t="s">
        <v>16</v>
      </c>
      <c r="S649" s="1" t="s">
        <v>31</v>
      </c>
      <c r="T649" s="1" t="s">
        <v>24</v>
      </c>
      <c r="U649" s="1"/>
      <c r="V649" s="1">
        <v>-80</v>
      </c>
      <c r="W649" s="1">
        <f>IF(Table1[[#This Row],[Claim_Amount]]&lt;0,0,Table1[[#This Row],[Claim_Amount]])</f>
        <v>0</v>
      </c>
      <c r="X649" s="1" t="str">
        <f>IF(Table1[[#This Row],[Column1]]=0,"",Table1[[#This Row],[Column1]])</f>
        <v/>
      </c>
      <c r="Y649" s="1" t="s">
        <v>1098</v>
      </c>
      <c r="Z649" s="1">
        <v>2481</v>
      </c>
      <c r="AA649">
        <v>832</v>
      </c>
      <c r="AB649" s="1" t="s">
        <v>25</v>
      </c>
      <c r="AC649" s="1" t="s">
        <v>32</v>
      </c>
      <c r="AD649" s="1">
        <v>57</v>
      </c>
      <c r="AE649" s="3" t="s">
        <v>37</v>
      </c>
    </row>
    <row r="650" spans="1:31" ht="15.75" customHeight="1" x14ac:dyDescent="0.35">
      <c r="A650" s="1" t="s">
        <v>108</v>
      </c>
      <c r="B650" t="s">
        <v>1083</v>
      </c>
      <c r="C650" s="1" t="s">
        <v>258</v>
      </c>
      <c r="D650" s="1" t="s">
        <v>840</v>
      </c>
      <c r="E650" s="5">
        <v>45212</v>
      </c>
      <c r="F650" s="4" t="str">
        <f>IF(ISNUMBER(Table13[[#This Row],[Claim_Date2]]),"",Table13[[#This Row],[Claim_Date2]])</f>
        <v/>
      </c>
      <c r="G650" s="4" t="s">
        <v>1098</v>
      </c>
      <c r="H650" s="4" t="str">
        <f>LEFT(Table13[[#This Row],[Values Col 1]],3)</f>
        <v/>
      </c>
      <c r="I650" s="4" t="s">
        <v>1098</v>
      </c>
      <c r="J650" s="4" t="str">
        <f>MID(Table13[[#This Row],[Function Col]],5,2)</f>
        <v/>
      </c>
      <c r="K650" s="4" t="s">
        <v>1098</v>
      </c>
      <c r="L650" s="4" t="str">
        <f>RIGHT(Table13[[#This Row],[Function Col]],4)</f>
        <v/>
      </c>
      <c r="M650" s="4" t="s">
        <v>1098</v>
      </c>
      <c r="N650" s="4" t="str">
        <f>IF(Table13[[#This Row],[Function Col5]]="","",_xlfn.CONCAT(Table13[[#This Row],[Day Col]],"/",Table13[[#This Row],[Month Col]],"/",Table13[[#This Row],[Year Col]]))</f>
        <v/>
      </c>
      <c r="O650" s="4" t="s">
        <v>1098</v>
      </c>
      <c r="P650" s="4">
        <f>IF(ISNUMBER(Table13[[#This Row],[Claim_Date2]]),Table13[[#This Row],[Claim_Date2]],Table13[[#This Row],[Function Col32]])</f>
        <v>45212</v>
      </c>
      <c r="Q650" s="4">
        <v>45212</v>
      </c>
      <c r="R650" s="1" t="s">
        <v>16</v>
      </c>
      <c r="S650" t="s">
        <v>1085</v>
      </c>
      <c r="T650" s="1" t="s">
        <v>61</v>
      </c>
      <c r="U650" s="1"/>
      <c r="V650" s="1">
        <v>-160</v>
      </c>
      <c r="W650" s="1">
        <f>IF(Table1[[#This Row],[Claim_Amount]]&lt;0,0,Table1[[#This Row],[Claim_Amount]])</f>
        <v>0</v>
      </c>
      <c r="X650" s="1" t="str">
        <f>IF(Table1[[#This Row],[Column1]]=0,"",Table1[[#This Row],[Column1]])</f>
        <v/>
      </c>
      <c r="Y650" s="1" t="s">
        <v>1098</v>
      </c>
      <c r="Z650" s="1">
        <v>2481</v>
      </c>
      <c r="AA650" s="1">
        <v>4366.97</v>
      </c>
      <c r="AB650" s="1" t="s">
        <v>17</v>
      </c>
      <c r="AC650" s="1" t="s">
        <v>32</v>
      </c>
      <c r="AD650" s="1">
        <v>30</v>
      </c>
      <c r="AE650" s="3" t="s">
        <v>37</v>
      </c>
    </row>
    <row r="651" spans="1:31" ht="15.75" customHeight="1" x14ac:dyDescent="0.35">
      <c r="A651" s="1" t="s">
        <v>102</v>
      </c>
      <c r="B651" t="s">
        <v>1083</v>
      </c>
      <c r="C651" s="1" t="s">
        <v>112</v>
      </c>
      <c r="D651" s="1" t="s">
        <v>559</v>
      </c>
      <c r="E651" s="5" t="s">
        <v>559</v>
      </c>
      <c r="F651" s="4" t="str">
        <f>IF(ISNUMBER(Table13[[#This Row],[Claim_Date2]]),"",Table13[[#This Row],[Claim_Date2]])</f>
        <v>Feb 15 2023</v>
      </c>
      <c r="G651" s="4" t="s">
        <v>559</v>
      </c>
      <c r="H651" s="4" t="str">
        <f>LEFT(Table13[[#This Row],[Values Col 1]],3)</f>
        <v>Feb</v>
      </c>
      <c r="I651" s="4" t="s">
        <v>1109</v>
      </c>
      <c r="J651" s="4" t="str">
        <f>MID(Table13[[#This Row],[Function Col]],5,2)</f>
        <v>15</v>
      </c>
      <c r="K651" s="4" t="s">
        <v>1116</v>
      </c>
      <c r="L651" s="4" t="str">
        <f>RIGHT(Table13[[#This Row],[Function Col]],4)</f>
        <v>2023</v>
      </c>
      <c r="M651" s="4" t="s">
        <v>1146</v>
      </c>
      <c r="N651" s="4" t="str">
        <f>IF(Table13[[#This Row],[Function Col5]]="","",_xlfn.CONCAT(Table13[[#This Row],[Day Col]],"/",Table13[[#This Row],[Month Col]],"/",Table13[[#This Row],[Year Col]]))</f>
        <v>15/Feb/2023</v>
      </c>
      <c r="O651" s="4" t="s">
        <v>1245</v>
      </c>
      <c r="P651" s="4" t="str">
        <f>IF(ISNUMBER(Table13[[#This Row],[Claim_Date2]]),Table13[[#This Row],[Claim_Date2]],Table13[[#This Row],[Function Col32]])</f>
        <v>15/Feb/2023</v>
      </c>
      <c r="Q651" s="4">
        <v>44972</v>
      </c>
      <c r="R651" s="1" t="s">
        <v>85</v>
      </c>
      <c r="S651" t="s">
        <v>1085</v>
      </c>
      <c r="T651" t="s">
        <v>1086</v>
      </c>
      <c r="V651" s="1">
        <v>1110.24</v>
      </c>
      <c r="W651" s="1">
        <f>IF(Table1[[#This Row],[Claim_Amount]]&lt;0,0,Table1[[#This Row],[Claim_Amount]])</f>
        <v>1110.24</v>
      </c>
      <c r="X651" s="1">
        <f>IF(Table1[[#This Row],[Column1]]=0,"",Table1[[#This Row],[Column1]])</f>
        <v>1110.24</v>
      </c>
      <c r="Y651" s="1">
        <v>1110.24</v>
      </c>
      <c r="Z651" s="1">
        <v>1110.24</v>
      </c>
      <c r="AA651">
        <v>832</v>
      </c>
      <c r="AB651" s="1" t="s">
        <v>17</v>
      </c>
      <c r="AC651" s="1" t="s">
        <v>18</v>
      </c>
      <c r="AD651">
        <v>9</v>
      </c>
      <c r="AE651" s="3" t="s">
        <v>27</v>
      </c>
    </row>
    <row r="652" spans="1:31" ht="15.75" customHeight="1" x14ac:dyDescent="0.35">
      <c r="A652" s="1" t="s">
        <v>110</v>
      </c>
      <c r="B652" t="s">
        <v>1083</v>
      </c>
      <c r="C652" s="1" t="s">
        <v>221</v>
      </c>
      <c r="D652" s="1" t="s">
        <v>563</v>
      </c>
      <c r="E652" s="5" t="s">
        <v>563</v>
      </c>
      <c r="F652" s="4" t="str">
        <f>IF(ISNUMBER(Table13[[#This Row],[Claim_Date2]]),"",Table13[[#This Row],[Claim_Date2]])</f>
        <v>Sep 05 2023</v>
      </c>
      <c r="G652" s="4" t="s">
        <v>563</v>
      </c>
      <c r="H652" s="4" t="str">
        <f>LEFT(Table13[[#This Row],[Values Col 1]],3)</f>
        <v>Sep</v>
      </c>
      <c r="I652" s="4" t="s">
        <v>1102</v>
      </c>
      <c r="J652" s="4" t="str">
        <f>MID(Table13[[#This Row],[Function Col]],5,2)</f>
        <v>05</v>
      </c>
      <c r="K652" s="4" t="s">
        <v>1144</v>
      </c>
      <c r="L652" s="4" t="str">
        <f>RIGHT(Table13[[#This Row],[Function Col]],4)</f>
        <v>2023</v>
      </c>
      <c r="M652" s="4" t="s">
        <v>1146</v>
      </c>
      <c r="N652" s="4" t="str">
        <f>IF(Table13[[#This Row],[Function Col5]]="","",_xlfn.CONCAT(Table13[[#This Row],[Day Col]],"/",Table13[[#This Row],[Month Col]],"/",Table13[[#This Row],[Year Col]]))</f>
        <v>05/Sep/2023</v>
      </c>
      <c r="O652" s="4" t="s">
        <v>1248</v>
      </c>
      <c r="P652" s="4" t="str">
        <f>IF(ISNUMBER(Table13[[#This Row],[Claim_Date2]]),Table13[[#This Row],[Claim_Date2]],Table13[[#This Row],[Function Col32]])</f>
        <v>05/Sep/2023</v>
      </c>
      <c r="Q652" s="4">
        <v>45174</v>
      </c>
      <c r="R652" s="1" t="s">
        <v>16</v>
      </c>
      <c r="S652" s="1" t="s">
        <v>93</v>
      </c>
      <c r="T652" s="1" t="s">
        <v>41</v>
      </c>
      <c r="U652" s="1"/>
      <c r="V652" s="1">
        <v>-84</v>
      </c>
      <c r="W652" s="1">
        <f>IF(Table1[[#This Row],[Claim_Amount]]&lt;0,0,Table1[[#This Row],[Claim_Amount]])</f>
        <v>0</v>
      </c>
      <c r="X652" s="1" t="str">
        <f>IF(Table1[[#This Row],[Column1]]=0,"",Table1[[#This Row],[Column1]])</f>
        <v/>
      </c>
      <c r="Y652" s="1" t="s">
        <v>1098</v>
      </c>
      <c r="Z652" s="1">
        <v>2481</v>
      </c>
      <c r="AA652">
        <v>832</v>
      </c>
      <c r="AB652" s="1" t="s">
        <v>25</v>
      </c>
      <c r="AC652" s="1" t="s">
        <v>57</v>
      </c>
      <c r="AD652">
        <v>9</v>
      </c>
      <c r="AE652" s="3" t="s">
        <v>37</v>
      </c>
    </row>
    <row r="653" spans="1:31" ht="15.75" customHeight="1" x14ac:dyDescent="0.35">
      <c r="A653" s="1" t="s">
        <v>261</v>
      </c>
      <c r="B653" s="1" t="s">
        <v>616</v>
      </c>
      <c r="C653" t="s">
        <v>1084</v>
      </c>
      <c r="D653" s="1" t="s">
        <v>841</v>
      </c>
      <c r="E653" s="5">
        <v>45141</v>
      </c>
      <c r="F653" s="4" t="str">
        <f>IF(ISNUMBER(Table13[[#This Row],[Claim_Date2]]),"",Table13[[#This Row],[Claim_Date2]])</f>
        <v/>
      </c>
      <c r="G653" s="4" t="s">
        <v>1098</v>
      </c>
      <c r="H653" s="4" t="str">
        <f>LEFT(Table13[[#This Row],[Values Col 1]],3)</f>
        <v/>
      </c>
      <c r="I653" s="4" t="s">
        <v>1098</v>
      </c>
      <c r="J653" s="4" t="str">
        <f>MID(Table13[[#This Row],[Function Col]],5,2)</f>
        <v/>
      </c>
      <c r="K653" s="4" t="s">
        <v>1098</v>
      </c>
      <c r="L653" s="4" t="str">
        <f>RIGHT(Table13[[#This Row],[Function Col]],4)</f>
        <v/>
      </c>
      <c r="M653" s="4" t="s">
        <v>1098</v>
      </c>
      <c r="N653" s="4" t="str">
        <f>IF(Table13[[#This Row],[Function Col5]]="","",_xlfn.CONCAT(Table13[[#This Row],[Day Col]],"/",Table13[[#This Row],[Month Col]],"/",Table13[[#This Row],[Year Col]]))</f>
        <v/>
      </c>
      <c r="O653" s="4" t="s">
        <v>1098</v>
      </c>
      <c r="P653" s="4">
        <f>IF(ISNUMBER(Table13[[#This Row],[Claim_Date2]]),Table13[[#This Row],[Claim_Date2]],Table13[[#This Row],[Function Col32]])</f>
        <v>45141</v>
      </c>
      <c r="Q653" s="4">
        <v>45141</v>
      </c>
      <c r="R653" s="1" t="s">
        <v>16</v>
      </c>
      <c r="S653" s="1" t="s">
        <v>53</v>
      </c>
      <c r="T653" s="1" t="s">
        <v>61</v>
      </c>
      <c r="U653" s="1"/>
      <c r="V653" s="1">
        <v>922.16</v>
      </c>
      <c r="W653" s="1">
        <f>IF(Table1[[#This Row],[Claim_Amount]]&lt;0,0,Table1[[#This Row],[Claim_Amount]])</f>
        <v>922.16</v>
      </c>
      <c r="X653" s="1">
        <f>IF(Table1[[#This Row],[Column1]]=0,"",Table1[[#This Row],[Column1]])</f>
        <v>922.16</v>
      </c>
      <c r="Y653" s="1">
        <v>922.16</v>
      </c>
      <c r="Z653" s="1">
        <v>922.16</v>
      </c>
      <c r="AA653">
        <v>832</v>
      </c>
      <c r="AB653" s="1" t="s">
        <v>17</v>
      </c>
      <c r="AC653" s="1" t="s">
        <v>1093</v>
      </c>
      <c r="AD653">
        <v>9</v>
      </c>
      <c r="AE653" s="3" t="s">
        <v>1097</v>
      </c>
    </row>
    <row r="654" spans="1:31" ht="15.75" customHeight="1" x14ac:dyDescent="0.35">
      <c r="A654" s="1" t="s">
        <v>70</v>
      </c>
      <c r="B654" s="1" t="s">
        <v>842</v>
      </c>
      <c r="C654" t="s">
        <v>1084</v>
      </c>
      <c r="D654" s="1" t="s">
        <v>216</v>
      </c>
      <c r="E654" s="5">
        <v>45186</v>
      </c>
      <c r="F654" s="4" t="str">
        <f>IF(ISNUMBER(Table13[[#This Row],[Claim_Date2]]),"",Table13[[#This Row],[Claim_Date2]])</f>
        <v/>
      </c>
      <c r="G654" s="4" t="s">
        <v>1098</v>
      </c>
      <c r="H654" s="4" t="str">
        <f>LEFT(Table13[[#This Row],[Values Col 1]],3)</f>
        <v/>
      </c>
      <c r="I654" s="4" t="s">
        <v>1098</v>
      </c>
      <c r="J654" s="4" t="str">
        <f>MID(Table13[[#This Row],[Function Col]],5,2)</f>
        <v/>
      </c>
      <c r="K654" s="4" t="s">
        <v>1098</v>
      </c>
      <c r="L654" s="4" t="str">
        <f>RIGHT(Table13[[#This Row],[Function Col]],4)</f>
        <v/>
      </c>
      <c r="M654" s="4" t="s">
        <v>1098</v>
      </c>
      <c r="N654" s="4" t="str">
        <f>IF(Table13[[#This Row],[Function Col5]]="","",_xlfn.CONCAT(Table13[[#This Row],[Day Col]],"/",Table13[[#This Row],[Month Col]],"/",Table13[[#This Row],[Year Col]]))</f>
        <v/>
      </c>
      <c r="O654" s="4" t="s">
        <v>1098</v>
      </c>
      <c r="P654" s="4">
        <f>IF(ISNUMBER(Table13[[#This Row],[Claim_Date2]]),Table13[[#This Row],[Claim_Date2]],Table13[[#This Row],[Function Col32]])</f>
        <v>45186</v>
      </c>
      <c r="Q654" s="4">
        <v>45186</v>
      </c>
      <c r="R654" s="1" t="s">
        <v>16</v>
      </c>
      <c r="S654" s="1" t="s">
        <v>47</v>
      </c>
      <c r="T654" s="1" t="s">
        <v>41</v>
      </c>
      <c r="U654" s="1"/>
      <c r="V654" s="1">
        <v>-91</v>
      </c>
      <c r="W654" s="1">
        <f>IF(Table1[[#This Row],[Claim_Amount]]&lt;0,0,Table1[[#This Row],[Claim_Amount]])</f>
        <v>0</v>
      </c>
      <c r="X654" s="1" t="str">
        <f>IF(Table1[[#This Row],[Column1]]=0,"",Table1[[#This Row],[Column1]])</f>
        <v/>
      </c>
      <c r="Y654" s="1" t="s">
        <v>1098</v>
      </c>
      <c r="Z654" s="1">
        <v>2481</v>
      </c>
      <c r="AA654">
        <v>832</v>
      </c>
      <c r="AB654" s="1" t="s">
        <v>25</v>
      </c>
      <c r="AC654" s="1" t="s">
        <v>1093</v>
      </c>
      <c r="AD654" s="1">
        <v>16</v>
      </c>
      <c r="AE654" s="3" t="s">
        <v>27</v>
      </c>
    </row>
    <row r="655" spans="1:31" ht="15.75" customHeight="1" x14ac:dyDescent="0.35">
      <c r="A655" s="1" t="s">
        <v>117</v>
      </c>
      <c r="B655" s="1" t="s">
        <v>270</v>
      </c>
      <c r="C655" s="1" t="s">
        <v>696</v>
      </c>
      <c r="D655" s="1" t="s">
        <v>60</v>
      </c>
      <c r="E655" s="5">
        <v>45084</v>
      </c>
      <c r="F655" s="4" t="str">
        <f>IF(ISNUMBER(Table13[[#This Row],[Claim_Date2]]),"",Table13[[#This Row],[Claim_Date2]])</f>
        <v/>
      </c>
      <c r="G655" s="4" t="s">
        <v>1098</v>
      </c>
      <c r="H655" s="4" t="str">
        <f>LEFT(Table13[[#This Row],[Values Col 1]],3)</f>
        <v/>
      </c>
      <c r="I655" s="4" t="s">
        <v>1098</v>
      </c>
      <c r="J655" s="4" t="str">
        <f>MID(Table13[[#This Row],[Function Col]],5,2)</f>
        <v/>
      </c>
      <c r="K655" s="4" t="s">
        <v>1098</v>
      </c>
      <c r="L655" s="4" t="str">
        <f>RIGHT(Table13[[#This Row],[Function Col]],4)</f>
        <v/>
      </c>
      <c r="M655" s="4" t="s">
        <v>1098</v>
      </c>
      <c r="N655" s="4" t="str">
        <f>IF(Table13[[#This Row],[Function Col5]]="","",_xlfn.CONCAT(Table13[[#This Row],[Day Col]],"/",Table13[[#This Row],[Month Col]],"/",Table13[[#This Row],[Year Col]]))</f>
        <v/>
      </c>
      <c r="O655" s="4" t="s">
        <v>1098</v>
      </c>
      <c r="P655" s="4">
        <f>IF(ISNUMBER(Table13[[#This Row],[Claim_Date2]]),Table13[[#This Row],[Claim_Date2]],Table13[[#This Row],[Function Col32]])</f>
        <v>45084</v>
      </c>
      <c r="Q655" s="4">
        <v>45084</v>
      </c>
      <c r="R655" s="1" t="s">
        <v>30</v>
      </c>
      <c r="S655" s="1" t="s">
        <v>93</v>
      </c>
      <c r="T655" s="1" t="s">
        <v>54</v>
      </c>
      <c r="U655" s="1"/>
      <c r="V655" s="1">
        <v>1070.69</v>
      </c>
      <c r="W655" s="1">
        <f>IF(Table1[[#This Row],[Claim_Amount]]&lt;0,0,Table1[[#This Row],[Claim_Amount]])</f>
        <v>1070.69</v>
      </c>
      <c r="X655" s="1">
        <f>IF(Table1[[#This Row],[Column1]]=0,"",Table1[[#This Row],[Column1]])</f>
        <v>1070.69</v>
      </c>
      <c r="Y655" s="1">
        <v>1070.69</v>
      </c>
      <c r="Z655" s="1">
        <v>1070.69</v>
      </c>
      <c r="AA655">
        <v>832</v>
      </c>
      <c r="AB655" s="1" t="s">
        <v>1091</v>
      </c>
      <c r="AC655" s="1" t="s">
        <v>32</v>
      </c>
      <c r="AD655">
        <v>9</v>
      </c>
      <c r="AE655" s="3" t="s">
        <v>1097</v>
      </c>
    </row>
    <row r="656" spans="1:31" ht="15.75" customHeight="1" x14ac:dyDescent="0.35">
      <c r="A656" s="1" t="s">
        <v>105</v>
      </c>
      <c r="B656" s="1" t="s">
        <v>843</v>
      </c>
      <c r="C656" s="1" t="s">
        <v>80</v>
      </c>
      <c r="D656" s="1" t="s">
        <v>844</v>
      </c>
      <c r="E656" s="5" t="s">
        <v>844</v>
      </c>
      <c r="F656" s="4" t="str">
        <f>IF(ISNUMBER(Table13[[#This Row],[Claim_Date2]]),"",Table13[[#This Row],[Claim_Date2]])</f>
        <v>Jun 30 2023</v>
      </c>
      <c r="G656" s="4" t="s">
        <v>844</v>
      </c>
      <c r="H656" s="4" t="str">
        <f>LEFT(Table13[[#This Row],[Values Col 1]],3)</f>
        <v>Jun</v>
      </c>
      <c r="I656" s="4" t="s">
        <v>1108</v>
      </c>
      <c r="J656" s="4" t="str">
        <f>MID(Table13[[#This Row],[Function Col]],5,2)</f>
        <v>30</v>
      </c>
      <c r="K656" s="4" t="s">
        <v>1126</v>
      </c>
      <c r="L656" s="4" t="str">
        <f>RIGHT(Table13[[#This Row],[Function Col]],4)</f>
        <v>2023</v>
      </c>
      <c r="M656" s="4" t="s">
        <v>1146</v>
      </c>
      <c r="N656" s="4" t="str">
        <f>IF(Table13[[#This Row],[Function Col5]]="","",_xlfn.CONCAT(Table13[[#This Row],[Day Col]],"/",Table13[[#This Row],[Month Col]],"/",Table13[[#This Row],[Year Col]]))</f>
        <v>30/Jun/2023</v>
      </c>
      <c r="O656" s="4" t="s">
        <v>1308</v>
      </c>
      <c r="P656" s="4" t="str">
        <f>IF(ISNUMBER(Table13[[#This Row],[Claim_Date2]]),Table13[[#This Row],[Claim_Date2]],Table13[[#This Row],[Function Col32]])</f>
        <v>30/Jun/2023</v>
      </c>
      <c r="Q656" s="4">
        <v>45107</v>
      </c>
      <c r="R656" s="1" t="s">
        <v>16</v>
      </c>
      <c r="S656" t="s">
        <v>1085</v>
      </c>
      <c r="T656" s="1" t="s">
        <v>61</v>
      </c>
      <c r="U656" s="1"/>
      <c r="W656">
        <f>IF(Table1[[#This Row],[Claim_Amount]]&lt;0,0,Table1[[#This Row],[Claim_Amount]])</f>
        <v>0</v>
      </c>
      <c r="X656" t="str">
        <f>IF(Table1[[#This Row],[Column1]]=0,"",Table1[[#This Row],[Column1]])</f>
        <v/>
      </c>
      <c r="Y656" t="s">
        <v>1098</v>
      </c>
      <c r="Z656">
        <v>2481</v>
      </c>
      <c r="AA656">
        <v>832</v>
      </c>
      <c r="AB656" s="1" t="s">
        <v>25</v>
      </c>
      <c r="AC656" s="1" t="s">
        <v>18</v>
      </c>
      <c r="AD656" s="1">
        <v>18</v>
      </c>
      <c r="AE656" s="3" t="s">
        <v>27</v>
      </c>
    </row>
    <row r="657" spans="1:31" ht="15.75" customHeight="1" x14ac:dyDescent="0.35">
      <c r="A657" s="1" t="s">
        <v>114</v>
      </c>
      <c r="B657" s="1" t="s">
        <v>103</v>
      </c>
      <c r="C657" s="1" t="s">
        <v>228</v>
      </c>
      <c r="D657" s="1" t="s">
        <v>126</v>
      </c>
      <c r="E657" s="5" t="s">
        <v>126</v>
      </c>
      <c r="F657" s="4" t="str">
        <f>IF(ISNUMBER(Table13[[#This Row],[Claim_Date2]]),"",Table13[[#This Row],[Claim_Date2]])</f>
        <v>Jan 11 2023</v>
      </c>
      <c r="G657" s="4" t="s">
        <v>126</v>
      </c>
      <c r="H657" s="4" t="str">
        <f>LEFT(Table13[[#This Row],[Values Col 1]],3)</f>
        <v>Jan</v>
      </c>
      <c r="I657" s="4" t="s">
        <v>1107</v>
      </c>
      <c r="J657" s="4" t="str">
        <f>MID(Table13[[#This Row],[Function Col]],5,2)</f>
        <v>11</v>
      </c>
      <c r="K657" s="4" t="s">
        <v>1121</v>
      </c>
      <c r="L657" s="4" t="str">
        <f>RIGHT(Table13[[#This Row],[Function Col]],4)</f>
        <v>2023</v>
      </c>
      <c r="M657" s="4" t="s">
        <v>1146</v>
      </c>
      <c r="N657" s="4" t="str">
        <f>IF(Table13[[#This Row],[Function Col5]]="","",_xlfn.CONCAT(Table13[[#This Row],[Day Col]],"/",Table13[[#This Row],[Month Col]],"/",Table13[[#This Row],[Year Col]]))</f>
        <v>11/Jan/2023</v>
      </c>
      <c r="O657" s="4" t="s">
        <v>1161</v>
      </c>
      <c r="P657" s="4" t="str">
        <f>IF(ISNUMBER(Table13[[#This Row],[Claim_Date2]]),Table13[[#This Row],[Claim_Date2]],Table13[[#This Row],[Function Col32]])</f>
        <v>11/Jan/2023</v>
      </c>
      <c r="Q657" s="4">
        <v>44937</v>
      </c>
      <c r="R657" s="1" t="s">
        <v>16</v>
      </c>
      <c r="S657" s="1" t="s">
        <v>47</v>
      </c>
      <c r="T657" s="1" t="s">
        <v>48</v>
      </c>
      <c r="U657" s="1"/>
      <c r="W657">
        <f>IF(Table1[[#This Row],[Claim_Amount]]&lt;0,0,Table1[[#This Row],[Claim_Amount]])</f>
        <v>0</v>
      </c>
      <c r="X657" t="str">
        <f>IF(Table1[[#This Row],[Column1]]=0,"",Table1[[#This Row],[Column1]])</f>
        <v/>
      </c>
      <c r="Y657" t="s">
        <v>1098</v>
      </c>
      <c r="Z657">
        <v>2481</v>
      </c>
      <c r="AA657" s="1">
        <v>1451.29</v>
      </c>
      <c r="AB657" s="1" t="s">
        <v>17</v>
      </c>
      <c r="AC657" s="1" t="s">
        <v>18</v>
      </c>
      <c r="AD657">
        <v>9</v>
      </c>
      <c r="AE657" s="3" t="s">
        <v>19</v>
      </c>
    </row>
    <row r="658" spans="1:31" ht="15.75" customHeight="1" x14ac:dyDescent="0.35">
      <c r="A658" s="1" t="s">
        <v>179</v>
      </c>
      <c r="B658" t="s">
        <v>1083</v>
      </c>
      <c r="C658" s="1" t="s">
        <v>442</v>
      </c>
      <c r="D658" s="1" t="s">
        <v>845</v>
      </c>
      <c r="E658" s="5">
        <v>45065</v>
      </c>
      <c r="F658" s="4" t="str">
        <f>IF(ISNUMBER(Table13[[#This Row],[Claim_Date2]]),"",Table13[[#This Row],[Claim_Date2]])</f>
        <v/>
      </c>
      <c r="G658" s="4" t="s">
        <v>1098</v>
      </c>
      <c r="H658" s="4" t="str">
        <f>LEFT(Table13[[#This Row],[Values Col 1]],3)</f>
        <v/>
      </c>
      <c r="I658" s="4" t="s">
        <v>1098</v>
      </c>
      <c r="J658" s="4" t="str">
        <f>MID(Table13[[#This Row],[Function Col]],5,2)</f>
        <v/>
      </c>
      <c r="K658" s="4" t="s">
        <v>1098</v>
      </c>
      <c r="L658" s="4" t="str">
        <f>RIGHT(Table13[[#This Row],[Function Col]],4)</f>
        <v/>
      </c>
      <c r="M658" s="4" t="s">
        <v>1098</v>
      </c>
      <c r="N658" s="4" t="str">
        <f>IF(Table13[[#This Row],[Function Col5]]="","",_xlfn.CONCAT(Table13[[#This Row],[Day Col]],"/",Table13[[#This Row],[Month Col]],"/",Table13[[#This Row],[Year Col]]))</f>
        <v/>
      </c>
      <c r="O658" s="4" t="s">
        <v>1098</v>
      </c>
      <c r="P658" s="4">
        <f>IF(ISNUMBER(Table13[[#This Row],[Claim_Date2]]),Table13[[#This Row],[Claim_Date2]],Table13[[#This Row],[Function Col32]])</f>
        <v>45065</v>
      </c>
      <c r="Q658" s="4">
        <v>45065</v>
      </c>
      <c r="R658" s="1" t="s">
        <v>30</v>
      </c>
      <c r="S658" t="s">
        <v>1085</v>
      </c>
      <c r="T658" t="s">
        <v>1086</v>
      </c>
      <c r="V658" s="1">
        <v>3823.81</v>
      </c>
      <c r="W658" s="1">
        <f>IF(Table1[[#This Row],[Claim_Amount]]&lt;0,0,Table1[[#This Row],[Claim_Amount]])</f>
        <v>3823.81</v>
      </c>
      <c r="X658" s="1">
        <f>IF(Table1[[#This Row],[Column1]]=0,"",Table1[[#This Row],[Column1]])</f>
        <v>3823.81</v>
      </c>
      <c r="Y658" s="1">
        <v>3823.81</v>
      </c>
      <c r="Z658" s="1">
        <v>3823.81</v>
      </c>
      <c r="AA658">
        <v>832</v>
      </c>
      <c r="AB658" s="1" t="s">
        <v>1091</v>
      </c>
      <c r="AC658" s="1" t="s">
        <v>18</v>
      </c>
      <c r="AD658">
        <v>9</v>
      </c>
      <c r="AE658" s="3" t="s">
        <v>1097</v>
      </c>
    </row>
    <row r="659" spans="1:31" ht="15.75" customHeight="1" x14ac:dyDescent="0.35">
      <c r="A659" s="1" t="s">
        <v>179</v>
      </c>
      <c r="B659" s="1" t="s">
        <v>597</v>
      </c>
      <c r="C659" t="s">
        <v>1084</v>
      </c>
      <c r="D659" s="1" t="s">
        <v>846</v>
      </c>
      <c r="E659" s="5" t="s">
        <v>846</v>
      </c>
      <c r="F659" s="4" t="str">
        <f>IF(ISNUMBER(Table13[[#This Row],[Claim_Date2]]),"",Table13[[#This Row],[Claim_Date2]])</f>
        <v>Sep 20 2023</v>
      </c>
      <c r="G659" s="4" t="s">
        <v>846</v>
      </c>
      <c r="H659" s="4" t="str">
        <f>LEFT(Table13[[#This Row],[Values Col 1]],3)</f>
        <v>Sep</v>
      </c>
      <c r="I659" s="4" t="s">
        <v>1102</v>
      </c>
      <c r="J659" s="4" t="str">
        <f>MID(Table13[[#This Row],[Function Col]],5,2)</f>
        <v>20</v>
      </c>
      <c r="K659" s="4" t="s">
        <v>1118</v>
      </c>
      <c r="L659" s="4" t="str">
        <f>RIGHT(Table13[[#This Row],[Function Col]],4)</f>
        <v>2023</v>
      </c>
      <c r="M659" s="4" t="s">
        <v>1146</v>
      </c>
      <c r="N659" s="4" t="str">
        <f>IF(Table13[[#This Row],[Function Col5]]="","",_xlfn.CONCAT(Table13[[#This Row],[Day Col]],"/",Table13[[#This Row],[Month Col]],"/",Table13[[#This Row],[Year Col]]))</f>
        <v>20/Sep/2023</v>
      </c>
      <c r="O659" s="4" t="s">
        <v>1309</v>
      </c>
      <c r="P659" s="4" t="str">
        <f>IF(ISNUMBER(Table13[[#This Row],[Claim_Date2]]),Table13[[#This Row],[Claim_Date2]],Table13[[#This Row],[Function Col32]])</f>
        <v>20/Sep/2023</v>
      </c>
      <c r="Q659" s="4">
        <v>45189</v>
      </c>
      <c r="R659" s="1" t="s">
        <v>16</v>
      </c>
      <c r="S659" s="1" t="s">
        <v>31</v>
      </c>
      <c r="T659" s="1" t="s">
        <v>41</v>
      </c>
      <c r="U659" s="1"/>
      <c r="W659">
        <f>IF(Table1[[#This Row],[Claim_Amount]]&lt;0,0,Table1[[#This Row],[Claim_Amount]])</f>
        <v>0</v>
      </c>
      <c r="X659" t="str">
        <f>IF(Table1[[#This Row],[Column1]]=0,"",Table1[[#This Row],[Column1]])</f>
        <v/>
      </c>
      <c r="Y659" t="s">
        <v>1098</v>
      </c>
      <c r="Z659">
        <v>2481</v>
      </c>
      <c r="AA659">
        <v>832</v>
      </c>
      <c r="AB659" s="1" t="s">
        <v>25</v>
      </c>
      <c r="AC659" s="1" t="s">
        <v>1093</v>
      </c>
      <c r="AD659">
        <v>9</v>
      </c>
      <c r="AE659" s="3" t="s">
        <v>19</v>
      </c>
    </row>
    <row r="660" spans="1:31" ht="15.75" customHeight="1" x14ac:dyDescent="0.35">
      <c r="A660" s="1" t="s">
        <v>198</v>
      </c>
      <c r="B660" t="s">
        <v>1083</v>
      </c>
      <c r="C660" t="s">
        <v>1084</v>
      </c>
      <c r="D660" s="1" t="s">
        <v>326</v>
      </c>
      <c r="E660" s="5" t="s">
        <v>326</v>
      </c>
      <c r="F660" s="4" t="str">
        <f>IF(ISNUMBER(Table13[[#This Row],[Claim_Date2]]),"",Table13[[#This Row],[Claim_Date2]])</f>
        <v>Oct 01 2023</v>
      </c>
      <c r="G660" s="4" t="s">
        <v>326</v>
      </c>
      <c r="H660" s="4" t="str">
        <f>LEFT(Table13[[#This Row],[Values Col 1]],3)</f>
        <v>Oct</v>
      </c>
      <c r="I660" s="4" t="s">
        <v>1103</v>
      </c>
      <c r="J660" s="4" t="str">
        <f>MID(Table13[[#This Row],[Function Col]],5,2)</f>
        <v>01</v>
      </c>
      <c r="K660" s="4" t="s">
        <v>1138</v>
      </c>
      <c r="L660" s="4" t="str">
        <f>RIGHT(Table13[[#This Row],[Function Col]],4)</f>
        <v>2023</v>
      </c>
      <c r="M660" s="4" t="s">
        <v>1146</v>
      </c>
      <c r="N660" s="4" t="str">
        <f>IF(Table13[[#This Row],[Function Col5]]="","",_xlfn.CONCAT(Table13[[#This Row],[Day Col]],"/",Table13[[#This Row],[Month Col]],"/",Table13[[#This Row],[Year Col]]))</f>
        <v>01/Oct/2023</v>
      </c>
      <c r="O660" s="4" t="s">
        <v>1194</v>
      </c>
      <c r="P660" s="4" t="str">
        <f>IF(ISNUMBER(Table13[[#This Row],[Claim_Date2]]),Table13[[#This Row],[Claim_Date2]],Table13[[#This Row],[Function Col32]])</f>
        <v>01/Oct/2023</v>
      </c>
      <c r="Q660" s="4">
        <v>45200</v>
      </c>
      <c r="R660" s="1" t="s">
        <v>85</v>
      </c>
      <c r="S660" s="1" t="s">
        <v>53</v>
      </c>
      <c r="T660" s="1" t="s">
        <v>61</v>
      </c>
      <c r="U660" s="1"/>
      <c r="V660" s="1">
        <v>-196</v>
      </c>
      <c r="W660" s="1">
        <f>IF(Table1[[#This Row],[Claim_Amount]]&lt;0,0,Table1[[#This Row],[Claim_Amount]])</f>
        <v>0</v>
      </c>
      <c r="X660" s="1" t="str">
        <f>IF(Table1[[#This Row],[Column1]]=0,"",Table1[[#This Row],[Column1]])</f>
        <v/>
      </c>
      <c r="Y660" s="1" t="s">
        <v>1098</v>
      </c>
      <c r="Z660" s="1">
        <v>2481</v>
      </c>
      <c r="AA660">
        <v>832</v>
      </c>
      <c r="AB660" s="1" t="s">
        <v>25</v>
      </c>
      <c r="AC660" s="1" t="s">
        <v>1093</v>
      </c>
      <c r="AD660">
        <v>9</v>
      </c>
      <c r="AE660" s="3" t="s">
        <v>19</v>
      </c>
    </row>
    <row r="661" spans="1:31" ht="15.75" customHeight="1" x14ac:dyDescent="0.35">
      <c r="A661" s="1" t="s">
        <v>78</v>
      </c>
      <c r="B661" s="1" t="s">
        <v>847</v>
      </c>
      <c r="C661" t="s">
        <v>1084</v>
      </c>
      <c r="D661" s="1" t="s">
        <v>134</v>
      </c>
      <c r="E661" s="5" t="s">
        <v>134</v>
      </c>
      <c r="F661" s="4" t="str">
        <f>IF(ISNUMBER(Table13[[#This Row],[Claim_Date2]]),"",Table13[[#This Row],[Claim_Date2]])</f>
        <v>Feb 25 2023</v>
      </c>
      <c r="G661" s="4" t="s">
        <v>134</v>
      </c>
      <c r="H661" s="4" t="str">
        <f>LEFT(Table13[[#This Row],[Values Col 1]],3)</f>
        <v>Feb</v>
      </c>
      <c r="I661" s="4" t="s">
        <v>1109</v>
      </c>
      <c r="J661" s="4" t="str">
        <f>MID(Table13[[#This Row],[Function Col]],5,2)</f>
        <v>25</v>
      </c>
      <c r="K661" s="4" t="s">
        <v>1123</v>
      </c>
      <c r="L661" s="4" t="str">
        <f>RIGHT(Table13[[#This Row],[Function Col]],4)</f>
        <v>2023</v>
      </c>
      <c r="M661" s="4" t="s">
        <v>1146</v>
      </c>
      <c r="N661" s="4" t="str">
        <f>IF(Table13[[#This Row],[Function Col5]]="","",_xlfn.CONCAT(Table13[[#This Row],[Day Col]],"/",Table13[[#This Row],[Month Col]],"/",Table13[[#This Row],[Year Col]]))</f>
        <v>25/Feb/2023</v>
      </c>
      <c r="O661" s="4" t="s">
        <v>1163</v>
      </c>
      <c r="P661" s="4" t="str">
        <f>IF(ISNUMBER(Table13[[#This Row],[Claim_Date2]]),Table13[[#This Row],[Claim_Date2]],Table13[[#This Row],[Function Col32]])</f>
        <v>25/Feb/2023</v>
      </c>
      <c r="Q661" s="4">
        <v>44982</v>
      </c>
      <c r="R661" s="1" t="s">
        <v>92</v>
      </c>
      <c r="S661" s="1" t="s">
        <v>31</v>
      </c>
      <c r="T661" s="1" t="s">
        <v>24</v>
      </c>
      <c r="U661" s="1"/>
      <c r="V661" s="1">
        <v>4057.92</v>
      </c>
      <c r="W661" s="1">
        <f>IF(Table1[[#This Row],[Claim_Amount]]&lt;0,0,Table1[[#This Row],[Claim_Amount]])</f>
        <v>4057.92</v>
      </c>
      <c r="X661" s="1">
        <f>IF(Table1[[#This Row],[Column1]]=0,"",Table1[[#This Row],[Column1]])</f>
        <v>4057.92</v>
      </c>
      <c r="Y661" s="1">
        <v>4057.92</v>
      </c>
      <c r="Z661" s="1">
        <v>4057.92</v>
      </c>
      <c r="AA661" s="1">
        <v>2826.38</v>
      </c>
      <c r="AB661" s="1" t="s">
        <v>25</v>
      </c>
      <c r="AC661" s="1" t="s">
        <v>57</v>
      </c>
      <c r="AD661" s="1">
        <v>15</v>
      </c>
      <c r="AE661" s="3" t="s">
        <v>65</v>
      </c>
    </row>
    <row r="662" spans="1:31" ht="15.75" customHeight="1" x14ac:dyDescent="0.35">
      <c r="A662" s="1" t="s">
        <v>78</v>
      </c>
      <c r="B662" t="s">
        <v>1083</v>
      </c>
      <c r="C662" s="1" t="s">
        <v>354</v>
      </c>
      <c r="D662" s="1" t="s">
        <v>848</v>
      </c>
      <c r="E662" s="5">
        <v>45179</v>
      </c>
      <c r="F662" s="4" t="str">
        <f>IF(ISNUMBER(Table13[[#This Row],[Claim_Date2]]),"",Table13[[#This Row],[Claim_Date2]])</f>
        <v/>
      </c>
      <c r="G662" s="4" t="s">
        <v>1098</v>
      </c>
      <c r="H662" s="4" t="str">
        <f>LEFT(Table13[[#This Row],[Values Col 1]],3)</f>
        <v/>
      </c>
      <c r="I662" s="4" t="s">
        <v>1098</v>
      </c>
      <c r="J662" s="4" t="str">
        <f>MID(Table13[[#This Row],[Function Col]],5,2)</f>
        <v/>
      </c>
      <c r="K662" s="4" t="s">
        <v>1098</v>
      </c>
      <c r="L662" s="4" t="str">
        <f>RIGHT(Table13[[#This Row],[Function Col]],4)</f>
        <v/>
      </c>
      <c r="M662" s="4" t="s">
        <v>1098</v>
      </c>
      <c r="N662" s="4" t="str">
        <f>IF(Table13[[#This Row],[Function Col5]]="","",_xlfn.CONCAT(Table13[[#This Row],[Day Col]],"/",Table13[[#This Row],[Month Col]],"/",Table13[[#This Row],[Year Col]]))</f>
        <v/>
      </c>
      <c r="O662" s="4" t="s">
        <v>1098</v>
      </c>
      <c r="P662" s="4">
        <f>IF(ISNUMBER(Table13[[#This Row],[Claim_Date2]]),Table13[[#This Row],[Claim_Date2]],Table13[[#This Row],[Function Col32]])</f>
        <v>45179</v>
      </c>
      <c r="Q662" s="4">
        <v>45179</v>
      </c>
      <c r="R662" s="1" t="s">
        <v>92</v>
      </c>
      <c r="S662" t="s">
        <v>1085</v>
      </c>
      <c r="T662" s="1" t="s">
        <v>41</v>
      </c>
      <c r="U662" s="1"/>
      <c r="W662">
        <f>IF(Table1[[#This Row],[Claim_Amount]]&lt;0,0,Table1[[#This Row],[Claim_Amount]])</f>
        <v>0</v>
      </c>
      <c r="X662" t="str">
        <f>IF(Table1[[#This Row],[Column1]]=0,"",Table1[[#This Row],[Column1]])</f>
        <v/>
      </c>
      <c r="Y662" t="s">
        <v>1098</v>
      </c>
      <c r="Z662">
        <v>2481</v>
      </c>
      <c r="AA662">
        <v>832</v>
      </c>
      <c r="AB662" s="1" t="s">
        <v>25</v>
      </c>
      <c r="AC662" s="1" t="s">
        <v>26</v>
      </c>
      <c r="AD662">
        <v>9</v>
      </c>
      <c r="AE662" s="3" t="s">
        <v>65</v>
      </c>
    </row>
    <row r="663" spans="1:31" ht="15.75" customHeight="1" x14ac:dyDescent="0.35">
      <c r="A663" s="1" t="s">
        <v>231</v>
      </c>
      <c r="B663" t="s">
        <v>1083</v>
      </c>
      <c r="C663" t="s">
        <v>1084</v>
      </c>
      <c r="D663" s="1" t="s">
        <v>217</v>
      </c>
      <c r="E663" s="5">
        <v>45260</v>
      </c>
      <c r="F663" s="4" t="str">
        <f>IF(ISNUMBER(Table13[[#This Row],[Claim_Date2]]),"",Table13[[#This Row],[Claim_Date2]])</f>
        <v/>
      </c>
      <c r="G663" s="4" t="s">
        <v>1098</v>
      </c>
      <c r="H663" s="4" t="str">
        <f>LEFT(Table13[[#This Row],[Values Col 1]],3)</f>
        <v/>
      </c>
      <c r="I663" s="4" t="s">
        <v>1098</v>
      </c>
      <c r="J663" s="4" t="str">
        <f>MID(Table13[[#This Row],[Function Col]],5,2)</f>
        <v/>
      </c>
      <c r="K663" s="4" t="s">
        <v>1098</v>
      </c>
      <c r="L663" s="4" t="str">
        <f>RIGHT(Table13[[#This Row],[Function Col]],4)</f>
        <v/>
      </c>
      <c r="M663" s="4" t="s">
        <v>1098</v>
      </c>
      <c r="N663" s="4" t="str">
        <f>IF(Table13[[#This Row],[Function Col5]]="","",_xlfn.CONCAT(Table13[[#This Row],[Day Col]],"/",Table13[[#This Row],[Month Col]],"/",Table13[[#This Row],[Year Col]]))</f>
        <v/>
      </c>
      <c r="O663" s="4" t="s">
        <v>1098</v>
      </c>
      <c r="P663" s="4">
        <f>IF(ISNUMBER(Table13[[#This Row],[Claim_Date2]]),Table13[[#This Row],[Claim_Date2]],Table13[[#This Row],[Function Col32]])</f>
        <v>45260</v>
      </c>
      <c r="Q663" s="4">
        <v>45260</v>
      </c>
      <c r="R663" s="1" t="s">
        <v>77</v>
      </c>
      <c r="S663" t="s">
        <v>1085</v>
      </c>
      <c r="T663" s="1" t="s">
        <v>48</v>
      </c>
      <c r="U663" s="1"/>
      <c r="V663" s="1">
        <v>2596.4299999999998</v>
      </c>
      <c r="W663" s="1">
        <f>IF(Table1[[#This Row],[Claim_Amount]]&lt;0,0,Table1[[#This Row],[Claim_Amount]])</f>
        <v>2596.4299999999998</v>
      </c>
      <c r="X663" s="1">
        <f>IF(Table1[[#This Row],[Column1]]=0,"",Table1[[#This Row],[Column1]])</f>
        <v>2596.4299999999998</v>
      </c>
      <c r="Y663" s="1">
        <v>2596.4299999999998</v>
      </c>
      <c r="Z663" s="1">
        <v>2596.4299999999998</v>
      </c>
      <c r="AA663">
        <v>832</v>
      </c>
      <c r="AB663" s="1" t="s">
        <v>25</v>
      </c>
      <c r="AC663" s="1" t="s">
        <v>1093</v>
      </c>
      <c r="AD663" s="1">
        <v>8</v>
      </c>
      <c r="AE663" s="3" t="s">
        <v>65</v>
      </c>
    </row>
    <row r="664" spans="1:31" ht="15.75" customHeight="1" x14ac:dyDescent="0.35">
      <c r="A664" s="1" t="s">
        <v>302</v>
      </c>
      <c r="B664" s="1" t="s">
        <v>737</v>
      </c>
      <c r="C664" s="1" t="s">
        <v>632</v>
      </c>
      <c r="D664" s="1" t="s">
        <v>849</v>
      </c>
      <c r="E664" s="5">
        <v>44985</v>
      </c>
      <c r="F664" s="4" t="str">
        <f>IF(ISNUMBER(Table13[[#This Row],[Claim_Date2]]),"",Table13[[#This Row],[Claim_Date2]])</f>
        <v/>
      </c>
      <c r="G664" s="4" t="s">
        <v>1098</v>
      </c>
      <c r="H664" s="4" t="str">
        <f>LEFT(Table13[[#This Row],[Values Col 1]],3)</f>
        <v/>
      </c>
      <c r="I664" s="4" t="s">
        <v>1098</v>
      </c>
      <c r="J664" s="4" t="str">
        <f>MID(Table13[[#This Row],[Function Col]],5,2)</f>
        <v/>
      </c>
      <c r="K664" s="4" t="s">
        <v>1098</v>
      </c>
      <c r="L664" s="4" t="str">
        <f>RIGHT(Table13[[#This Row],[Function Col]],4)</f>
        <v/>
      </c>
      <c r="M664" s="4" t="s">
        <v>1098</v>
      </c>
      <c r="N664" s="4" t="str">
        <f>IF(Table13[[#This Row],[Function Col5]]="","",_xlfn.CONCAT(Table13[[#This Row],[Day Col]],"/",Table13[[#This Row],[Month Col]],"/",Table13[[#This Row],[Year Col]]))</f>
        <v/>
      </c>
      <c r="O664" s="4" t="s">
        <v>1098</v>
      </c>
      <c r="P664" s="4">
        <f>IF(ISNUMBER(Table13[[#This Row],[Claim_Date2]]),Table13[[#This Row],[Claim_Date2]],Table13[[#This Row],[Function Col32]])</f>
        <v>44985</v>
      </c>
      <c r="Q664" s="4">
        <v>44985</v>
      </c>
      <c r="R664" s="1" t="s">
        <v>77</v>
      </c>
      <c r="S664" s="1" t="s">
        <v>93</v>
      </c>
      <c r="T664" t="s">
        <v>1086</v>
      </c>
      <c r="W664">
        <f>IF(Table1[[#This Row],[Claim_Amount]]&lt;0,0,Table1[[#This Row],[Claim_Amount]])</f>
        <v>0</v>
      </c>
      <c r="X664" t="str">
        <f>IF(Table1[[#This Row],[Column1]]=0,"",Table1[[#This Row],[Column1]])</f>
        <v/>
      </c>
      <c r="Y664" t="s">
        <v>1098</v>
      </c>
      <c r="Z664">
        <v>2481</v>
      </c>
      <c r="AA664">
        <v>832</v>
      </c>
      <c r="AB664" s="1" t="s">
        <v>25</v>
      </c>
      <c r="AC664" s="1" t="s">
        <v>1093</v>
      </c>
      <c r="AD664">
        <v>9</v>
      </c>
      <c r="AE664" s="3" t="s">
        <v>19</v>
      </c>
    </row>
    <row r="665" spans="1:31" ht="15.75" customHeight="1" x14ac:dyDescent="0.35">
      <c r="A665" s="1" t="s">
        <v>62</v>
      </c>
      <c r="B665" t="s">
        <v>1083</v>
      </c>
      <c r="C665" t="s">
        <v>1084</v>
      </c>
      <c r="D665" s="1" t="s">
        <v>835</v>
      </c>
      <c r="E665" s="5">
        <v>45092</v>
      </c>
      <c r="F665" s="4" t="str">
        <f>IF(ISNUMBER(Table13[[#This Row],[Claim_Date2]]),"",Table13[[#This Row],[Claim_Date2]])</f>
        <v/>
      </c>
      <c r="G665" s="4" t="s">
        <v>1098</v>
      </c>
      <c r="H665" s="4" t="str">
        <f>LEFT(Table13[[#This Row],[Values Col 1]],3)</f>
        <v/>
      </c>
      <c r="I665" s="4" t="s">
        <v>1098</v>
      </c>
      <c r="J665" s="4" t="str">
        <f>MID(Table13[[#This Row],[Function Col]],5,2)</f>
        <v/>
      </c>
      <c r="K665" s="4" t="s">
        <v>1098</v>
      </c>
      <c r="L665" s="4" t="str">
        <f>RIGHT(Table13[[#This Row],[Function Col]],4)</f>
        <v/>
      </c>
      <c r="M665" s="4" t="s">
        <v>1098</v>
      </c>
      <c r="N665" s="4" t="str">
        <f>IF(Table13[[#This Row],[Function Col5]]="","",_xlfn.CONCAT(Table13[[#This Row],[Day Col]],"/",Table13[[#This Row],[Month Col]],"/",Table13[[#This Row],[Year Col]]))</f>
        <v/>
      </c>
      <c r="O665" s="4" t="s">
        <v>1098</v>
      </c>
      <c r="P665" s="4">
        <f>IF(ISNUMBER(Table13[[#This Row],[Claim_Date2]]),Table13[[#This Row],[Claim_Date2]],Table13[[#This Row],[Function Col32]])</f>
        <v>45092</v>
      </c>
      <c r="Q665" s="4">
        <v>45092</v>
      </c>
      <c r="R665" s="1" t="s">
        <v>30</v>
      </c>
      <c r="S665" t="s">
        <v>1085</v>
      </c>
      <c r="T665" s="1" t="s">
        <v>24</v>
      </c>
      <c r="U665" s="1"/>
      <c r="W665">
        <f>IF(Table1[[#This Row],[Claim_Amount]]&lt;0,0,Table1[[#This Row],[Claim_Amount]])</f>
        <v>0</v>
      </c>
      <c r="X665" t="str">
        <f>IF(Table1[[#This Row],[Column1]]=0,"",Table1[[#This Row],[Column1]])</f>
        <v/>
      </c>
      <c r="Y665" t="s">
        <v>1098</v>
      </c>
      <c r="Z665">
        <v>2481</v>
      </c>
      <c r="AA665">
        <v>832</v>
      </c>
      <c r="AB665" s="1" t="s">
        <v>42</v>
      </c>
      <c r="AC665" s="1" t="s">
        <v>57</v>
      </c>
      <c r="AD665">
        <v>9</v>
      </c>
      <c r="AE665" s="3" t="s">
        <v>37</v>
      </c>
    </row>
    <row r="666" spans="1:31" ht="15.75" customHeight="1" x14ac:dyDescent="0.35">
      <c r="A666" s="1" t="s">
        <v>173</v>
      </c>
      <c r="B666" t="s">
        <v>1083</v>
      </c>
      <c r="C666" s="1" t="s">
        <v>133</v>
      </c>
      <c r="D666" s="1" t="s">
        <v>415</v>
      </c>
      <c r="E666" s="5">
        <v>45011</v>
      </c>
      <c r="F666" s="4" t="str">
        <f>IF(ISNUMBER(Table13[[#This Row],[Claim_Date2]]),"",Table13[[#This Row],[Claim_Date2]])</f>
        <v/>
      </c>
      <c r="G666" s="4" t="s">
        <v>1098</v>
      </c>
      <c r="H666" s="4" t="str">
        <f>LEFT(Table13[[#This Row],[Values Col 1]],3)</f>
        <v/>
      </c>
      <c r="I666" s="4" t="s">
        <v>1098</v>
      </c>
      <c r="J666" s="4" t="str">
        <f>MID(Table13[[#This Row],[Function Col]],5,2)</f>
        <v/>
      </c>
      <c r="K666" s="4" t="s">
        <v>1098</v>
      </c>
      <c r="L666" s="4" t="str">
        <f>RIGHT(Table13[[#This Row],[Function Col]],4)</f>
        <v/>
      </c>
      <c r="M666" s="4" t="s">
        <v>1098</v>
      </c>
      <c r="N666" s="4" t="str">
        <f>IF(Table13[[#This Row],[Function Col5]]="","",_xlfn.CONCAT(Table13[[#This Row],[Day Col]],"/",Table13[[#This Row],[Month Col]],"/",Table13[[#This Row],[Year Col]]))</f>
        <v/>
      </c>
      <c r="O666" s="4" t="s">
        <v>1098</v>
      </c>
      <c r="P666" s="4">
        <f>IF(ISNUMBER(Table13[[#This Row],[Claim_Date2]]),Table13[[#This Row],[Claim_Date2]],Table13[[#This Row],[Function Col32]])</f>
        <v>45011</v>
      </c>
      <c r="Q666" s="4">
        <v>45011</v>
      </c>
      <c r="R666" s="1" t="s">
        <v>92</v>
      </c>
      <c r="S666" s="1" t="s">
        <v>53</v>
      </c>
      <c r="T666" s="1" t="s">
        <v>24</v>
      </c>
      <c r="U666" s="1"/>
      <c r="V666" s="1">
        <v>794.23</v>
      </c>
      <c r="W666" s="1">
        <f>IF(Table1[[#This Row],[Claim_Amount]]&lt;0,0,Table1[[#This Row],[Claim_Amount]])</f>
        <v>794.23</v>
      </c>
      <c r="X666" s="1">
        <f>IF(Table1[[#This Row],[Column1]]=0,"",Table1[[#This Row],[Column1]])</f>
        <v>794.23</v>
      </c>
      <c r="Y666" s="1">
        <v>794.23</v>
      </c>
      <c r="Z666" s="1">
        <v>794.23</v>
      </c>
      <c r="AA666" s="1">
        <v>1593.61</v>
      </c>
      <c r="AB666" s="1" t="s">
        <v>17</v>
      </c>
      <c r="AC666" s="1" t="s">
        <v>26</v>
      </c>
      <c r="AD666">
        <v>9</v>
      </c>
      <c r="AE666" s="3" t="s">
        <v>27</v>
      </c>
    </row>
    <row r="667" spans="1:31" ht="15.75" customHeight="1" x14ac:dyDescent="0.35">
      <c r="A667" s="1" t="s">
        <v>108</v>
      </c>
      <c r="B667" t="s">
        <v>1083</v>
      </c>
      <c r="C667" s="1" t="s">
        <v>503</v>
      </c>
      <c r="D667" s="1" t="s">
        <v>850</v>
      </c>
      <c r="E667" s="5" t="s">
        <v>850</v>
      </c>
      <c r="F667" s="4" t="str">
        <f>IF(ISNUMBER(Table13[[#This Row],[Claim_Date2]]),"",Table13[[#This Row],[Claim_Date2]])</f>
        <v>Nov 22 2023</v>
      </c>
      <c r="G667" s="4" t="s">
        <v>850</v>
      </c>
      <c r="H667" s="4" t="str">
        <f>LEFT(Table13[[#This Row],[Values Col 1]],3)</f>
        <v>Nov</v>
      </c>
      <c r="I667" s="4" t="s">
        <v>1105</v>
      </c>
      <c r="J667" s="4" t="str">
        <f>MID(Table13[[#This Row],[Function Col]],5,2)</f>
        <v>22</v>
      </c>
      <c r="K667" s="4" t="s">
        <v>1122</v>
      </c>
      <c r="L667" s="4" t="str">
        <f>RIGHT(Table13[[#This Row],[Function Col]],4)</f>
        <v>2023</v>
      </c>
      <c r="M667" s="4" t="s">
        <v>1146</v>
      </c>
      <c r="N667" s="4" t="str">
        <f>IF(Table13[[#This Row],[Function Col5]]="","",_xlfn.CONCAT(Table13[[#This Row],[Day Col]],"/",Table13[[#This Row],[Month Col]],"/",Table13[[#This Row],[Year Col]]))</f>
        <v>22/Nov/2023</v>
      </c>
      <c r="O667" s="4" t="s">
        <v>1310</v>
      </c>
      <c r="P667" s="4" t="str">
        <f>IF(ISNUMBER(Table13[[#This Row],[Claim_Date2]]),Table13[[#This Row],[Claim_Date2]],Table13[[#This Row],[Function Col32]])</f>
        <v>22/Nov/2023</v>
      </c>
      <c r="Q667" s="4">
        <v>45252</v>
      </c>
      <c r="R667" s="1" t="s">
        <v>85</v>
      </c>
      <c r="S667" s="1" t="s">
        <v>31</v>
      </c>
      <c r="T667" t="s">
        <v>1086</v>
      </c>
      <c r="W667">
        <f>IF(Table1[[#This Row],[Claim_Amount]]&lt;0,0,Table1[[#This Row],[Claim_Amount]])</f>
        <v>0</v>
      </c>
      <c r="X667" t="str">
        <f>IF(Table1[[#This Row],[Column1]]=0,"",Table1[[#This Row],[Column1]])</f>
        <v/>
      </c>
      <c r="Y667" t="s">
        <v>1098</v>
      </c>
      <c r="Z667">
        <v>2481</v>
      </c>
      <c r="AA667">
        <v>832</v>
      </c>
      <c r="AB667" s="1" t="s">
        <v>1091</v>
      </c>
      <c r="AC667" s="1" t="s">
        <v>32</v>
      </c>
      <c r="AD667">
        <v>9</v>
      </c>
      <c r="AE667" s="3" t="s">
        <v>37</v>
      </c>
    </row>
    <row r="668" spans="1:31" ht="15.75" customHeight="1" x14ac:dyDescent="0.35">
      <c r="A668" s="1" t="s">
        <v>247</v>
      </c>
      <c r="B668" t="s">
        <v>1083</v>
      </c>
      <c r="C668" s="1" t="s">
        <v>336</v>
      </c>
      <c r="D668" s="1" t="s">
        <v>851</v>
      </c>
      <c r="E668" s="5">
        <v>44966</v>
      </c>
      <c r="F668" s="4" t="str">
        <f>IF(ISNUMBER(Table13[[#This Row],[Claim_Date2]]),"",Table13[[#This Row],[Claim_Date2]])</f>
        <v/>
      </c>
      <c r="G668" s="4" t="s">
        <v>1098</v>
      </c>
      <c r="H668" s="4" t="str">
        <f>LEFT(Table13[[#This Row],[Values Col 1]],3)</f>
        <v/>
      </c>
      <c r="I668" s="4" t="s">
        <v>1098</v>
      </c>
      <c r="J668" s="4" t="str">
        <f>MID(Table13[[#This Row],[Function Col]],5,2)</f>
        <v/>
      </c>
      <c r="K668" s="4" t="s">
        <v>1098</v>
      </c>
      <c r="L668" s="4" t="str">
        <f>RIGHT(Table13[[#This Row],[Function Col]],4)</f>
        <v/>
      </c>
      <c r="M668" s="4" t="s">
        <v>1098</v>
      </c>
      <c r="N668" s="4" t="str">
        <f>IF(Table13[[#This Row],[Function Col5]]="","",_xlfn.CONCAT(Table13[[#This Row],[Day Col]],"/",Table13[[#This Row],[Month Col]],"/",Table13[[#This Row],[Year Col]]))</f>
        <v/>
      </c>
      <c r="O668" s="4" t="s">
        <v>1098</v>
      </c>
      <c r="P668" s="4">
        <f>IF(ISNUMBER(Table13[[#This Row],[Claim_Date2]]),Table13[[#This Row],[Claim_Date2]],Table13[[#This Row],[Function Col32]])</f>
        <v>44966</v>
      </c>
      <c r="Q668" s="4">
        <v>44966</v>
      </c>
      <c r="R668" s="1" t="s">
        <v>16</v>
      </c>
      <c r="S668" s="1" t="s">
        <v>93</v>
      </c>
      <c r="T668" s="1" t="s">
        <v>41</v>
      </c>
      <c r="U668" s="1"/>
      <c r="V668" s="1">
        <v>932.71</v>
      </c>
      <c r="W668" s="1">
        <f>IF(Table1[[#This Row],[Claim_Amount]]&lt;0,0,Table1[[#This Row],[Claim_Amount]])</f>
        <v>932.71</v>
      </c>
      <c r="X668" s="1">
        <f>IF(Table1[[#This Row],[Column1]]=0,"",Table1[[#This Row],[Column1]])</f>
        <v>932.71</v>
      </c>
      <c r="Y668" s="1">
        <v>932.71</v>
      </c>
      <c r="Z668" s="1">
        <v>932.71</v>
      </c>
      <c r="AA668">
        <v>832</v>
      </c>
      <c r="AB668" s="1" t="s">
        <v>1091</v>
      </c>
      <c r="AC668" s="1" t="s">
        <v>1093</v>
      </c>
      <c r="AD668">
        <v>9</v>
      </c>
      <c r="AE668" s="3" t="s">
        <v>1097</v>
      </c>
    </row>
    <row r="669" spans="1:31" ht="15.75" customHeight="1" x14ac:dyDescent="0.35">
      <c r="A669" s="1" t="s">
        <v>154</v>
      </c>
      <c r="B669" t="s">
        <v>1083</v>
      </c>
      <c r="C669" t="s">
        <v>1084</v>
      </c>
      <c r="D669" s="1" t="s">
        <v>570</v>
      </c>
      <c r="E669" s="5">
        <v>45034</v>
      </c>
      <c r="F669" s="4" t="str">
        <f>IF(ISNUMBER(Table13[[#This Row],[Claim_Date2]]),"",Table13[[#This Row],[Claim_Date2]])</f>
        <v/>
      </c>
      <c r="G669" s="4" t="s">
        <v>1098</v>
      </c>
      <c r="H669" s="4" t="str">
        <f>LEFT(Table13[[#This Row],[Values Col 1]],3)</f>
        <v/>
      </c>
      <c r="I669" s="4" t="s">
        <v>1098</v>
      </c>
      <c r="J669" s="4" t="str">
        <f>MID(Table13[[#This Row],[Function Col]],5,2)</f>
        <v/>
      </c>
      <c r="K669" s="4" t="s">
        <v>1098</v>
      </c>
      <c r="L669" s="4" t="str">
        <f>RIGHT(Table13[[#This Row],[Function Col]],4)</f>
        <v/>
      </c>
      <c r="M669" s="4" t="s">
        <v>1098</v>
      </c>
      <c r="N669" s="4" t="str">
        <f>IF(Table13[[#This Row],[Function Col5]]="","",_xlfn.CONCAT(Table13[[#This Row],[Day Col]],"/",Table13[[#This Row],[Month Col]],"/",Table13[[#This Row],[Year Col]]))</f>
        <v/>
      </c>
      <c r="O669" s="4" t="s">
        <v>1098</v>
      </c>
      <c r="P669" s="4">
        <f>IF(ISNUMBER(Table13[[#This Row],[Claim_Date2]]),Table13[[#This Row],[Claim_Date2]],Table13[[#This Row],[Function Col32]])</f>
        <v>45034</v>
      </c>
      <c r="Q669" s="4">
        <v>45034</v>
      </c>
      <c r="R669" s="1" t="s">
        <v>85</v>
      </c>
      <c r="S669" s="1" t="s">
        <v>23</v>
      </c>
      <c r="T669" s="1" t="s">
        <v>54</v>
      </c>
      <c r="U669" s="1"/>
      <c r="V669" s="1">
        <v>-52</v>
      </c>
      <c r="W669" s="1">
        <f>IF(Table1[[#This Row],[Claim_Amount]]&lt;0,0,Table1[[#This Row],[Claim_Amount]])</f>
        <v>0</v>
      </c>
      <c r="X669" s="1" t="str">
        <f>IF(Table1[[#This Row],[Column1]]=0,"",Table1[[#This Row],[Column1]])</f>
        <v/>
      </c>
      <c r="Y669" s="1" t="s">
        <v>1098</v>
      </c>
      <c r="Z669" s="1">
        <v>2481</v>
      </c>
      <c r="AA669">
        <v>832</v>
      </c>
      <c r="AB669" s="1" t="s">
        <v>25</v>
      </c>
      <c r="AC669" s="1" t="s">
        <v>26</v>
      </c>
      <c r="AD669">
        <v>9</v>
      </c>
      <c r="AE669" s="3" t="s">
        <v>37</v>
      </c>
    </row>
    <row r="670" spans="1:31" ht="15.75" customHeight="1" x14ac:dyDescent="0.35">
      <c r="A670" s="1" t="s">
        <v>62</v>
      </c>
      <c r="B670" t="s">
        <v>1083</v>
      </c>
      <c r="C670" t="s">
        <v>1084</v>
      </c>
      <c r="D670" s="1" t="s">
        <v>517</v>
      </c>
      <c r="E670" s="5" t="s">
        <v>517</v>
      </c>
      <c r="F670" s="4" t="str">
        <f>IF(ISNUMBER(Table13[[#This Row],[Claim_Date2]]),"",Table13[[#This Row],[Claim_Date2]])</f>
        <v>May 04 2023</v>
      </c>
      <c r="G670" s="4" t="s">
        <v>517</v>
      </c>
      <c r="H670" s="4" t="str">
        <f>LEFT(Table13[[#This Row],[Values Col 1]],3)</f>
        <v>May</v>
      </c>
      <c r="I670" s="4" t="s">
        <v>1110</v>
      </c>
      <c r="J670" s="4" t="str">
        <f>MID(Table13[[#This Row],[Function Col]],5,2)</f>
        <v>04</v>
      </c>
      <c r="K670" s="4" t="s">
        <v>1142</v>
      </c>
      <c r="L670" s="4" t="str">
        <f>RIGHT(Table13[[#This Row],[Function Col]],4)</f>
        <v>2023</v>
      </c>
      <c r="M670" s="4" t="s">
        <v>1146</v>
      </c>
      <c r="N670" s="4" t="str">
        <f>IF(Table13[[#This Row],[Function Col5]]="","",_xlfn.CONCAT(Table13[[#This Row],[Day Col]],"/",Table13[[#This Row],[Month Col]],"/",Table13[[#This Row],[Year Col]]))</f>
        <v>04/May/2023</v>
      </c>
      <c r="O670" s="4" t="s">
        <v>1237</v>
      </c>
      <c r="P670" s="4" t="str">
        <f>IF(ISNUMBER(Table13[[#This Row],[Claim_Date2]]),Table13[[#This Row],[Claim_Date2]],Table13[[#This Row],[Function Col32]])</f>
        <v>04/May/2023</v>
      </c>
      <c r="Q670" s="4">
        <v>45050</v>
      </c>
      <c r="R670" s="1" t="s">
        <v>77</v>
      </c>
      <c r="S670" s="1" t="s">
        <v>53</v>
      </c>
      <c r="T670" s="1" t="s">
        <v>48</v>
      </c>
      <c r="U670" s="1"/>
      <c r="W670">
        <f>IF(Table1[[#This Row],[Claim_Amount]]&lt;0,0,Table1[[#This Row],[Claim_Amount]])</f>
        <v>0</v>
      </c>
      <c r="X670" t="str">
        <f>IF(Table1[[#This Row],[Column1]]=0,"",Table1[[#This Row],[Column1]])</f>
        <v/>
      </c>
      <c r="Y670" t="s">
        <v>1098</v>
      </c>
      <c r="Z670">
        <v>2481</v>
      </c>
      <c r="AA670">
        <v>832</v>
      </c>
      <c r="AB670" s="1" t="s">
        <v>1091</v>
      </c>
      <c r="AC670" s="1" t="s">
        <v>26</v>
      </c>
      <c r="AD670">
        <v>9</v>
      </c>
      <c r="AE670" s="3" t="s">
        <v>65</v>
      </c>
    </row>
    <row r="671" spans="1:31" ht="15.75" customHeight="1" x14ac:dyDescent="0.35">
      <c r="A671" s="1" t="s">
        <v>132</v>
      </c>
      <c r="B671" t="s">
        <v>1083</v>
      </c>
      <c r="C671" s="1" t="s">
        <v>314</v>
      </c>
      <c r="D671" s="1" t="s">
        <v>852</v>
      </c>
      <c r="E671" s="5">
        <v>45213</v>
      </c>
      <c r="F671" s="4" t="str">
        <f>IF(ISNUMBER(Table13[[#This Row],[Claim_Date2]]),"",Table13[[#This Row],[Claim_Date2]])</f>
        <v/>
      </c>
      <c r="G671" s="4" t="s">
        <v>1098</v>
      </c>
      <c r="H671" s="4" t="str">
        <f>LEFT(Table13[[#This Row],[Values Col 1]],3)</f>
        <v/>
      </c>
      <c r="I671" s="4" t="s">
        <v>1098</v>
      </c>
      <c r="J671" s="4" t="str">
        <f>MID(Table13[[#This Row],[Function Col]],5,2)</f>
        <v/>
      </c>
      <c r="K671" s="4" t="s">
        <v>1098</v>
      </c>
      <c r="L671" s="4" t="str">
        <f>RIGHT(Table13[[#This Row],[Function Col]],4)</f>
        <v/>
      </c>
      <c r="M671" s="4" t="s">
        <v>1098</v>
      </c>
      <c r="N671" s="4" t="str">
        <f>IF(Table13[[#This Row],[Function Col5]]="","",_xlfn.CONCAT(Table13[[#This Row],[Day Col]],"/",Table13[[#This Row],[Month Col]],"/",Table13[[#This Row],[Year Col]]))</f>
        <v/>
      </c>
      <c r="O671" s="4" t="s">
        <v>1098</v>
      </c>
      <c r="P671" s="4">
        <f>IF(ISNUMBER(Table13[[#This Row],[Claim_Date2]]),Table13[[#This Row],[Claim_Date2]],Table13[[#This Row],[Function Col32]])</f>
        <v>45213</v>
      </c>
      <c r="Q671" s="4">
        <v>45213</v>
      </c>
      <c r="R671" s="1" t="s">
        <v>16</v>
      </c>
      <c r="S671" s="1" t="s">
        <v>31</v>
      </c>
      <c r="T671" t="s">
        <v>1086</v>
      </c>
      <c r="W671">
        <f>IF(Table1[[#This Row],[Claim_Amount]]&lt;0,0,Table1[[#This Row],[Claim_Amount]])</f>
        <v>0</v>
      </c>
      <c r="X671" t="str">
        <f>IF(Table1[[#This Row],[Column1]]=0,"",Table1[[#This Row],[Column1]])</f>
        <v/>
      </c>
      <c r="Y671" t="s">
        <v>1098</v>
      </c>
      <c r="Z671">
        <v>2481</v>
      </c>
      <c r="AA671">
        <v>832</v>
      </c>
      <c r="AB671" s="1" t="s">
        <v>25</v>
      </c>
      <c r="AC671" s="1" t="s">
        <v>32</v>
      </c>
      <c r="AD671">
        <v>9</v>
      </c>
      <c r="AE671" s="3" t="s">
        <v>65</v>
      </c>
    </row>
    <row r="672" spans="1:31" ht="15.75" customHeight="1" x14ac:dyDescent="0.35">
      <c r="A672" s="1" t="s">
        <v>110</v>
      </c>
      <c r="B672" s="1" t="s">
        <v>647</v>
      </c>
      <c r="C672" t="s">
        <v>1084</v>
      </c>
      <c r="D672" s="1" t="s">
        <v>853</v>
      </c>
      <c r="E672" s="5">
        <v>44932</v>
      </c>
      <c r="F672" s="4" t="str">
        <f>IF(ISNUMBER(Table13[[#This Row],[Claim_Date2]]),"",Table13[[#This Row],[Claim_Date2]])</f>
        <v/>
      </c>
      <c r="G672" s="4" t="s">
        <v>1098</v>
      </c>
      <c r="H672" s="4" t="str">
        <f>LEFT(Table13[[#This Row],[Values Col 1]],3)</f>
        <v/>
      </c>
      <c r="I672" s="4" t="s">
        <v>1098</v>
      </c>
      <c r="J672" s="4" t="str">
        <f>MID(Table13[[#This Row],[Function Col]],5,2)</f>
        <v/>
      </c>
      <c r="K672" s="4" t="s">
        <v>1098</v>
      </c>
      <c r="L672" s="4" t="str">
        <f>RIGHT(Table13[[#This Row],[Function Col]],4)</f>
        <v/>
      </c>
      <c r="M672" s="4" t="s">
        <v>1098</v>
      </c>
      <c r="N672" s="4" t="str">
        <f>IF(Table13[[#This Row],[Function Col5]]="","",_xlfn.CONCAT(Table13[[#This Row],[Day Col]],"/",Table13[[#This Row],[Month Col]],"/",Table13[[#This Row],[Year Col]]))</f>
        <v/>
      </c>
      <c r="O672" s="4" t="s">
        <v>1098</v>
      </c>
      <c r="P672" s="4">
        <f>IF(ISNUMBER(Table13[[#This Row],[Claim_Date2]]),Table13[[#This Row],[Claim_Date2]],Table13[[#This Row],[Function Col32]])</f>
        <v>44932</v>
      </c>
      <c r="Q672" s="4">
        <v>44932</v>
      </c>
      <c r="R672" s="1" t="s">
        <v>92</v>
      </c>
      <c r="S672" s="1" t="s">
        <v>47</v>
      </c>
      <c r="T672" s="1" t="s">
        <v>24</v>
      </c>
      <c r="U672" s="1"/>
      <c r="W672">
        <f>IF(Table1[[#This Row],[Claim_Amount]]&lt;0,0,Table1[[#This Row],[Claim_Amount]])</f>
        <v>0</v>
      </c>
      <c r="X672" t="str">
        <f>IF(Table1[[#This Row],[Column1]]=0,"",Table1[[#This Row],[Column1]])</f>
        <v/>
      </c>
      <c r="Y672" t="s">
        <v>1098</v>
      </c>
      <c r="Z672">
        <v>2481</v>
      </c>
      <c r="AA672">
        <v>832</v>
      </c>
      <c r="AB672" s="1" t="s">
        <v>42</v>
      </c>
      <c r="AC672" s="1" t="s">
        <v>57</v>
      </c>
      <c r="AD672" s="1">
        <v>58</v>
      </c>
      <c r="AE672" s="3" t="s">
        <v>1097</v>
      </c>
    </row>
    <row r="673" spans="1:31" ht="15.75" customHeight="1" x14ac:dyDescent="0.35">
      <c r="A673" s="1" t="s">
        <v>38</v>
      </c>
      <c r="B673" t="s">
        <v>1083</v>
      </c>
      <c r="C673" t="s">
        <v>1084</v>
      </c>
      <c r="D673" s="1" t="s">
        <v>398</v>
      </c>
      <c r="E673" s="5" t="s">
        <v>398</v>
      </c>
      <c r="F673" s="4" t="str">
        <f>IF(ISNUMBER(Table13[[#This Row],[Claim_Date2]]),"",Table13[[#This Row],[Claim_Date2]])</f>
        <v>Dec 23 2023</v>
      </c>
      <c r="G673" s="4" t="s">
        <v>398</v>
      </c>
      <c r="H673" s="4" t="str">
        <f>LEFT(Table13[[#This Row],[Values Col 1]],3)</f>
        <v>Dec</v>
      </c>
      <c r="I673" s="4" t="s">
        <v>1111</v>
      </c>
      <c r="J673" s="4" t="str">
        <f>MID(Table13[[#This Row],[Function Col]],5,2)</f>
        <v>23</v>
      </c>
      <c r="K673" s="4" t="s">
        <v>1143</v>
      </c>
      <c r="L673" s="4" t="str">
        <f>RIGHT(Table13[[#This Row],[Function Col]],4)</f>
        <v>2023</v>
      </c>
      <c r="M673" s="4" t="s">
        <v>1146</v>
      </c>
      <c r="N673" s="4" t="str">
        <f>IF(Table13[[#This Row],[Function Col5]]="","",_xlfn.CONCAT(Table13[[#This Row],[Day Col]],"/",Table13[[#This Row],[Month Col]],"/",Table13[[#This Row],[Year Col]]))</f>
        <v>23/Dec/2023</v>
      </c>
      <c r="O673" s="4" t="s">
        <v>1210</v>
      </c>
      <c r="P673" s="4" t="str">
        <f>IF(ISNUMBER(Table13[[#This Row],[Claim_Date2]]),Table13[[#This Row],[Claim_Date2]],Table13[[#This Row],[Function Col32]])</f>
        <v>23/Dec/2023</v>
      </c>
      <c r="Q673" s="4">
        <v>45283</v>
      </c>
      <c r="R673" s="1" t="s">
        <v>92</v>
      </c>
      <c r="S673" s="1" t="s">
        <v>31</v>
      </c>
      <c r="T673" t="s">
        <v>1086</v>
      </c>
      <c r="V673" s="1">
        <v>333.27</v>
      </c>
      <c r="W673" s="1">
        <f>IF(Table1[[#This Row],[Claim_Amount]]&lt;0,0,Table1[[#This Row],[Claim_Amount]])</f>
        <v>333.27</v>
      </c>
      <c r="X673" s="1">
        <f>IF(Table1[[#This Row],[Column1]]=0,"",Table1[[#This Row],[Column1]])</f>
        <v>333.27</v>
      </c>
      <c r="Y673" s="1">
        <v>333.27</v>
      </c>
      <c r="Z673" s="1">
        <v>333.27</v>
      </c>
      <c r="AA673">
        <v>832</v>
      </c>
      <c r="AB673" s="1" t="s">
        <v>1091</v>
      </c>
      <c r="AC673" s="1" t="s">
        <v>1093</v>
      </c>
      <c r="AD673" s="1">
        <v>31</v>
      </c>
      <c r="AE673" s="3" t="s">
        <v>37</v>
      </c>
    </row>
    <row r="674" spans="1:31" ht="15.75" customHeight="1" x14ac:dyDescent="0.35">
      <c r="A674" s="1" t="s">
        <v>148</v>
      </c>
      <c r="B674" t="s">
        <v>1083</v>
      </c>
      <c r="C674" s="1" t="s">
        <v>479</v>
      </c>
      <c r="D674" s="1" t="s">
        <v>854</v>
      </c>
      <c r="E674" s="5" t="s">
        <v>854</v>
      </c>
      <c r="F674" s="4" t="str">
        <f>IF(ISNUMBER(Table13[[#This Row],[Claim_Date2]]),"",Table13[[#This Row],[Claim_Date2]])</f>
        <v>Nov 10 2023</v>
      </c>
      <c r="G674" s="4" t="s">
        <v>854</v>
      </c>
      <c r="H674" s="4" t="str">
        <f>LEFT(Table13[[#This Row],[Values Col 1]],3)</f>
        <v>Nov</v>
      </c>
      <c r="I674" s="4" t="s">
        <v>1105</v>
      </c>
      <c r="J674" s="4" t="str">
        <f>MID(Table13[[#This Row],[Function Col]],5,2)</f>
        <v>10</v>
      </c>
      <c r="K674" s="4" t="s">
        <v>1128</v>
      </c>
      <c r="L674" s="4" t="str">
        <f>RIGHT(Table13[[#This Row],[Function Col]],4)</f>
        <v>2023</v>
      </c>
      <c r="M674" s="4" t="s">
        <v>1146</v>
      </c>
      <c r="N674" s="4" t="str">
        <f>IF(Table13[[#This Row],[Function Col5]]="","",_xlfn.CONCAT(Table13[[#This Row],[Day Col]],"/",Table13[[#This Row],[Month Col]],"/",Table13[[#This Row],[Year Col]]))</f>
        <v>10/Nov/2023</v>
      </c>
      <c r="O674" s="4" t="s">
        <v>1311</v>
      </c>
      <c r="P674" s="4" t="str">
        <f>IF(ISNUMBER(Table13[[#This Row],[Claim_Date2]]),Table13[[#This Row],[Claim_Date2]],Table13[[#This Row],[Function Col32]])</f>
        <v>10/Nov/2023</v>
      </c>
      <c r="Q674" s="4">
        <v>45240</v>
      </c>
      <c r="R674" s="1" t="s">
        <v>85</v>
      </c>
      <c r="S674" t="s">
        <v>1085</v>
      </c>
      <c r="T674" t="s">
        <v>1086</v>
      </c>
      <c r="V674" s="1">
        <v>925.69</v>
      </c>
      <c r="W674" s="1">
        <f>IF(Table1[[#This Row],[Claim_Amount]]&lt;0,0,Table1[[#This Row],[Claim_Amount]])</f>
        <v>925.69</v>
      </c>
      <c r="X674" s="1">
        <f>IF(Table1[[#This Row],[Column1]]=0,"",Table1[[#This Row],[Column1]])</f>
        <v>925.69</v>
      </c>
      <c r="Y674" s="1">
        <v>925.69</v>
      </c>
      <c r="Z674" s="1">
        <v>925.69</v>
      </c>
      <c r="AA674" s="1">
        <v>2126.88</v>
      </c>
      <c r="AB674" s="1" t="s">
        <v>25</v>
      </c>
      <c r="AC674" s="1" t="s">
        <v>1093</v>
      </c>
      <c r="AD674">
        <v>9</v>
      </c>
      <c r="AE674" s="3" t="s">
        <v>19</v>
      </c>
    </row>
    <row r="675" spans="1:31" ht="15.75" customHeight="1" x14ac:dyDescent="0.35">
      <c r="A675" s="1" t="s">
        <v>58</v>
      </c>
      <c r="B675" t="s">
        <v>1083</v>
      </c>
      <c r="C675" s="1" t="s">
        <v>97</v>
      </c>
      <c r="D675" s="1" t="s">
        <v>855</v>
      </c>
      <c r="E675" s="5">
        <v>45241</v>
      </c>
      <c r="F675" s="4" t="str">
        <f>IF(ISNUMBER(Table13[[#This Row],[Claim_Date2]]),"",Table13[[#This Row],[Claim_Date2]])</f>
        <v/>
      </c>
      <c r="G675" s="4" t="s">
        <v>1098</v>
      </c>
      <c r="H675" s="4" t="str">
        <f>LEFT(Table13[[#This Row],[Values Col 1]],3)</f>
        <v/>
      </c>
      <c r="I675" s="4" t="s">
        <v>1098</v>
      </c>
      <c r="J675" s="4" t="str">
        <f>MID(Table13[[#This Row],[Function Col]],5,2)</f>
        <v/>
      </c>
      <c r="K675" s="4" t="s">
        <v>1098</v>
      </c>
      <c r="L675" s="4" t="str">
        <f>RIGHT(Table13[[#This Row],[Function Col]],4)</f>
        <v/>
      </c>
      <c r="M675" s="4" t="s">
        <v>1098</v>
      </c>
      <c r="N675" s="4" t="str">
        <f>IF(Table13[[#This Row],[Function Col5]]="","",_xlfn.CONCAT(Table13[[#This Row],[Day Col]],"/",Table13[[#This Row],[Month Col]],"/",Table13[[#This Row],[Year Col]]))</f>
        <v/>
      </c>
      <c r="O675" s="4" t="s">
        <v>1098</v>
      </c>
      <c r="P675" s="4">
        <f>IF(ISNUMBER(Table13[[#This Row],[Claim_Date2]]),Table13[[#This Row],[Claim_Date2]],Table13[[#This Row],[Function Col32]])</f>
        <v>45241</v>
      </c>
      <c r="Q675" s="4">
        <v>45241</v>
      </c>
      <c r="R675" s="1" t="s">
        <v>85</v>
      </c>
      <c r="S675" t="s">
        <v>1085</v>
      </c>
      <c r="T675" s="1" t="s">
        <v>41</v>
      </c>
      <c r="U675" s="1"/>
      <c r="W675">
        <f>IF(Table1[[#This Row],[Claim_Amount]]&lt;0,0,Table1[[#This Row],[Claim_Amount]])</f>
        <v>0</v>
      </c>
      <c r="X675" t="str">
        <f>IF(Table1[[#This Row],[Column1]]=0,"",Table1[[#This Row],[Column1]])</f>
        <v/>
      </c>
      <c r="Y675" t="s">
        <v>1098</v>
      </c>
      <c r="Z675">
        <v>2481</v>
      </c>
      <c r="AA675">
        <v>832</v>
      </c>
      <c r="AB675" s="1" t="s">
        <v>25</v>
      </c>
      <c r="AC675" s="1" t="s">
        <v>1093</v>
      </c>
      <c r="AD675">
        <v>9</v>
      </c>
      <c r="AE675" s="3" t="s">
        <v>19</v>
      </c>
    </row>
    <row r="676" spans="1:31" ht="15.75" customHeight="1" x14ac:dyDescent="0.35">
      <c r="A676" s="1" t="s">
        <v>430</v>
      </c>
      <c r="B676" t="s">
        <v>1083</v>
      </c>
      <c r="C676" t="s">
        <v>1084</v>
      </c>
      <c r="D676" s="1" t="s">
        <v>568</v>
      </c>
      <c r="E676" s="5">
        <v>44969</v>
      </c>
      <c r="F676" s="4" t="str">
        <f>IF(ISNUMBER(Table13[[#This Row],[Claim_Date2]]),"",Table13[[#This Row],[Claim_Date2]])</f>
        <v/>
      </c>
      <c r="G676" s="4" t="s">
        <v>1098</v>
      </c>
      <c r="H676" s="4" t="str">
        <f>LEFT(Table13[[#This Row],[Values Col 1]],3)</f>
        <v/>
      </c>
      <c r="I676" s="4" t="s">
        <v>1098</v>
      </c>
      <c r="J676" s="4" t="str">
        <f>MID(Table13[[#This Row],[Function Col]],5,2)</f>
        <v/>
      </c>
      <c r="K676" s="4" t="s">
        <v>1098</v>
      </c>
      <c r="L676" s="4" t="str">
        <f>RIGHT(Table13[[#This Row],[Function Col]],4)</f>
        <v/>
      </c>
      <c r="M676" s="4" t="s">
        <v>1098</v>
      </c>
      <c r="N676" s="4" t="str">
        <f>IF(Table13[[#This Row],[Function Col5]]="","",_xlfn.CONCAT(Table13[[#This Row],[Day Col]],"/",Table13[[#This Row],[Month Col]],"/",Table13[[#This Row],[Year Col]]))</f>
        <v/>
      </c>
      <c r="O676" s="4" t="s">
        <v>1098</v>
      </c>
      <c r="P676" s="4">
        <f>IF(ISNUMBER(Table13[[#This Row],[Claim_Date2]]),Table13[[#This Row],[Claim_Date2]],Table13[[#This Row],[Function Col32]])</f>
        <v>44969</v>
      </c>
      <c r="Q676" s="4">
        <v>44969</v>
      </c>
      <c r="R676" s="1" t="s">
        <v>92</v>
      </c>
      <c r="S676" s="1" t="s">
        <v>47</v>
      </c>
      <c r="T676" s="1" t="s">
        <v>24</v>
      </c>
      <c r="U676" s="1"/>
      <c r="W676">
        <f>IF(Table1[[#This Row],[Claim_Amount]]&lt;0,0,Table1[[#This Row],[Claim_Amount]])</f>
        <v>0</v>
      </c>
      <c r="X676" t="str">
        <f>IF(Table1[[#This Row],[Column1]]=0,"",Table1[[#This Row],[Column1]])</f>
        <v/>
      </c>
      <c r="Y676" t="s">
        <v>1098</v>
      </c>
      <c r="Z676">
        <v>2481</v>
      </c>
      <c r="AA676" s="1">
        <v>3194.73</v>
      </c>
      <c r="AB676" s="1" t="s">
        <v>42</v>
      </c>
      <c r="AC676" s="1" t="s">
        <v>32</v>
      </c>
      <c r="AD676">
        <v>9</v>
      </c>
      <c r="AE676" s="3" t="s">
        <v>19</v>
      </c>
    </row>
    <row r="677" spans="1:31" ht="15.75" customHeight="1" x14ac:dyDescent="0.35">
      <c r="A677" s="1" t="s">
        <v>114</v>
      </c>
      <c r="B677" t="s">
        <v>1083</v>
      </c>
      <c r="C677" s="1" t="s">
        <v>592</v>
      </c>
      <c r="D677" s="1" t="s">
        <v>201</v>
      </c>
      <c r="E677" s="5">
        <v>45216</v>
      </c>
      <c r="F677" s="4" t="str">
        <f>IF(ISNUMBER(Table13[[#This Row],[Claim_Date2]]),"",Table13[[#This Row],[Claim_Date2]])</f>
        <v/>
      </c>
      <c r="G677" s="4" t="s">
        <v>1098</v>
      </c>
      <c r="H677" s="4" t="str">
        <f>LEFT(Table13[[#This Row],[Values Col 1]],3)</f>
        <v/>
      </c>
      <c r="I677" s="4" t="s">
        <v>1098</v>
      </c>
      <c r="J677" s="4" t="str">
        <f>MID(Table13[[#This Row],[Function Col]],5,2)</f>
        <v/>
      </c>
      <c r="K677" s="4" t="s">
        <v>1098</v>
      </c>
      <c r="L677" s="4" t="str">
        <f>RIGHT(Table13[[#This Row],[Function Col]],4)</f>
        <v/>
      </c>
      <c r="M677" s="4" t="s">
        <v>1098</v>
      </c>
      <c r="N677" s="4" t="str">
        <f>IF(Table13[[#This Row],[Function Col5]]="","",_xlfn.CONCAT(Table13[[#This Row],[Day Col]],"/",Table13[[#This Row],[Month Col]],"/",Table13[[#This Row],[Year Col]]))</f>
        <v/>
      </c>
      <c r="O677" s="4" t="s">
        <v>1098</v>
      </c>
      <c r="P677" s="4">
        <f>IF(ISNUMBER(Table13[[#This Row],[Claim_Date2]]),Table13[[#This Row],[Claim_Date2]],Table13[[#This Row],[Function Col32]])</f>
        <v>45216</v>
      </c>
      <c r="Q677" s="4">
        <v>45216</v>
      </c>
      <c r="R677" s="1" t="s">
        <v>16</v>
      </c>
      <c r="S677" s="1" t="s">
        <v>93</v>
      </c>
      <c r="T677" t="s">
        <v>1086</v>
      </c>
      <c r="V677" s="1">
        <v>477.77</v>
      </c>
      <c r="W677" s="1">
        <f>IF(Table1[[#This Row],[Claim_Amount]]&lt;0,0,Table1[[#This Row],[Claim_Amount]])</f>
        <v>477.77</v>
      </c>
      <c r="X677" s="1">
        <f>IF(Table1[[#This Row],[Column1]]=0,"",Table1[[#This Row],[Column1]])</f>
        <v>477.77</v>
      </c>
      <c r="Y677" s="1">
        <v>477.77</v>
      </c>
      <c r="Z677" s="1">
        <v>477.77</v>
      </c>
      <c r="AA677" s="1">
        <v>3845.28</v>
      </c>
      <c r="AB677" s="1" t="s">
        <v>17</v>
      </c>
      <c r="AC677" s="1" t="s">
        <v>32</v>
      </c>
      <c r="AD677" s="1">
        <v>29</v>
      </c>
      <c r="AE677" s="3" t="s">
        <v>65</v>
      </c>
    </row>
    <row r="678" spans="1:31" ht="15.75" customHeight="1" x14ac:dyDescent="0.35">
      <c r="A678" s="1" t="s">
        <v>192</v>
      </c>
      <c r="B678" t="s">
        <v>1083</v>
      </c>
      <c r="C678" s="1" t="s">
        <v>395</v>
      </c>
      <c r="D678" s="1" t="s">
        <v>856</v>
      </c>
      <c r="E678" s="5" t="s">
        <v>856</v>
      </c>
      <c r="F678" s="4" t="str">
        <f>IF(ISNUMBER(Table13[[#This Row],[Claim_Date2]]),"",Table13[[#This Row],[Claim_Date2]])</f>
        <v>Jul 14 2023</v>
      </c>
      <c r="G678" s="4" t="s">
        <v>856</v>
      </c>
      <c r="H678" s="4" t="str">
        <f>LEFT(Table13[[#This Row],[Values Col 1]],3)</f>
        <v>Jul</v>
      </c>
      <c r="I678" s="4" t="s">
        <v>1101</v>
      </c>
      <c r="J678" s="4" t="str">
        <f>MID(Table13[[#This Row],[Function Col]],5,2)</f>
        <v>14</v>
      </c>
      <c r="K678" s="4" t="s">
        <v>1131</v>
      </c>
      <c r="L678" s="4" t="str">
        <f>RIGHT(Table13[[#This Row],[Function Col]],4)</f>
        <v>2023</v>
      </c>
      <c r="M678" s="4" t="s">
        <v>1146</v>
      </c>
      <c r="N678" s="4" t="str">
        <f>IF(Table13[[#This Row],[Function Col5]]="","",_xlfn.CONCAT(Table13[[#This Row],[Day Col]],"/",Table13[[#This Row],[Month Col]],"/",Table13[[#This Row],[Year Col]]))</f>
        <v>14/Jul/2023</v>
      </c>
      <c r="O678" s="4" t="s">
        <v>1312</v>
      </c>
      <c r="P678" s="4" t="str">
        <f>IF(ISNUMBER(Table13[[#This Row],[Claim_Date2]]),Table13[[#This Row],[Claim_Date2]],Table13[[#This Row],[Function Col32]])</f>
        <v>14/Jul/2023</v>
      </c>
      <c r="Q678" s="4">
        <v>45121</v>
      </c>
      <c r="R678" s="1" t="s">
        <v>92</v>
      </c>
      <c r="S678" s="1" t="s">
        <v>93</v>
      </c>
      <c r="T678" s="1" t="s">
        <v>41</v>
      </c>
      <c r="U678" s="1"/>
      <c r="V678" s="1">
        <v>-90</v>
      </c>
      <c r="W678" s="1">
        <f>IF(Table1[[#This Row],[Claim_Amount]]&lt;0,0,Table1[[#This Row],[Claim_Amount]])</f>
        <v>0</v>
      </c>
      <c r="X678" s="1" t="str">
        <f>IF(Table1[[#This Row],[Column1]]=0,"",Table1[[#This Row],[Column1]])</f>
        <v/>
      </c>
      <c r="Y678" s="1" t="s">
        <v>1098</v>
      </c>
      <c r="Z678" s="1">
        <v>2481</v>
      </c>
      <c r="AA678" s="1">
        <v>1168.5</v>
      </c>
      <c r="AB678" s="1" t="s">
        <v>42</v>
      </c>
      <c r="AC678" s="1" t="s">
        <v>18</v>
      </c>
      <c r="AD678">
        <v>9</v>
      </c>
      <c r="AE678" s="3" t="s">
        <v>27</v>
      </c>
    </row>
    <row r="679" spans="1:31" ht="15.75" customHeight="1" x14ac:dyDescent="0.35">
      <c r="A679" s="1" t="s">
        <v>321</v>
      </c>
      <c r="B679" t="s">
        <v>1083</v>
      </c>
      <c r="C679" t="s">
        <v>1084</v>
      </c>
      <c r="D679" s="1" t="s">
        <v>826</v>
      </c>
      <c r="E679" s="5">
        <v>45223</v>
      </c>
      <c r="F679" s="4" t="str">
        <f>IF(ISNUMBER(Table13[[#This Row],[Claim_Date2]]),"",Table13[[#This Row],[Claim_Date2]])</f>
        <v/>
      </c>
      <c r="G679" s="4" t="s">
        <v>1098</v>
      </c>
      <c r="H679" s="4" t="str">
        <f>LEFT(Table13[[#This Row],[Values Col 1]],3)</f>
        <v/>
      </c>
      <c r="I679" s="4" t="s">
        <v>1098</v>
      </c>
      <c r="J679" s="4" t="str">
        <f>MID(Table13[[#This Row],[Function Col]],5,2)</f>
        <v/>
      </c>
      <c r="K679" s="4" t="s">
        <v>1098</v>
      </c>
      <c r="L679" s="4" t="str">
        <f>RIGHT(Table13[[#This Row],[Function Col]],4)</f>
        <v/>
      </c>
      <c r="M679" s="4" t="s">
        <v>1098</v>
      </c>
      <c r="N679" s="4" t="str">
        <f>IF(Table13[[#This Row],[Function Col5]]="","",_xlfn.CONCAT(Table13[[#This Row],[Day Col]],"/",Table13[[#This Row],[Month Col]],"/",Table13[[#This Row],[Year Col]]))</f>
        <v/>
      </c>
      <c r="O679" s="4" t="s">
        <v>1098</v>
      </c>
      <c r="P679" s="4">
        <f>IF(ISNUMBER(Table13[[#This Row],[Claim_Date2]]),Table13[[#This Row],[Claim_Date2]],Table13[[#This Row],[Function Col32]])</f>
        <v>45223</v>
      </c>
      <c r="Q679" s="4">
        <v>45223</v>
      </c>
      <c r="R679" s="1" t="s">
        <v>85</v>
      </c>
      <c r="S679" t="s">
        <v>1085</v>
      </c>
      <c r="T679" s="1" t="s">
        <v>54</v>
      </c>
      <c r="U679" s="1"/>
      <c r="W679">
        <f>IF(Table1[[#This Row],[Claim_Amount]]&lt;0,0,Table1[[#This Row],[Claim_Amount]])</f>
        <v>0</v>
      </c>
      <c r="X679" t="str">
        <f>IF(Table1[[#This Row],[Column1]]=0,"",Table1[[#This Row],[Column1]])</f>
        <v/>
      </c>
      <c r="Y679" t="s">
        <v>1098</v>
      </c>
      <c r="Z679">
        <v>2481</v>
      </c>
      <c r="AA679">
        <v>832</v>
      </c>
      <c r="AB679" s="1" t="s">
        <v>25</v>
      </c>
      <c r="AC679" s="1" t="s">
        <v>18</v>
      </c>
      <c r="AD679">
        <v>9</v>
      </c>
      <c r="AE679" s="3" t="s">
        <v>65</v>
      </c>
    </row>
    <row r="680" spans="1:31" ht="15.75" customHeight="1" x14ac:dyDescent="0.35">
      <c r="A680" s="1" t="s">
        <v>321</v>
      </c>
      <c r="B680" t="s">
        <v>1083</v>
      </c>
      <c r="C680" t="s">
        <v>1084</v>
      </c>
      <c r="D680" s="1" t="s">
        <v>370</v>
      </c>
      <c r="E680" s="5" t="s">
        <v>370</v>
      </c>
      <c r="F680" s="4" t="str">
        <f>IF(ISNUMBER(Table13[[#This Row],[Claim_Date2]]),"",Table13[[#This Row],[Claim_Date2]])</f>
        <v>Dec 25 2023</v>
      </c>
      <c r="G680" s="4" t="s">
        <v>370</v>
      </c>
      <c r="H680" s="4" t="str">
        <f>LEFT(Table13[[#This Row],[Values Col 1]],3)</f>
        <v>Dec</v>
      </c>
      <c r="I680" s="4" t="s">
        <v>1111</v>
      </c>
      <c r="J680" s="4" t="str">
        <f>MID(Table13[[#This Row],[Function Col]],5,2)</f>
        <v>25</v>
      </c>
      <c r="K680" s="4" t="s">
        <v>1123</v>
      </c>
      <c r="L680" s="4" t="str">
        <f>RIGHT(Table13[[#This Row],[Function Col]],4)</f>
        <v>2023</v>
      </c>
      <c r="M680" s="4" t="s">
        <v>1146</v>
      </c>
      <c r="N680" s="4" t="str">
        <f>IF(Table13[[#This Row],[Function Col5]]="","",_xlfn.CONCAT(Table13[[#This Row],[Day Col]],"/",Table13[[#This Row],[Month Col]],"/",Table13[[#This Row],[Year Col]]))</f>
        <v>25/Dec/2023</v>
      </c>
      <c r="O680" s="4" t="s">
        <v>1203</v>
      </c>
      <c r="P680" s="4" t="str">
        <f>IF(ISNUMBER(Table13[[#This Row],[Claim_Date2]]),Table13[[#This Row],[Claim_Date2]],Table13[[#This Row],[Function Col32]])</f>
        <v>25/Dec/2023</v>
      </c>
      <c r="Q680" s="4">
        <v>45285</v>
      </c>
      <c r="R680" s="1" t="s">
        <v>30</v>
      </c>
      <c r="S680" t="s">
        <v>1085</v>
      </c>
      <c r="T680" s="1" t="s">
        <v>41</v>
      </c>
      <c r="U680" s="1"/>
      <c r="W680">
        <f>IF(Table1[[#This Row],[Claim_Amount]]&lt;0,0,Table1[[#This Row],[Claim_Amount]])</f>
        <v>0</v>
      </c>
      <c r="X680" t="str">
        <f>IF(Table1[[#This Row],[Column1]]=0,"",Table1[[#This Row],[Column1]])</f>
        <v/>
      </c>
      <c r="Y680" t="s">
        <v>1098</v>
      </c>
      <c r="Z680">
        <v>2481</v>
      </c>
      <c r="AA680">
        <v>832</v>
      </c>
      <c r="AB680" s="1" t="s">
        <v>25</v>
      </c>
      <c r="AC680" s="1" t="s">
        <v>26</v>
      </c>
      <c r="AD680">
        <v>9</v>
      </c>
      <c r="AE680" s="3" t="s">
        <v>65</v>
      </c>
    </row>
    <row r="681" spans="1:31" ht="15.75" customHeight="1" x14ac:dyDescent="0.35">
      <c r="A681" s="1" t="s">
        <v>285</v>
      </c>
      <c r="B681" t="s">
        <v>1083</v>
      </c>
      <c r="C681" t="s">
        <v>1084</v>
      </c>
      <c r="D681" s="1" t="s">
        <v>730</v>
      </c>
      <c r="E681" s="5" t="s">
        <v>730</v>
      </c>
      <c r="F681" s="4" t="str">
        <f>IF(ISNUMBER(Table13[[#This Row],[Claim_Date2]]),"",Table13[[#This Row],[Claim_Date2]])</f>
        <v>Jul 13 2023</v>
      </c>
      <c r="G681" s="4" t="s">
        <v>730</v>
      </c>
      <c r="H681" s="4" t="str">
        <f>LEFT(Table13[[#This Row],[Values Col 1]],3)</f>
        <v>Jul</v>
      </c>
      <c r="I681" s="4" t="s">
        <v>1101</v>
      </c>
      <c r="J681" s="4" t="str">
        <f>MID(Table13[[#This Row],[Function Col]],5,2)</f>
        <v>13</v>
      </c>
      <c r="K681" s="4" t="s">
        <v>1114</v>
      </c>
      <c r="L681" s="4" t="str">
        <f>RIGHT(Table13[[#This Row],[Function Col]],4)</f>
        <v>2023</v>
      </c>
      <c r="M681" s="4" t="s">
        <v>1146</v>
      </c>
      <c r="N681" s="4" t="str">
        <f>IF(Table13[[#This Row],[Function Col5]]="","",_xlfn.CONCAT(Table13[[#This Row],[Day Col]],"/",Table13[[#This Row],[Month Col]],"/",Table13[[#This Row],[Year Col]]))</f>
        <v>13/Jul/2023</v>
      </c>
      <c r="O681" s="4" t="s">
        <v>1283</v>
      </c>
      <c r="P681" s="4" t="str">
        <f>IF(ISNUMBER(Table13[[#This Row],[Claim_Date2]]),Table13[[#This Row],[Claim_Date2]],Table13[[#This Row],[Function Col32]])</f>
        <v>13/Jul/2023</v>
      </c>
      <c r="Q681" s="4">
        <v>45120</v>
      </c>
      <c r="R681" s="1" t="s">
        <v>30</v>
      </c>
      <c r="S681" s="1" t="s">
        <v>23</v>
      </c>
      <c r="T681" s="1" t="s">
        <v>41</v>
      </c>
      <c r="U681" s="1"/>
      <c r="W681">
        <f>IF(Table1[[#This Row],[Claim_Amount]]&lt;0,0,Table1[[#This Row],[Claim_Amount]])</f>
        <v>0</v>
      </c>
      <c r="X681" t="str">
        <f>IF(Table1[[#This Row],[Column1]]=0,"",Table1[[#This Row],[Column1]])</f>
        <v/>
      </c>
      <c r="Y681" t="s">
        <v>1098</v>
      </c>
      <c r="Z681">
        <v>2481</v>
      </c>
      <c r="AA681" s="1">
        <v>4353.18</v>
      </c>
      <c r="AB681" s="1" t="s">
        <v>17</v>
      </c>
      <c r="AC681" s="1" t="s">
        <v>1093</v>
      </c>
      <c r="AD681">
        <v>9</v>
      </c>
      <c r="AE681" s="3" t="s">
        <v>27</v>
      </c>
    </row>
    <row r="682" spans="1:31" ht="15.75" customHeight="1" x14ac:dyDescent="0.35">
      <c r="A682" s="1" t="s">
        <v>43</v>
      </c>
      <c r="B682" s="1" t="s">
        <v>351</v>
      </c>
      <c r="C682" t="s">
        <v>1084</v>
      </c>
      <c r="D682" s="1" t="s">
        <v>34</v>
      </c>
      <c r="E682" s="5">
        <v>45010</v>
      </c>
      <c r="F682" s="4" t="str">
        <f>IF(ISNUMBER(Table13[[#This Row],[Claim_Date2]]),"",Table13[[#This Row],[Claim_Date2]])</f>
        <v/>
      </c>
      <c r="G682" s="4" t="s">
        <v>1098</v>
      </c>
      <c r="H682" s="4" t="str">
        <f>LEFT(Table13[[#This Row],[Values Col 1]],3)</f>
        <v/>
      </c>
      <c r="I682" s="4" t="s">
        <v>1098</v>
      </c>
      <c r="J682" s="4" t="str">
        <f>MID(Table13[[#This Row],[Function Col]],5,2)</f>
        <v/>
      </c>
      <c r="K682" s="4" t="s">
        <v>1098</v>
      </c>
      <c r="L682" s="4" t="str">
        <f>RIGHT(Table13[[#This Row],[Function Col]],4)</f>
        <v/>
      </c>
      <c r="M682" s="4" t="s">
        <v>1098</v>
      </c>
      <c r="N682" s="4" t="str">
        <f>IF(Table13[[#This Row],[Function Col5]]="","",_xlfn.CONCAT(Table13[[#This Row],[Day Col]],"/",Table13[[#This Row],[Month Col]],"/",Table13[[#This Row],[Year Col]]))</f>
        <v/>
      </c>
      <c r="O682" s="4" t="s">
        <v>1098</v>
      </c>
      <c r="P682" s="4">
        <f>IF(ISNUMBER(Table13[[#This Row],[Claim_Date2]]),Table13[[#This Row],[Claim_Date2]],Table13[[#This Row],[Function Col32]])</f>
        <v>45010</v>
      </c>
      <c r="Q682" s="4">
        <v>45010</v>
      </c>
      <c r="R682" s="1" t="s">
        <v>85</v>
      </c>
      <c r="S682" s="1" t="s">
        <v>23</v>
      </c>
      <c r="T682" s="1" t="s">
        <v>48</v>
      </c>
      <c r="U682" s="1"/>
      <c r="V682" s="1">
        <v>-126</v>
      </c>
      <c r="W682" s="1">
        <f>IF(Table1[[#This Row],[Claim_Amount]]&lt;0,0,Table1[[#This Row],[Claim_Amount]])</f>
        <v>0</v>
      </c>
      <c r="X682" s="1" t="str">
        <f>IF(Table1[[#This Row],[Column1]]=0,"",Table1[[#This Row],[Column1]])</f>
        <v/>
      </c>
      <c r="Y682" s="1" t="s">
        <v>1098</v>
      </c>
      <c r="Z682" s="1">
        <v>2481</v>
      </c>
      <c r="AA682">
        <v>832</v>
      </c>
      <c r="AB682" s="1" t="s">
        <v>17</v>
      </c>
      <c r="AC682" s="1" t="s">
        <v>32</v>
      </c>
      <c r="AD682">
        <v>9</v>
      </c>
      <c r="AE682" s="3" t="s">
        <v>1097</v>
      </c>
    </row>
    <row r="683" spans="1:31" ht="15.75" customHeight="1" x14ac:dyDescent="0.35">
      <c r="A683" s="1" t="s">
        <v>114</v>
      </c>
      <c r="B683" t="s">
        <v>1083</v>
      </c>
      <c r="C683" t="s">
        <v>1084</v>
      </c>
      <c r="D683" s="1" t="s">
        <v>857</v>
      </c>
      <c r="E683" s="5">
        <v>44947</v>
      </c>
      <c r="F683" s="4" t="str">
        <f>IF(ISNUMBER(Table13[[#This Row],[Claim_Date2]]),"",Table13[[#This Row],[Claim_Date2]])</f>
        <v/>
      </c>
      <c r="G683" s="4" t="s">
        <v>1098</v>
      </c>
      <c r="H683" s="4" t="str">
        <f>LEFT(Table13[[#This Row],[Values Col 1]],3)</f>
        <v/>
      </c>
      <c r="I683" s="4" t="s">
        <v>1098</v>
      </c>
      <c r="J683" s="4" t="str">
        <f>MID(Table13[[#This Row],[Function Col]],5,2)</f>
        <v/>
      </c>
      <c r="K683" s="4" t="s">
        <v>1098</v>
      </c>
      <c r="L683" s="4" t="str">
        <f>RIGHT(Table13[[#This Row],[Function Col]],4)</f>
        <v/>
      </c>
      <c r="M683" s="4" t="s">
        <v>1098</v>
      </c>
      <c r="N683" s="4" t="str">
        <f>IF(Table13[[#This Row],[Function Col5]]="","",_xlfn.CONCAT(Table13[[#This Row],[Day Col]],"/",Table13[[#This Row],[Month Col]],"/",Table13[[#This Row],[Year Col]]))</f>
        <v/>
      </c>
      <c r="O683" s="4" t="s">
        <v>1098</v>
      </c>
      <c r="P683" s="4">
        <f>IF(ISNUMBER(Table13[[#This Row],[Claim_Date2]]),Table13[[#This Row],[Claim_Date2]],Table13[[#This Row],[Function Col32]])</f>
        <v>44947</v>
      </c>
      <c r="Q683" s="4">
        <v>44947</v>
      </c>
      <c r="R683" s="1" t="s">
        <v>77</v>
      </c>
      <c r="S683" s="1" t="s">
        <v>53</v>
      </c>
      <c r="T683" s="1" t="s">
        <v>41</v>
      </c>
      <c r="U683" s="1"/>
      <c r="V683" s="1">
        <v>4772.21</v>
      </c>
      <c r="W683" s="1">
        <f>IF(Table1[[#This Row],[Claim_Amount]]&lt;0,0,Table1[[#This Row],[Claim_Amount]])</f>
        <v>4772.21</v>
      </c>
      <c r="X683" s="1">
        <f>IF(Table1[[#This Row],[Column1]]=0,"",Table1[[#This Row],[Column1]])</f>
        <v>4772.21</v>
      </c>
      <c r="Y683" s="1">
        <v>4772.21</v>
      </c>
      <c r="Z683" s="1">
        <v>4772.21</v>
      </c>
      <c r="AA683" s="1">
        <v>861.93</v>
      </c>
      <c r="AB683" s="1" t="s">
        <v>42</v>
      </c>
      <c r="AC683" s="1" t="s">
        <v>57</v>
      </c>
      <c r="AD683">
        <v>9</v>
      </c>
      <c r="AE683" s="3" t="s">
        <v>65</v>
      </c>
    </row>
    <row r="684" spans="1:31" ht="15.75" customHeight="1" x14ac:dyDescent="0.35">
      <c r="A684" s="1" t="s">
        <v>209</v>
      </c>
      <c r="B684" s="1" t="s">
        <v>858</v>
      </c>
      <c r="C684" t="s">
        <v>1084</v>
      </c>
      <c r="D684" s="1" t="s">
        <v>859</v>
      </c>
      <c r="E684" s="5">
        <v>44954</v>
      </c>
      <c r="F684" s="4" t="str">
        <f>IF(ISNUMBER(Table13[[#This Row],[Claim_Date2]]),"",Table13[[#This Row],[Claim_Date2]])</f>
        <v/>
      </c>
      <c r="G684" s="4" t="s">
        <v>1098</v>
      </c>
      <c r="H684" s="4" t="str">
        <f>LEFT(Table13[[#This Row],[Values Col 1]],3)</f>
        <v/>
      </c>
      <c r="I684" s="4" t="s">
        <v>1098</v>
      </c>
      <c r="J684" s="4" t="str">
        <f>MID(Table13[[#This Row],[Function Col]],5,2)</f>
        <v/>
      </c>
      <c r="K684" s="4" t="s">
        <v>1098</v>
      </c>
      <c r="L684" s="4" t="str">
        <f>RIGHT(Table13[[#This Row],[Function Col]],4)</f>
        <v/>
      </c>
      <c r="M684" s="4" t="s">
        <v>1098</v>
      </c>
      <c r="N684" s="4" t="str">
        <f>IF(Table13[[#This Row],[Function Col5]]="","",_xlfn.CONCAT(Table13[[#This Row],[Day Col]],"/",Table13[[#This Row],[Month Col]],"/",Table13[[#This Row],[Year Col]]))</f>
        <v/>
      </c>
      <c r="O684" s="4" t="s">
        <v>1098</v>
      </c>
      <c r="P684" s="4">
        <f>IF(ISNUMBER(Table13[[#This Row],[Claim_Date2]]),Table13[[#This Row],[Claim_Date2]],Table13[[#This Row],[Function Col32]])</f>
        <v>44954</v>
      </c>
      <c r="Q684" s="4">
        <v>44954</v>
      </c>
      <c r="R684" s="1" t="s">
        <v>85</v>
      </c>
      <c r="S684" s="1" t="s">
        <v>31</v>
      </c>
      <c r="T684" s="1" t="s">
        <v>48</v>
      </c>
      <c r="U684" s="1"/>
      <c r="V684" s="1">
        <v>2010.17</v>
      </c>
      <c r="W684" s="1">
        <f>IF(Table1[[#This Row],[Claim_Amount]]&lt;0,0,Table1[[#This Row],[Claim_Amount]])</f>
        <v>2010.17</v>
      </c>
      <c r="X684" s="1">
        <f>IF(Table1[[#This Row],[Column1]]=0,"",Table1[[#This Row],[Column1]])</f>
        <v>2010.17</v>
      </c>
      <c r="Y684" s="1">
        <v>2010.17</v>
      </c>
      <c r="Z684" s="1">
        <v>2010.17</v>
      </c>
      <c r="AA684" s="1">
        <v>3310.11</v>
      </c>
      <c r="AB684" s="1" t="s">
        <v>17</v>
      </c>
      <c r="AC684" s="1" t="s">
        <v>32</v>
      </c>
      <c r="AD684" s="1">
        <v>19</v>
      </c>
      <c r="AE684" s="3" t="s">
        <v>65</v>
      </c>
    </row>
    <row r="685" spans="1:31" ht="15.75" customHeight="1" x14ac:dyDescent="0.35">
      <c r="A685" s="1" t="s">
        <v>170</v>
      </c>
      <c r="B685" t="s">
        <v>1083</v>
      </c>
      <c r="C685" s="1" t="s">
        <v>816</v>
      </c>
      <c r="D685" s="1" t="s">
        <v>860</v>
      </c>
      <c r="E685" s="5">
        <v>45277</v>
      </c>
      <c r="F685" s="4" t="str">
        <f>IF(ISNUMBER(Table13[[#This Row],[Claim_Date2]]),"",Table13[[#This Row],[Claim_Date2]])</f>
        <v/>
      </c>
      <c r="G685" s="4" t="s">
        <v>1098</v>
      </c>
      <c r="H685" s="4" t="str">
        <f>LEFT(Table13[[#This Row],[Values Col 1]],3)</f>
        <v/>
      </c>
      <c r="I685" s="4" t="s">
        <v>1098</v>
      </c>
      <c r="J685" s="4" t="str">
        <f>MID(Table13[[#This Row],[Function Col]],5,2)</f>
        <v/>
      </c>
      <c r="K685" s="4" t="s">
        <v>1098</v>
      </c>
      <c r="L685" s="4" t="str">
        <f>RIGHT(Table13[[#This Row],[Function Col]],4)</f>
        <v/>
      </c>
      <c r="M685" s="4" t="s">
        <v>1098</v>
      </c>
      <c r="N685" s="4" t="str">
        <f>IF(Table13[[#This Row],[Function Col5]]="","",_xlfn.CONCAT(Table13[[#This Row],[Day Col]],"/",Table13[[#This Row],[Month Col]],"/",Table13[[#This Row],[Year Col]]))</f>
        <v/>
      </c>
      <c r="O685" s="4" t="s">
        <v>1098</v>
      </c>
      <c r="P685" s="4">
        <f>IF(ISNUMBER(Table13[[#This Row],[Claim_Date2]]),Table13[[#This Row],[Claim_Date2]],Table13[[#This Row],[Function Col32]])</f>
        <v>45277</v>
      </c>
      <c r="Q685" s="4">
        <v>45277</v>
      </c>
      <c r="R685" s="1" t="s">
        <v>16</v>
      </c>
      <c r="S685" s="1" t="s">
        <v>53</v>
      </c>
      <c r="T685" s="1" t="s">
        <v>24</v>
      </c>
      <c r="U685" s="1"/>
      <c r="V685" s="1">
        <v>-130</v>
      </c>
      <c r="W685" s="1">
        <f>IF(Table1[[#This Row],[Claim_Amount]]&lt;0,0,Table1[[#This Row],[Claim_Amount]])</f>
        <v>0</v>
      </c>
      <c r="X685" s="1" t="str">
        <f>IF(Table1[[#This Row],[Column1]]=0,"",Table1[[#This Row],[Column1]])</f>
        <v/>
      </c>
      <c r="Y685" s="1" t="s">
        <v>1098</v>
      </c>
      <c r="Z685" s="1">
        <v>2481</v>
      </c>
      <c r="AA685">
        <v>832</v>
      </c>
      <c r="AB685" s="1" t="s">
        <v>25</v>
      </c>
      <c r="AC685" s="1" t="s">
        <v>1093</v>
      </c>
      <c r="AD685" s="1">
        <v>45</v>
      </c>
      <c r="AE685" s="3" t="s">
        <v>19</v>
      </c>
    </row>
    <row r="686" spans="1:31" ht="15.75" customHeight="1" x14ac:dyDescent="0.35">
      <c r="A686" s="1" t="s">
        <v>33</v>
      </c>
      <c r="B686" t="s">
        <v>1083</v>
      </c>
      <c r="C686" s="1" t="s">
        <v>245</v>
      </c>
      <c r="D686" s="1" t="s">
        <v>861</v>
      </c>
      <c r="E686" s="5" t="s">
        <v>861</v>
      </c>
      <c r="F686" s="4" t="str">
        <f>IF(ISNUMBER(Table13[[#This Row],[Claim_Date2]]),"",Table13[[#This Row],[Claim_Date2]])</f>
        <v>May 25 2023</v>
      </c>
      <c r="G686" s="4" t="s">
        <v>861</v>
      </c>
      <c r="H686" s="4" t="str">
        <f>LEFT(Table13[[#This Row],[Values Col 1]],3)</f>
        <v>May</v>
      </c>
      <c r="I686" s="4" t="s">
        <v>1110</v>
      </c>
      <c r="J686" s="4" t="str">
        <f>MID(Table13[[#This Row],[Function Col]],5,2)</f>
        <v>25</v>
      </c>
      <c r="K686" s="4" t="s">
        <v>1123</v>
      </c>
      <c r="L686" s="4" t="str">
        <f>RIGHT(Table13[[#This Row],[Function Col]],4)</f>
        <v>2023</v>
      </c>
      <c r="M686" s="4" t="s">
        <v>1146</v>
      </c>
      <c r="N686" s="4" t="str">
        <f>IF(Table13[[#This Row],[Function Col5]]="","",_xlfn.CONCAT(Table13[[#This Row],[Day Col]],"/",Table13[[#This Row],[Month Col]],"/",Table13[[#This Row],[Year Col]]))</f>
        <v>25/May/2023</v>
      </c>
      <c r="O686" s="4" t="s">
        <v>1313</v>
      </c>
      <c r="P686" s="4" t="str">
        <f>IF(ISNUMBER(Table13[[#This Row],[Claim_Date2]]),Table13[[#This Row],[Claim_Date2]],Table13[[#This Row],[Function Col32]])</f>
        <v>25/May/2023</v>
      </c>
      <c r="Q686" s="4">
        <v>45071</v>
      </c>
      <c r="R686" s="1" t="s">
        <v>16</v>
      </c>
      <c r="S686" s="1" t="s">
        <v>53</v>
      </c>
      <c r="T686" s="1" t="s">
        <v>54</v>
      </c>
      <c r="U686" s="1"/>
      <c r="W686">
        <f>IF(Table1[[#This Row],[Claim_Amount]]&lt;0,0,Table1[[#This Row],[Claim_Amount]])</f>
        <v>0</v>
      </c>
      <c r="X686" t="str">
        <f>IF(Table1[[#This Row],[Column1]]=0,"",Table1[[#This Row],[Column1]])</f>
        <v/>
      </c>
      <c r="Y686" t="s">
        <v>1098</v>
      </c>
      <c r="Z686">
        <v>2481</v>
      </c>
      <c r="AA686">
        <v>832</v>
      </c>
      <c r="AB686" s="1" t="s">
        <v>1091</v>
      </c>
      <c r="AC686" s="1" t="s">
        <v>26</v>
      </c>
      <c r="AD686">
        <v>9</v>
      </c>
      <c r="AE686" s="3" t="s">
        <v>65</v>
      </c>
    </row>
    <row r="687" spans="1:31" ht="15.75" customHeight="1" x14ac:dyDescent="0.35">
      <c r="A687" s="1" t="s">
        <v>202</v>
      </c>
      <c r="B687" t="s">
        <v>1083</v>
      </c>
      <c r="C687" t="s">
        <v>1084</v>
      </c>
      <c r="D687" s="1" t="s">
        <v>862</v>
      </c>
      <c r="E687" s="5" t="s">
        <v>862</v>
      </c>
      <c r="F687" s="4" t="str">
        <f>IF(ISNUMBER(Table13[[#This Row],[Claim_Date2]]),"",Table13[[#This Row],[Claim_Date2]])</f>
        <v>Nov 09 2023</v>
      </c>
      <c r="G687" s="4" t="s">
        <v>862</v>
      </c>
      <c r="H687" s="4" t="str">
        <f>LEFT(Table13[[#This Row],[Values Col 1]],3)</f>
        <v>Nov</v>
      </c>
      <c r="I687" s="4" t="s">
        <v>1105</v>
      </c>
      <c r="J687" s="4" t="str">
        <f>MID(Table13[[#This Row],[Function Col]],5,2)</f>
        <v>09</v>
      </c>
      <c r="K687" s="4" t="s">
        <v>1127</v>
      </c>
      <c r="L687" s="4" t="str">
        <f>RIGHT(Table13[[#This Row],[Function Col]],4)</f>
        <v>2023</v>
      </c>
      <c r="M687" s="4" t="s">
        <v>1146</v>
      </c>
      <c r="N687" s="4" t="str">
        <f>IF(Table13[[#This Row],[Function Col5]]="","",_xlfn.CONCAT(Table13[[#This Row],[Day Col]],"/",Table13[[#This Row],[Month Col]],"/",Table13[[#This Row],[Year Col]]))</f>
        <v>09/Nov/2023</v>
      </c>
      <c r="O687" s="4" t="s">
        <v>1314</v>
      </c>
      <c r="P687" s="4" t="str">
        <f>IF(ISNUMBER(Table13[[#This Row],[Claim_Date2]]),Table13[[#This Row],[Claim_Date2]],Table13[[#This Row],[Function Col32]])</f>
        <v>09/Nov/2023</v>
      </c>
      <c r="Q687" s="4">
        <v>45239</v>
      </c>
      <c r="R687" s="1" t="s">
        <v>85</v>
      </c>
      <c r="S687" s="1" t="s">
        <v>53</v>
      </c>
      <c r="T687" s="1" t="s">
        <v>61</v>
      </c>
      <c r="U687" s="1"/>
      <c r="V687" s="1">
        <v>-45</v>
      </c>
      <c r="W687" s="1">
        <f>IF(Table1[[#This Row],[Claim_Amount]]&lt;0,0,Table1[[#This Row],[Claim_Amount]])</f>
        <v>0</v>
      </c>
      <c r="X687" s="1" t="str">
        <f>IF(Table1[[#This Row],[Column1]]=0,"",Table1[[#This Row],[Column1]])</f>
        <v/>
      </c>
      <c r="Y687" s="1" t="s">
        <v>1098</v>
      </c>
      <c r="Z687" s="1">
        <v>2481</v>
      </c>
      <c r="AA687" s="1">
        <v>980.45</v>
      </c>
      <c r="AB687" s="1" t="s">
        <v>42</v>
      </c>
      <c r="AC687" s="1" t="s">
        <v>1093</v>
      </c>
      <c r="AD687">
        <v>9</v>
      </c>
      <c r="AE687" s="3" t="s">
        <v>37</v>
      </c>
    </row>
    <row r="688" spans="1:31" ht="15.75" customHeight="1" x14ac:dyDescent="0.35">
      <c r="A688" s="1" t="s">
        <v>43</v>
      </c>
      <c r="B688" t="s">
        <v>1083</v>
      </c>
      <c r="C688" t="s">
        <v>1084</v>
      </c>
      <c r="D688" s="1" t="s">
        <v>527</v>
      </c>
      <c r="E688" s="5">
        <v>45125</v>
      </c>
      <c r="F688" s="4" t="str">
        <f>IF(ISNUMBER(Table13[[#This Row],[Claim_Date2]]),"",Table13[[#This Row],[Claim_Date2]])</f>
        <v/>
      </c>
      <c r="G688" s="4" t="s">
        <v>1098</v>
      </c>
      <c r="H688" s="4" t="str">
        <f>LEFT(Table13[[#This Row],[Values Col 1]],3)</f>
        <v/>
      </c>
      <c r="I688" s="4" t="s">
        <v>1098</v>
      </c>
      <c r="J688" s="4" t="str">
        <f>MID(Table13[[#This Row],[Function Col]],5,2)</f>
        <v/>
      </c>
      <c r="K688" s="4" t="s">
        <v>1098</v>
      </c>
      <c r="L688" s="4" t="str">
        <f>RIGHT(Table13[[#This Row],[Function Col]],4)</f>
        <v/>
      </c>
      <c r="M688" s="4" t="s">
        <v>1098</v>
      </c>
      <c r="N688" s="4" t="str">
        <f>IF(Table13[[#This Row],[Function Col5]]="","",_xlfn.CONCAT(Table13[[#This Row],[Day Col]],"/",Table13[[#This Row],[Month Col]],"/",Table13[[#This Row],[Year Col]]))</f>
        <v/>
      </c>
      <c r="O688" s="4" t="s">
        <v>1098</v>
      </c>
      <c r="P688" s="4">
        <f>IF(ISNUMBER(Table13[[#This Row],[Claim_Date2]]),Table13[[#This Row],[Claim_Date2]],Table13[[#This Row],[Function Col32]])</f>
        <v>45125</v>
      </c>
      <c r="Q688" s="4">
        <v>45125</v>
      </c>
      <c r="R688" s="1" t="s">
        <v>16</v>
      </c>
      <c r="S688" s="1" t="s">
        <v>31</v>
      </c>
      <c r="T688" s="1" t="s">
        <v>48</v>
      </c>
      <c r="U688" s="1"/>
      <c r="V688" s="1">
        <v>938.61</v>
      </c>
      <c r="W688" s="1">
        <f>IF(Table1[[#This Row],[Claim_Amount]]&lt;0,0,Table1[[#This Row],[Claim_Amount]])</f>
        <v>938.61</v>
      </c>
      <c r="X688" s="1">
        <f>IF(Table1[[#This Row],[Column1]]=0,"",Table1[[#This Row],[Column1]])</f>
        <v>938.61</v>
      </c>
      <c r="Y688" s="1">
        <v>938.61</v>
      </c>
      <c r="Z688" s="1">
        <v>938.61</v>
      </c>
      <c r="AA688" s="1">
        <v>2351.37</v>
      </c>
      <c r="AB688" s="1" t="s">
        <v>42</v>
      </c>
      <c r="AC688" s="1" t="s">
        <v>26</v>
      </c>
      <c r="AD688">
        <v>9</v>
      </c>
      <c r="AE688" s="3" t="s">
        <v>19</v>
      </c>
    </row>
    <row r="689" spans="1:31" ht="15.75" customHeight="1" x14ac:dyDescent="0.35">
      <c r="A689" s="1" t="s">
        <v>132</v>
      </c>
      <c r="B689" s="1" t="s">
        <v>299</v>
      </c>
      <c r="C689" t="s">
        <v>1084</v>
      </c>
      <c r="D689" s="1" t="s">
        <v>143</v>
      </c>
      <c r="E689" s="5">
        <v>45159</v>
      </c>
      <c r="F689" s="4" t="str">
        <f>IF(ISNUMBER(Table13[[#This Row],[Claim_Date2]]),"",Table13[[#This Row],[Claim_Date2]])</f>
        <v/>
      </c>
      <c r="G689" s="4" t="s">
        <v>1098</v>
      </c>
      <c r="H689" s="4" t="str">
        <f>LEFT(Table13[[#This Row],[Values Col 1]],3)</f>
        <v/>
      </c>
      <c r="I689" s="4" t="s">
        <v>1098</v>
      </c>
      <c r="J689" s="4" t="str">
        <f>MID(Table13[[#This Row],[Function Col]],5,2)</f>
        <v/>
      </c>
      <c r="K689" s="4" t="s">
        <v>1098</v>
      </c>
      <c r="L689" s="4" t="str">
        <f>RIGHT(Table13[[#This Row],[Function Col]],4)</f>
        <v/>
      </c>
      <c r="M689" s="4" t="s">
        <v>1098</v>
      </c>
      <c r="N689" s="4" t="str">
        <f>IF(Table13[[#This Row],[Function Col5]]="","",_xlfn.CONCAT(Table13[[#This Row],[Day Col]],"/",Table13[[#This Row],[Month Col]],"/",Table13[[#This Row],[Year Col]]))</f>
        <v/>
      </c>
      <c r="O689" s="4" t="s">
        <v>1098</v>
      </c>
      <c r="P689" s="4">
        <f>IF(ISNUMBER(Table13[[#This Row],[Claim_Date2]]),Table13[[#This Row],[Claim_Date2]],Table13[[#This Row],[Function Col32]])</f>
        <v>45159</v>
      </c>
      <c r="Q689" s="4">
        <v>45159</v>
      </c>
      <c r="R689" s="1" t="s">
        <v>16</v>
      </c>
      <c r="S689" t="s">
        <v>1085</v>
      </c>
      <c r="T689" s="1" t="s">
        <v>48</v>
      </c>
      <c r="U689" s="1"/>
      <c r="W689">
        <f>IF(Table1[[#This Row],[Claim_Amount]]&lt;0,0,Table1[[#This Row],[Claim_Amount]])</f>
        <v>0</v>
      </c>
      <c r="X689" t="str">
        <f>IF(Table1[[#This Row],[Column1]]=0,"",Table1[[#This Row],[Column1]])</f>
        <v/>
      </c>
      <c r="Y689" t="s">
        <v>1098</v>
      </c>
      <c r="Z689">
        <v>2481</v>
      </c>
      <c r="AA689">
        <v>832</v>
      </c>
      <c r="AB689" s="1" t="s">
        <v>25</v>
      </c>
      <c r="AC689" s="1" t="s">
        <v>57</v>
      </c>
      <c r="AD689">
        <v>9</v>
      </c>
      <c r="AE689" s="3" t="s">
        <v>1097</v>
      </c>
    </row>
    <row r="690" spans="1:31" ht="15.75" customHeight="1" x14ac:dyDescent="0.35">
      <c r="A690" s="1" t="s">
        <v>242</v>
      </c>
      <c r="B690" t="s">
        <v>1083</v>
      </c>
      <c r="C690" t="s">
        <v>1084</v>
      </c>
      <c r="D690" s="1" t="s">
        <v>502</v>
      </c>
      <c r="E690" s="5">
        <v>45200</v>
      </c>
      <c r="F690" s="4" t="str">
        <f>IF(ISNUMBER(Table13[[#This Row],[Claim_Date2]]),"",Table13[[#This Row],[Claim_Date2]])</f>
        <v/>
      </c>
      <c r="G690" s="4" t="s">
        <v>1098</v>
      </c>
      <c r="H690" s="4" t="str">
        <f>LEFT(Table13[[#This Row],[Values Col 1]],3)</f>
        <v/>
      </c>
      <c r="I690" s="4" t="s">
        <v>1098</v>
      </c>
      <c r="J690" s="4" t="str">
        <f>MID(Table13[[#This Row],[Function Col]],5,2)</f>
        <v/>
      </c>
      <c r="K690" s="4" t="s">
        <v>1098</v>
      </c>
      <c r="L690" s="4" t="str">
        <f>RIGHT(Table13[[#This Row],[Function Col]],4)</f>
        <v/>
      </c>
      <c r="M690" s="4" t="s">
        <v>1098</v>
      </c>
      <c r="N690" s="4" t="str">
        <f>IF(Table13[[#This Row],[Function Col5]]="","",_xlfn.CONCAT(Table13[[#This Row],[Day Col]],"/",Table13[[#This Row],[Month Col]],"/",Table13[[#This Row],[Year Col]]))</f>
        <v/>
      </c>
      <c r="O690" s="4" t="s">
        <v>1098</v>
      </c>
      <c r="P690" s="4">
        <f>IF(ISNUMBER(Table13[[#This Row],[Claim_Date2]]),Table13[[#This Row],[Claim_Date2]],Table13[[#This Row],[Function Col32]])</f>
        <v>45200</v>
      </c>
      <c r="Q690" s="4">
        <v>45200</v>
      </c>
      <c r="R690" s="1" t="s">
        <v>77</v>
      </c>
      <c r="S690" s="1" t="s">
        <v>47</v>
      </c>
      <c r="T690" s="1" t="s">
        <v>48</v>
      </c>
      <c r="U690" s="1"/>
      <c r="W690">
        <f>IF(Table1[[#This Row],[Claim_Amount]]&lt;0,0,Table1[[#This Row],[Claim_Amount]])</f>
        <v>0</v>
      </c>
      <c r="X690" t="str">
        <f>IF(Table1[[#This Row],[Column1]]=0,"",Table1[[#This Row],[Column1]])</f>
        <v/>
      </c>
      <c r="Y690" t="s">
        <v>1098</v>
      </c>
      <c r="Z690">
        <v>2481</v>
      </c>
      <c r="AA690">
        <v>832</v>
      </c>
      <c r="AB690" s="1" t="s">
        <v>1091</v>
      </c>
      <c r="AC690" s="1" t="s">
        <v>32</v>
      </c>
      <c r="AD690">
        <v>9</v>
      </c>
      <c r="AE690" s="3" t="s">
        <v>1097</v>
      </c>
    </row>
    <row r="691" spans="1:31" ht="15.75" customHeight="1" x14ac:dyDescent="0.35">
      <c r="A691" s="1" t="s">
        <v>168</v>
      </c>
      <c r="B691" t="s">
        <v>1083</v>
      </c>
      <c r="C691" t="s">
        <v>1084</v>
      </c>
      <c r="D691" s="1" t="s">
        <v>863</v>
      </c>
      <c r="E691" s="5">
        <v>44947</v>
      </c>
      <c r="F691" s="4" t="str">
        <f>IF(ISNUMBER(Table13[[#This Row],[Claim_Date2]]),"",Table13[[#This Row],[Claim_Date2]])</f>
        <v/>
      </c>
      <c r="G691" s="4" t="s">
        <v>1098</v>
      </c>
      <c r="H691" s="4" t="str">
        <f>LEFT(Table13[[#This Row],[Values Col 1]],3)</f>
        <v/>
      </c>
      <c r="I691" s="4" t="s">
        <v>1098</v>
      </c>
      <c r="J691" s="4" t="str">
        <f>MID(Table13[[#This Row],[Function Col]],5,2)</f>
        <v/>
      </c>
      <c r="K691" s="4" t="s">
        <v>1098</v>
      </c>
      <c r="L691" s="4" t="str">
        <f>RIGHT(Table13[[#This Row],[Function Col]],4)</f>
        <v/>
      </c>
      <c r="M691" s="4" t="s">
        <v>1098</v>
      </c>
      <c r="N691" s="4" t="str">
        <f>IF(Table13[[#This Row],[Function Col5]]="","",_xlfn.CONCAT(Table13[[#This Row],[Day Col]],"/",Table13[[#This Row],[Month Col]],"/",Table13[[#This Row],[Year Col]]))</f>
        <v/>
      </c>
      <c r="O691" s="4" t="s">
        <v>1098</v>
      </c>
      <c r="P691" s="4">
        <f>IF(ISNUMBER(Table13[[#This Row],[Claim_Date2]]),Table13[[#This Row],[Claim_Date2]],Table13[[#This Row],[Function Col32]])</f>
        <v>44947</v>
      </c>
      <c r="Q691" s="4">
        <v>44947</v>
      </c>
      <c r="R691" s="1" t="s">
        <v>77</v>
      </c>
      <c r="S691" s="1" t="s">
        <v>31</v>
      </c>
      <c r="T691" s="1" t="s">
        <v>61</v>
      </c>
      <c r="U691" s="1"/>
      <c r="W691">
        <f>IF(Table1[[#This Row],[Claim_Amount]]&lt;0,0,Table1[[#This Row],[Claim_Amount]])</f>
        <v>0</v>
      </c>
      <c r="X691" t="str">
        <f>IF(Table1[[#This Row],[Column1]]=0,"",Table1[[#This Row],[Column1]])</f>
        <v/>
      </c>
      <c r="Y691" t="s">
        <v>1098</v>
      </c>
      <c r="Z691">
        <v>2481</v>
      </c>
      <c r="AA691">
        <v>832</v>
      </c>
      <c r="AB691" s="1" t="s">
        <v>42</v>
      </c>
      <c r="AC691" s="1" t="s">
        <v>26</v>
      </c>
      <c r="AD691">
        <v>9</v>
      </c>
      <c r="AE691" s="3" t="s">
        <v>65</v>
      </c>
    </row>
    <row r="692" spans="1:31" ht="15.75" customHeight="1" x14ac:dyDescent="0.35">
      <c r="A692" s="1" t="s">
        <v>261</v>
      </c>
      <c r="B692" t="s">
        <v>1083</v>
      </c>
      <c r="C692" t="s">
        <v>1084</v>
      </c>
      <c r="D692" s="1" t="s">
        <v>864</v>
      </c>
      <c r="E692" s="5">
        <v>45093</v>
      </c>
      <c r="F692" s="4" t="str">
        <f>IF(ISNUMBER(Table13[[#This Row],[Claim_Date2]]),"",Table13[[#This Row],[Claim_Date2]])</f>
        <v/>
      </c>
      <c r="G692" s="4" t="s">
        <v>1098</v>
      </c>
      <c r="H692" s="4" t="str">
        <f>LEFT(Table13[[#This Row],[Values Col 1]],3)</f>
        <v/>
      </c>
      <c r="I692" s="4" t="s">
        <v>1098</v>
      </c>
      <c r="J692" s="4" t="str">
        <f>MID(Table13[[#This Row],[Function Col]],5,2)</f>
        <v/>
      </c>
      <c r="K692" s="4" t="s">
        <v>1098</v>
      </c>
      <c r="L692" s="4" t="str">
        <f>RIGHT(Table13[[#This Row],[Function Col]],4)</f>
        <v/>
      </c>
      <c r="M692" s="4" t="s">
        <v>1098</v>
      </c>
      <c r="N692" s="4" t="str">
        <f>IF(Table13[[#This Row],[Function Col5]]="","",_xlfn.CONCAT(Table13[[#This Row],[Day Col]],"/",Table13[[#This Row],[Month Col]],"/",Table13[[#This Row],[Year Col]]))</f>
        <v/>
      </c>
      <c r="O692" s="4" t="s">
        <v>1098</v>
      </c>
      <c r="P692" s="4">
        <f>IF(ISNUMBER(Table13[[#This Row],[Claim_Date2]]),Table13[[#This Row],[Claim_Date2]],Table13[[#This Row],[Function Col32]])</f>
        <v>45093</v>
      </c>
      <c r="Q692" s="4">
        <v>45093</v>
      </c>
      <c r="R692" s="1" t="s">
        <v>30</v>
      </c>
      <c r="S692" s="1" t="s">
        <v>23</v>
      </c>
      <c r="T692" s="1" t="s">
        <v>41</v>
      </c>
      <c r="U692" s="1"/>
      <c r="V692" s="1">
        <v>-146</v>
      </c>
      <c r="W692" s="1">
        <f>IF(Table1[[#This Row],[Claim_Amount]]&lt;0,0,Table1[[#This Row],[Claim_Amount]])</f>
        <v>0</v>
      </c>
      <c r="X692" s="1" t="str">
        <f>IF(Table1[[#This Row],[Column1]]=0,"",Table1[[#This Row],[Column1]])</f>
        <v/>
      </c>
      <c r="Y692" s="1" t="s">
        <v>1098</v>
      </c>
      <c r="Z692" s="1">
        <v>2481</v>
      </c>
      <c r="AA692" s="1">
        <v>1280.7</v>
      </c>
      <c r="AB692" s="1" t="s">
        <v>1091</v>
      </c>
      <c r="AC692" s="1" t="s">
        <v>26</v>
      </c>
      <c r="AD692">
        <v>9</v>
      </c>
      <c r="AE692" s="3" t="s">
        <v>65</v>
      </c>
    </row>
    <row r="693" spans="1:31" ht="15.75" customHeight="1" x14ac:dyDescent="0.35">
      <c r="A693" s="1" t="s">
        <v>13</v>
      </c>
      <c r="B693" t="s">
        <v>1083</v>
      </c>
      <c r="C693" t="s">
        <v>1084</v>
      </c>
      <c r="D693" s="1" t="s">
        <v>865</v>
      </c>
      <c r="E693" s="5">
        <v>45161</v>
      </c>
      <c r="F693" s="4" t="str">
        <f>IF(ISNUMBER(Table13[[#This Row],[Claim_Date2]]),"",Table13[[#This Row],[Claim_Date2]])</f>
        <v/>
      </c>
      <c r="G693" s="4" t="s">
        <v>1098</v>
      </c>
      <c r="H693" s="4" t="str">
        <f>LEFT(Table13[[#This Row],[Values Col 1]],3)</f>
        <v/>
      </c>
      <c r="I693" s="4" t="s">
        <v>1098</v>
      </c>
      <c r="J693" s="4" t="str">
        <f>MID(Table13[[#This Row],[Function Col]],5,2)</f>
        <v/>
      </c>
      <c r="K693" s="4" t="s">
        <v>1098</v>
      </c>
      <c r="L693" s="4" t="str">
        <f>RIGHT(Table13[[#This Row],[Function Col]],4)</f>
        <v/>
      </c>
      <c r="M693" s="4" t="s">
        <v>1098</v>
      </c>
      <c r="N693" s="4" t="str">
        <f>IF(Table13[[#This Row],[Function Col5]]="","",_xlfn.CONCAT(Table13[[#This Row],[Day Col]],"/",Table13[[#This Row],[Month Col]],"/",Table13[[#This Row],[Year Col]]))</f>
        <v/>
      </c>
      <c r="O693" s="4" t="s">
        <v>1098</v>
      </c>
      <c r="P693" s="4">
        <f>IF(ISNUMBER(Table13[[#This Row],[Claim_Date2]]),Table13[[#This Row],[Claim_Date2]],Table13[[#This Row],[Function Col32]])</f>
        <v>45161</v>
      </c>
      <c r="Q693" s="4">
        <v>45161</v>
      </c>
      <c r="R693" s="1" t="s">
        <v>85</v>
      </c>
      <c r="S693" t="s">
        <v>1085</v>
      </c>
      <c r="T693" s="1" t="s">
        <v>54</v>
      </c>
      <c r="U693" s="1"/>
      <c r="V693" s="1">
        <v>2866.89</v>
      </c>
      <c r="W693" s="1">
        <f>IF(Table1[[#This Row],[Claim_Amount]]&lt;0,0,Table1[[#This Row],[Claim_Amount]])</f>
        <v>2866.89</v>
      </c>
      <c r="X693" s="1">
        <f>IF(Table1[[#This Row],[Column1]]=0,"",Table1[[#This Row],[Column1]])</f>
        <v>2866.89</v>
      </c>
      <c r="Y693" s="1">
        <v>2866.89</v>
      </c>
      <c r="Z693" s="1">
        <v>2866.89</v>
      </c>
      <c r="AA693" s="1">
        <v>1666.61</v>
      </c>
      <c r="AB693" s="1" t="s">
        <v>17</v>
      </c>
      <c r="AC693" s="1" t="s">
        <v>57</v>
      </c>
      <c r="AD693">
        <v>9</v>
      </c>
      <c r="AE693" s="3" t="s">
        <v>19</v>
      </c>
    </row>
    <row r="694" spans="1:31" ht="15.75" customHeight="1" x14ac:dyDescent="0.35">
      <c r="A694" s="1" t="s">
        <v>33</v>
      </c>
      <c r="B694" t="s">
        <v>1083</v>
      </c>
      <c r="C694" t="s">
        <v>1084</v>
      </c>
      <c r="D694" s="1" t="s">
        <v>866</v>
      </c>
      <c r="E694" s="5">
        <v>45081</v>
      </c>
      <c r="F694" s="4" t="str">
        <f>IF(ISNUMBER(Table13[[#This Row],[Claim_Date2]]),"",Table13[[#This Row],[Claim_Date2]])</f>
        <v/>
      </c>
      <c r="G694" s="4" t="s">
        <v>1098</v>
      </c>
      <c r="H694" s="4" t="str">
        <f>LEFT(Table13[[#This Row],[Values Col 1]],3)</f>
        <v/>
      </c>
      <c r="I694" s="4" t="s">
        <v>1098</v>
      </c>
      <c r="J694" s="4" t="str">
        <f>MID(Table13[[#This Row],[Function Col]],5,2)</f>
        <v/>
      </c>
      <c r="K694" s="4" t="s">
        <v>1098</v>
      </c>
      <c r="L694" s="4" t="str">
        <f>RIGHT(Table13[[#This Row],[Function Col]],4)</f>
        <v/>
      </c>
      <c r="M694" s="4" t="s">
        <v>1098</v>
      </c>
      <c r="N694" s="4" t="str">
        <f>IF(Table13[[#This Row],[Function Col5]]="","",_xlfn.CONCAT(Table13[[#This Row],[Day Col]],"/",Table13[[#This Row],[Month Col]],"/",Table13[[#This Row],[Year Col]]))</f>
        <v/>
      </c>
      <c r="O694" s="4" t="s">
        <v>1098</v>
      </c>
      <c r="P694" s="4">
        <f>IF(ISNUMBER(Table13[[#This Row],[Claim_Date2]]),Table13[[#This Row],[Claim_Date2]],Table13[[#This Row],[Function Col32]])</f>
        <v>45081</v>
      </c>
      <c r="Q694" s="4">
        <v>45081</v>
      </c>
      <c r="R694" s="1" t="s">
        <v>16</v>
      </c>
      <c r="S694" s="1" t="s">
        <v>93</v>
      </c>
      <c r="T694" t="s">
        <v>1086</v>
      </c>
      <c r="V694" s="1">
        <v>1321.45</v>
      </c>
      <c r="W694" s="1">
        <f>IF(Table1[[#This Row],[Claim_Amount]]&lt;0,0,Table1[[#This Row],[Claim_Amount]])</f>
        <v>1321.45</v>
      </c>
      <c r="X694" s="1">
        <f>IF(Table1[[#This Row],[Column1]]=0,"",Table1[[#This Row],[Column1]])</f>
        <v>1321.45</v>
      </c>
      <c r="Y694" s="1">
        <v>1321.45</v>
      </c>
      <c r="Z694" s="1">
        <v>1321.45</v>
      </c>
      <c r="AA694">
        <v>832</v>
      </c>
      <c r="AB694" s="1" t="s">
        <v>25</v>
      </c>
      <c r="AC694" s="1" t="s">
        <v>18</v>
      </c>
      <c r="AD694">
        <v>9</v>
      </c>
      <c r="AE694" s="3" t="s">
        <v>27</v>
      </c>
    </row>
    <row r="695" spans="1:31" ht="15.75" customHeight="1" x14ac:dyDescent="0.35">
      <c r="A695" s="1" t="s">
        <v>110</v>
      </c>
      <c r="B695" t="s">
        <v>1083</v>
      </c>
      <c r="C695" s="1" t="s">
        <v>455</v>
      </c>
      <c r="D695" s="1" t="s">
        <v>794</v>
      </c>
      <c r="E695" s="5">
        <v>45118</v>
      </c>
      <c r="F695" s="4" t="str">
        <f>IF(ISNUMBER(Table13[[#This Row],[Claim_Date2]]),"",Table13[[#This Row],[Claim_Date2]])</f>
        <v/>
      </c>
      <c r="G695" s="4" t="s">
        <v>1098</v>
      </c>
      <c r="H695" s="4" t="str">
        <f>LEFT(Table13[[#This Row],[Values Col 1]],3)</f>
        <v/>
      </c>
      <c r="I695" s="4" t="s">
        <v>1098</v>
      </c>
      <c r="J695" s="4" t="str">
        <f>MID(Table13[[#This Row],[Function Col]],5,2)</f>
        <v/>
      </c>
      <c r="K695" s="4" t="s">
        <v>1098</v>
      </c>
      <c r="L695" s="4" t="str">
        <f>RIGHT(Table13[[#This Row],[Function Col]],4)</f>
        <v/>
      </c>
      <c r="M695" s="4" t="s">
        <v>1098</v>
      </c>
      <c r="N695" s="4" t="str">
        <f>IF(Table13[[#This Row],[Function Col5]]="","",_xlfn.CONCAT(Table13[[#This Row],[Day Col]],"/",Table13[[#This Row],[Month Col]],"/",Table13[[#This Row],[Year Col]]))</f>
        <v/>
      </c>
      <c r="O695" s="4" t="s">
        <v>1098</v>
      </c>
      <c r="P695" s="4">
        <f>IF(ISNUMBER(Table13[[#This Row],[Claim_Date2]]),Table13[[#This Row],[Claim_Date2]],Table13[[#This Row],[Function Col32]])</f>
        <v>45118</v>
      </c>
      <c r="Q695" s="4">
        <v>45118</v>
      </c>
      <c r="R695" s="1" t="s">
        <v>85</v>
      </c>
      <c r="S695" s="1" t="s">
        <v>53</v>
      </c>
      <c r="T695" s="1" t="s">
        <v>41</v>
      </c>
      <c r="U695" s="1"/>
      <c r="W695">
        <f>IF(Table1[[#This Row],[Claim_Amount]]&lt;0,0,Table1[[#This Row],[Claim_Amount]])</f>
        <v>0</v>
      </c>
      <c r="X695" t="str">
        <f>IF(Table1[[#This Row],[Column1]]=0,"",Table1[[#This Row],[Column1]])</f>
        <v/>
      </c>
      <c r="Y695" t="s">
        <v>1098</v>
      </c>
      <c r="Z695">
        <v>2481</v>
      </c>
      <c r="AA695" s="1">
        <v>2532.7399999999998</v>
      </c>
      <c r="AB695" s="1" t="s">
        <v>1091</v>
      </c>
      <c r="AC695" s="1" t="s">
        <v>1093</v>
      </c>
      <c r="AD695" s="1">
        <v>58</v>
      </c>
      <c r="AE695" s="3" t="s">
        <v>27</v>
      </c>
    </row>
    <row r="696" spans="1:31" ht="15.75" customHeight="1" x14ac:dyDescent="0.35">
      <c r="A696" s="1" t="s">
        <v>38</v>
      </c>
      <c r="B696" t="s">
        <v>1083</v>
      </c>
      <c r="C696" s="1" t="s">
        <v>484</v>
      </c>
      <c r="D696" s="1" t="s">
        <v>639</v>
      </c>
      <c r="E696" s="5">
        <v>45263</v>
      </c>
      <c r="F696" s="4" t="str">
        <f>IF(ISNUMBER(Table13[[#This Row],[Claim_Date2]]),"",Table13[[#This Row],[Claim_Date2]])</f>
        <v/>
      </c>
      <c r="G696" s="4" t="s">
        <v>1098</v>
      </c>
      <c r="H696" s="4" t="str">
        <f>LEFT(Table13[[#This Row],[Values Col 1]],3)</f>
        <v/>
      </c>
      <c r="I696" s="4" t="s">
        <v>1098</v>
      </c>
      <c r="J696" s="4" t="str">
        <f>MID(Table13[[#This Row],[Function Col]],5,2)</f>
        <v/>
      </c>
      <c r="K696" s="4" t="s">
        <v>1098</v>
      </c>
      <c r="L696" s="4" t="str">
        <f>RIGHT(Table13[[#This Row],[Function Col]],4)</f>
        <v/>
      </c>
      <c r="M696" s="4" t="s">
        <v>1098</v>
      </c>
      <c r="N696" s="4" t="str">
        <f>IF(Table13[[#This Row],[Function Col5]]="","",_xlfn.CONCAT(Table13[[#This Row],[Day Col]],"/",Table13[[#This Row],[Month Col]],"/",Table13[[#This Row],[Year Col]]))</f>
        <v/>
      </c>
      <c r="O696" s="4" t="s">
        <v>1098</v>
      </c>
      <c r="P696" s="4">
        <f>IF(ISNUMBER(Table13[[#This Row],[Claim_Date2]]),Table13[[#This Row],[Claim_Date2]],Table13[[#This Row],[Function Col32]])</f>
        <v>45263</v>
      </c>
      <c r="Q696" s="4">
        <v>45263</v>
      </c>
      <c r="R696" s="1" t="s">
        <v>92</v>
      </c>
      <c r="S696" s="1" t="s">
        <v>53</v>
      </c>
      <c r="T696" s="1" t="s">
        <v>54</v>
      </c>
      <c r="U696" s="1"/>
      <c r="W696">
        <f>IF(Table1[[#This Row],[Claim_Amount]]&lt;0,0,Table1[[#This Row],[Claim_Amount]])</f>
        <v>0</v>
      </c>
      <c r="X696" t="str">
        <f>IF(Table1[[#This Row],[Column1]]=0,"",Table1[[#This Row],[Column1]])</f>
        <v/>
      </c>
      <c r="Y696" t="s">
        <v>1098</v>
      </c>
      <c r="Z696">
        <v>2481</v>
      </c>
      <c r="AA696" s="1">
        <v>530.88</v>
      </c>
      <c r="AB696" s="1" t="s">
        <v>25</v>
      </c>
      <c r="AC696" s="1" t="s">
        <v>32</v>
      </c>
      <c r="AD696" s="1">
        <v>14</v>
      </c>
      <c r="AE696" s="3" t="s">
        <v>1097</v>
      </c>
    </row>
    <row r="697" spans="1:31" ht="15.75" customHeight="1" x14ac:dyDescent="0.35">
      <c r="A697" s="1" t="s">
        <v>261</v>
      </c>
      <c r="B697" t="s">
        <v>1083</v>
      </c>
      <c r="C697" t="s">
        <v>1084</v>
      </c>
      <c r="D697" s="1" t="s">
        <v>850</v>
      </c>
      <c r="E697" s="5" t="s">
        <v>850</v>
      </c>
      <c r="F697" s="4" t="str">
        <f>IF(ISNUMBER(Table13[[#This Row],[Claim_Date2]]),"",Table13[[#This Row],[Claim_Date2]])</f>
        <v>Nov 22 2023</v>
      </c>
      <c r="G697" s="4" t="s">
        <v>850</v>
      </c>
      <c r="H697" s="4" t="str">
        <f>LEFT(Table13[[#This Row],[Values Col 1]],3)</f>
        <v>Nov</v>
      </c>
      <c r="I697" s="4" t="s">
        <v>1105</v>
      </c>
      <c r="J697" s="4" t="str">
        <f>MID(Table13[[#This Row],[Function Col]],5,2)</f>
        <v>22</v>
      </c>
      <c r="K697" s="4" t="s">
        <v>1122</v>
      </c>
      <c r="L697" s="4" t="str">
        <f>RIGHT(Table13[[#This Row],[Function Col]],4)</f>
        <v>2023</v>
      </c>
      <c r="M697" s="4" t="s">
        <v>1146</v>
      </c>
      <c r="N697" s="4" t="str">
        <f>IF(Table13[[#This Row],[Function Col5]]="","",_xlfn.CONCAT(Table13[[#This Row],[Day Col]],"/",Table13[[#This Row],[Month Col]],"/",Table13[[#This Row],[Year Col]]))</f>
        <v>22/Nov/2023</v>
      </c>
      <c r="O697" s="4" t="s">
        <v>1310</v>
      </c>
      <c r="P697" s="4" t="str">
        <f>IF(ISNUMBER(Table13[[#This Row],[Claim_Date2]]),Table13[[#This Row],[Claim_Date2]],Table13[[#This Row],[Function Col32]])</f>
        <v>22/Nov/2023</v>
      </c>
      <c r="Q697" s="4">
        <v>45252</v>
      </c>
      <c r="R697" s="1" t="s">
        <v>92</v>
      </c>
      <c r="S697" s="1" t="s">
        <v>47</v>
      </c>
      <c r="T697" s="1" t="s">
        <v>48</v>
      </c>
      <c r="U697" s="1"/>
      <c r="V697" s="1">
        <v>2404.23</v>
      </c>
      <c r="W697" s="1">
        <f>IF(Table1[[#This Row],[Claim_Amount]]&lt;0,0,Table1[[#This Row],[Claim_Amount]])</f>
        <v>2404.23</v>
      </c>
      <c r="X697" s="1">
        <f>IF(Table1[[#This Row],[Column1]]=0,"",Table1[[#This Row],[Column1]])</f>
        <v>2404.23</v>
      </c>
      <c r="Y697" s="1">
        <v>2404.23</v>
      </c>
      <c r="Z697" s="1">
        <v>2404.23</v>
      </c>
      <c r="AA697">
        <v>832</v>
      </c>
      <c r="AB697" s="1" t="s">
        <v>42</v>
      </c>
      <c r="AC697" s="1" t="s">
        <v>1093</v>
      </c>
      <c r="AD697">
        <v>9</v>
      </c>
      <c r="AE697" s="3" t="s">
        <v>37</v>
      </c>
    </row>
    <row r="698" spans="1:31" ht="15.75" customHeight="1" x14ac:dyDescent="0.35">
      <c r="A698" s="1" t="s">
        <v>187</v>
      </c>
      <c r="B698" t="s">
        <v>1083</v>
      </c>
      <c r="C698" t="s">
        <v>1084</v>
      </c>
      <c r="D698" s="1" t="s">
        <v>867</v>
      </c>
      <c r="E698" s="5" t="s">
        <v>867</v>
      </c>
      <c r="F698" s="4" t="str">
        <f>IF(ISNUMBER(Table13[[#This Row],[Claim_Date2]]),"",Table13[[#This Row],[Claim_Date2]])</f>
        <v>Jan 17 2023</v>
      </c>
      <c r="G698" s="4" t="s">
        <v>867</v>
      </c>
      <c r="H698" s="4" t="str">
        <f>LEFT(Table13[[#This Row],[Values Col 1]],3)</f>
        <v>Jan</v>
      </c>
      <c r="I698" s="4" t="s">
        <v>1107</v>
      </c>
      <c r="J698" s="4" t="str">
        <f>MID(Table13[[#This Row],[Function Col]],5,2)</f>
        <v>17</v>
      </c>
      <c r="K698" s="4" t="s">
        <v>1140</v>
      </c>
      <c r="L698" s="4" t="str">
        <f>RIGHT(Table13[[#This Row],[Function Col]],4)</f>
        <v>2023</v>
      </c>
      <c r="M698" s="4" t="s">
        <v>1146</v>
      </c>
      <c r="N698" s="4" t="str">
        <f>IF(Table13[[#This Row],[Function Col5]]="","",_xlfn.CONCAT(Table13[[#This Row],[Day Col]],"/",Table13[[#This Row],[Month Col]],"/",Table13[[#This Row],[Year Col]]))</f>
        <v>17/Jan/2023</v>
      </c>
      <c r="O698" s="4" t="s">
        <v>1315</v>
      </c>
      <c r="P698" s="4" t="str">
        <f>IF(ISNUMBER(Table13[[#This Row],[Claim_Date2]]),Table13[[#This Row],[Claim_Date2]],Table13[[#This Row],[Function Col32]])</f>
        <v>17/Jan/2023</v>
      </c>
      <c r="Q698" s="4">
        <v>44943</v>
      </c>
      <c r="R698" s="1" t="s">
        <v>85</v>
      </c>
      <c r="S698" s="1" t="s">
        <v>47</v>
      </c>
      <c r="T698" s="1" t="s">
        <v>61</v>
      </c>
      <c r="U698" s="1"/>
      <c r="W698">
        <f>IF(Table1[[#This Row],[Claim_Amount]]&lt;0,0,Table1[[#This Row],[Claim_Amount]])</f>
        <v>0</v>
      </c>
      <c r="X698" t="str">
        <f>IF(Table1[[#This Row],[Column1]]=0,"",Table1[[#This Row],[Column1]])</f>
        <v/>
      </c>
      <c r="Y698" t="s">
        <v>1098</v>
      </c>
      <c r="Z698">
        <v>2481</v>
      </c>
      <c r="AA698">
        <v>832</v>
      </c>
      <c r="AB698" s="1" t="s">
        <v>1091</v>
      </c>
      <c r="AC698" s="1" t="s">
        <v>32</v>
      </c>
      <c r="AD698">
        <v>9</v>
      </c>
      <c r="AE698" s="3" t="s">
        <v>27</v>
      </c>
    </row>
    <row r="699" spans="1:31" ht="15.75" customHeight="1" x14ac:dyDescent="0.35">
      <c r="A699" s="1" t="s">
        <v>215</v>
      </c>
      <c r="B699" t="s">
        <v>1083</v>
      </c>
      <c r="C699" s="1" t="s">
        <v>193</v>
      </c>
      <c r="D699" s="1" t="s">
        <v>868</v>
      </c>
      <c r="E699" s="5" t="s">
        <v>868</v>
      </c>
      <c r="F699" s="4" t="str">
        <f>IF(ISNUMBER(Table13[[#This Row],[Claim_Date2]]),"",Table13[[#This Row],[Claim_Date2]])</f>
        <v>Mar 27 2023</v>
      </c>
      <c r="G699" s="4" t="s">
        <v>868</v>
      </c>
      <c r="H699" s="4" t="str">
        <f>LEFT(Table13[[#This Row],[Values Col 1]],3)</f>
        <v>Mar</v>
      </c>
      <c r="I699" s="4" t="s">
        <v>1100</v>
      </c>
      <c r="J699" s="4" t="str">
        <f>MID(Table13[[#This Row],[Function Col]],5,2)</f>
        <v>27</v>
      </c>
      <c r="K699" s="4" t="s">
        <v>1124</v>
      </c>
      <c r="L699" s="4" t="str">
        <f>RIGHT(Table13[[#This Row],[Function Col]],4)</f>
        <v>2023</v>
      </c>
      <c r="M699" s="4" t="s">
        <v>1146</v>
      </c>
      <c r="N699" s="4" t="str">
        <f>IF(Table13[[#This Row],[Function Col5]]="","",_xlfn.CONCAT(Table13[[#This Row],[Day Col]],"/",Table13[[#This Row],[Month Col]],"/",Table13[[#This Row],[Year Col]]))</f>
        <v>27/Mar/2023</v>
      </c>
      <c r="O699" s="4" t="s">
        <v>1316</v>
      </c>
      <c r="P699" s="4" t="str">
        <f>IF(ISNUMBER(Table13[[#This Row],[Claim_Date2]]),Table13[[#This Row],[Claim_Date2]],Table13[[#This Row],[Function Col32]])</f>
        <v>27/Mar/2023</v>
      </c>
      <c r="Q699" s="4">
        <v>45012</v>
      </c>
      <c r="R699" s="1" t="s">
        <v>92</v>
      </c>
      <c r="S699" s="1" t="s">
        <v>47</v>
      </c>
      <c r="T699" s="1" t="s">
        <v>48</v>
      </c>
      <c r="U699" s="1"/>
      <c r="W699">
        <f>IF(Table1[[#This Row],[Claim_Amount]]&lt;0,0,Table1[[#This Row],[Claim_Amount]])</f>
        <v>0</v>
      </c>
      <c r="X699" t="str">
        <f>IF(Table1[[#This Row],[Column1]]=0,"",Table1[[#This Row],[Column1]])</f>
        <v/>
      </c>
      <c r="Y699" t="s">
        <v>1098</v>
      </c>
      <c r="Z699">
        <v>2481</v>
      </c>
      <c r="AA699">
        <v>832</v>
      </c>
      <c r="AB699" s="1" t="s">
        <v>17</v>
      </c>
      <c r="AC699" s="1" t="s">
        <v>1093</v>
      </c>
      <c r="AD699">
        <v>9</v>
      </c>
      <c r="AE699" s="3" t="s">
        <v>65</v>
      </c>
    </row>
    <row r="700" spans="1:31" ht="15.75" customHeight="1" x14ac:dyDescent="0.35">
      <c r="A700" s="1" t="s">
        <v>33</v>
      </c>
      <c r="B700" s="1" t="s">
        <v>456</v>
      </c>
      <c r="C700" t="s">
        <v>1084</v>
      </c>
      <c r="D700" s="1" t="s">
        <v>869</v>
      </c>
      <c r="E700" s="5" t="s">
        <v>869</v>
      </c>
      <c r="F700" s="4" t="str">
        <f>IF(ISNUMBER(Table13[[#This Row],[Claim_Date2]]),"",Table13[[#This Row],[Claim_Date2]])</f>
        <v>Feb 26 2023</v>
      </c>
      <c r="G700" s="4" t="s">
        <v>869</v>
      </c>
      <c r="H700" s="4" t="str">
        <f>LEFT(Table13[[#This Row],[Values Col 1]],3)</f>
        <v>Feb</v>
      </c>
      <c r="I700" s="4" t="s">
        <v>1109</v>
      </c>
      <c r="J700" s="4" t="str">
        <f>MID(Table13[[#This Row],[Function Col]],5,2)</f>
        <v>26</v>
      </c>
      <c r="K700" s="4" t="s">
        <v>1117</v>
      </c>
      <c r="L700" s="4" t="str">
        <f>RIGHT(Table13[[#This Row],[Function Col]],4)</f>
        <v>2023</v>
      </c>
      <c r="M700" s="4" t="s">
        <v>1146</v>
      </c>
      <c r="N700" s="4" t="str">
        <f>IF(Table13[[#This Row],[Function Col5]]="","",_xlfn.CONCAT(Table13[[#This Row],[Day Col]],"/",Table13[[#This Row],[Month Col]],"/",Table13[[#This Row],[Year Col]]))</f>
        <v>26/Feb/2023</v>
      </c>
      <c r="O700" s="4" t="s">
        <v>1317</v>
      </c>
      <c r="P700" s="4" t="str">
        <f>IF(ISNUMBER(Table13[[#This Row],[Claim_Date2]]),Table13[[#This Row],[Claim_Date2]],Table13[[#This Row],[Function Col32]])</f>
        <v>26/Feb/2023</v>
      </c>
      <c r="Q700" s="4">
        <v>44983</v>
      </c>
      <c r="R700" s="1" t="s">
        <v>92</v>
      </c>
      <c r="S700" s="1" t="s">
        <v>93</v>
      </c>
      <c r="T700" s="1" t="s">
        <v>24</v>
      </c>
      <c r="U700" s="1"/>
      <c r="V700" s="1">
        <v>-198</v>
      </c>
      <c r="W700" s="1">
        <f>IF(Table1[[#This Row],[Claim_Amount]]&lt;0,0,Table1[[#This Row],[Claim_Amount]])</f>
        <v>0</v>
      </c>
      <c r="X700" s="1" t="str">
        <f>IF(Table1[[#This Row],[Column1]]=0,"",Table1[[#This Row],[Column1]])</f>
        <v/>
      </c>
      <c r="Y700" s="1" t="s">
        <v>1098</v>
      </c>
      <c r="Z700" s="1">
        <v>2481</v>
      </c>
      <c r="AA700">
        <v>832</v>
      </c>
      <c r="AB700" s="1" t="s">
        <v>17</v>
      </c>
      <c r="AC700" s="1" t="s">
        <v>1093</v>
      </c>
      <c r="AD700">
        <v>9</v>
      </c>
      <c r="AE700" s="3" t="s">
        <v>27</v>
      </c>
    </row>
    <row r="701" spans="1:31" ht="15.75" customHeight="1" x14ac:dyDescent="0.35">
      <c r="A701" s="1" t="s">
        <v>58</v>
      </c>
      <c r="B701" t="s">
        <v>1083</v>
      </c>
      <c r="C701" s="1" t="s">
        <v>150</v>
      </c>
      <c r="D701" s="1" t="s">
        <v>870</v>
      </c>
      <c r="E701" s="5" t="s">
        <v>870</v>
      </c>
      <c r="F701" s="4" t="str">
        <f>IF(ISNUMBER(Table13[[#This Row],[Claim_Date2]]),"",Table13[[#This Row],[Claim_Date2]])</f>
        <v>Nov 21 2023</v>
      </c>
      <c r="G701" s="4" t="s">
        <v>870</v>
      </c>
      <c r="H701" s="4" t="str">
        <f>LEFT(Table13[[#This Row],[Values Col 1]],3)</f>
        <v>Nov</v>
      </c>
      <c r="I701" s="4" t="s">
        <v>1105</v>
      </c>
      <c r="J701" s="4" t="str">
        <f>MID(Table13[[#This Row],[Function Col]],5,2)</f>
        <v>21</v>
      </c>
      <c r="K701" s="4" t="s">
        <v>1136</v>
      </c>
      <c r="L701" s="4" t="str">
        <f>RIGHT(Table13[[#This Row],[Function Col]],4)</f>
        <v>2023</v>
      </c>
      <c r="M701" s="4" t="s">
        <v>1146</v>
      </c>
      <c r="N701" s="4" t="str">
        <f>IF(Table13[[#This Row],[Function Col5]]="","",_xlfn.CONCAT(Table13[[#This Row],[Day Col]],"/",Table13[[#This Row],[Month Col]],"/",Table13[[#This Row],[Year Col]]))</f>
        <v>21/Nov/2023</v>
      </c>
      <c r="O701" s="4" t="s">
        <v>1318</v>
      </c>
      <c r="P701" s="4" t="str">
        <f>IF(ISNUMBER(Table13[[#This Row],[Claim_Date2]]),Table13[[#This Row],[Claim_Date2]],Table13[[#This Row],[Function Col32]])</f>
        <v>21/Nov/2023</v>
      </c>
      <c r="Q701" s="4">
        <v>45251</v>
      </c>
      <c r="R701" s="1" t="s">
        <v>92</v>
      </c>
      <c r="S701" s="1" t="s">
        <v>47</v>
      </c>
      <c r="T701" s="1" t="s">
        <v>54</v>
      </c>
      <c r="U701" s="1"/>
      <c r="V701" s="1">
        <v>-67</v>
      </c>
      <c r="W701" s="1">
        <f>IF(Table1[[#This Row],[Claim_Amount]]&lt;0,0,Table1[[#This Row],[Claim_Amount]])</f>
        <v>0</v>
      </c>
      <c r="X701" s="1" t="str">
        <f>IF(Table1[[#This Row],[Column1]]=0,"",Table1[[#This Row],[Column1]])</f>
        <v/>
      </c>
      <c r="Y701" s="1" t="s">
        <v>1098</v>
      </c>
      <c r="Z701" s="1">
        <v>2481</v>
      </c>
      <c r="AA701">
        <v>832</v>
      </c>
      <c r="AB701" s="1" t="s">
        <v>42</v>
      </c>
      <c r="AC701" s="1" t="s">
        <v>1093</v>
      </c>
      <c r="AD701" s="1">
        <v>10</v>
      </c>
      <c r="AE701" s="3" t="s">
        <v>37</v>
      </c>
    </row>
    <row r="702" spans="1:31" ht="15.75" customHeight="1" x14ac:dyDescent="0.35">
      <c r="A702" s="1" t="s">
        <v>261</v>
      </c>
      <c r="B702" t="s">
        <v>1083</v>
      </c>
      <c r="C702" t="s">
        <v>1084</v>
      </c>
      <c r="D702" s="1" t="s">
        <v>798</v>
      </c>
      <c r="E702" s="5">
        <v>45262</v>
      </c>
      <c r="F702" s="4" t="str">
        <f>IF(ISNUMBER(Table13[[#This Row],[Claim_Date2]]),"",Table13[[#This Row],[Claim_Date2]])</f>
        <v/>
      </c>
      <c r="G702" s="4" t="s">
        <v>1098</v>
      </c>
      <c r="H702" s="4" t="str">
        <f>LEFT(Table13[[#This Row],[Values Col 1]],3)</f>
        <v/>
      </c>
      <c r="I702" s="4" t="s">
        <v>1098</v>
      </c>
      <c r="J702" s="4" t="str">
        <f>MID(Table13[[#This Row],[Function Col]],5,2)</f>
        <v/>
      </c>
      <c r="K702" s="4" t="s">
        <v>1098</v>
      </c>
      <c r="L702" s="4" t="str">
        <f>RIGHT(Table13[[#This Row],[Function Col]],4)</f>
        <v/>
      </c>
      <c r="M702" s="4" t="s">
        <v>1098</v>
      </c>
      <c r="N702" s="4" t="str">
        <f>IF(Table13[[#This Row],[Function Col5]]="","",_xlfn.CONCAT(Table13[[#This Row],[Day Col]],"/",Table13[[#This Row],[Month Col]],"/",Table13[[#This Row],[Year Col]]))</f>
        <v/>
      </c>
      <c r="O702" s="4" t="s">
        <v>1098</v>
      </c>
      <c r="P702" s="4">
        <f>IF(ISNUMBER(Table13[[#This Row],[Claim_Date2]]),Table13[[#This Row],[Claim_Date2]],Table13[[#This Row],[Function Col32]])</f>
        <v>45262</v>
      </c>
      <c r="Q702" s="4">
        <v>45262</v>
      </c>
      <c r="R702" s="1" t="s">
        <v>77</v>
      </c>
      <c r="S702" s="1" t="s">
        <v>47</v>
      </c>
      <c r="T702" t="s">
        <v>1086</v>
      </c>
      <c r="V702" s="1">
        <v>-117</v>
      </c>
      <c r="W702" s="1">
        <f>IF(Table1[[#This Row],[Claim_Amount]]&lt;0,0,Table1[[#This Row],[Claim_Amount]])</f>
        <v>0</v>
      </c>
      <c r="X702" s="1" t="str">
        <f>IF(Table1[[#This Row],[Column1]]=0,"",Table1[[#This Row],[Column1]])</f>
        <v/>
      </c>
      <c r="Y702" s="1" t="s">
        <v>1098</v>
      </c>
      <c r="Z702" s="1">
        <v>2481</v>
      </c>
      <c r="AA702" s="1">
        <v>984.93</v>
      </c>
      <c r="AB702" s="1" t="s">
        <v>1091</v>
      </c>
      <c r="AC702" s="1" t="s">
        <v>18</v>
      </c>
      <c r="AD702">
        <v>9</v>
      </c>
      <c r="AE702" s="3" t="s">
        <v>1097</v>
      </c>
    </row>
    <row r="703" spans="1:31" ht="15.75" customHeight="1" x14ac:dyDescent="0.35">
      <c r="A703" s="1" t="s">
        <v>163</v>
      </c>
      <c r="B703" t="s">
        <v>1083</v>
      </c>
      <c r="C703" t="s">
        <v>1084</v>
      </c>
      <c r="D703" s="1" t="s">
        <v>467</v>
      </c>
      <c r="E703" s="5">
        <v>44938</v>
      </c>
      <c r="F703" s="4" t="str">
        <f>IF(ISNUMBER(Table13[[#This Row],[Claim_Date2]]),"",Table13[[#This Row],[Claim_Date2]])</f>
        <v/>
      </c>
      <c r="G703" s="4" t="s">
        <v>1098</v>
      </c>
      <c r="H703" s="4" t="str">
        <f>LEFT(Table13[[#This Row],[Values Col 1]],3)</f>
        <v/>
      </c>
      <c r="I703" s="4" t="s">
        <v>1098</v>
      </c>
      <c r="J703" s="4" t="str">
        <f>MID(Table13[[#This Row],[Function Col]],5,2)</f>
        <v/>
      </c>
      <c r="K703" s="4" t="s">
        <v>1098</v>
      </c>
      <c r="L703" s="4" t="str">
        <f>RIGHT(Table13[[#This Row],[Function Col]],4)</f>
        <v/>
      </c>
      <c r="M703" s="4" t="s">
        <v>1098</v>
      </c>
      <c r="N703" s="4" t="str">
        <f>IF(Table13[[#This Row],[Function Col5]]="","",_xlfn.CONCAT(Table13[[#This Row],[Day Col]],"/",Table13[[#This Row],[Month Col]],"/",Table13[[#This Row],[Year Col]]))</f>
        <v/>
      </c>
      <c r="O703" s="4" t="s">
        <v>1098</v>
      </c>
      <c r="P703" s="4">
        <f>IF(ISNUMBER(Table13[[#This Row],[Claim_Date2]]),Table13[[#This Row],[Claim_Date2]],Table13[[#This Row],[Function Col32]])</f>
        <v>44938</v>
      </c>
      <c r="Q703" s="4">
        <v>44938</v>
      </c>
      <c r="R703" s="1" t="s">
        <v>85</v>
      </c>
      <c r="S703" s="1" t="s">
        <v>47</v>
      </c>
      <c r="T703" t="s">
        <v>1086</v>
      </c>
      <c r="W703">
        <f>IF(Table1[[#This Row],[Claim_Amount]]&lt;0,0,Table1[[#This Row],[Claim_Amount]])</f>
        <v>0</v>
      </c>
      <c r="X703" t="str">
        <f>IF(Table1[[#This Row],[Column1]]=0,"",Table1[[#This Row],[Column1]])</f>
        <v/>
      </c>
      <c r="Y703" t="s">
        <v>1098</v>
      </c>
      <c r="Z703">
        <v>2481</v>
      </c>
      <c r="AA703">
        <v>832</v>
      </c>
      <c r="AB703" s="1" t="s">
        <v>25</v>
      </c>
      <c r="AC703" s="1" t="s">
        <v>57</v>
      </c>
      <c r="AD703" s="1">
        <v>32</v>
      </c>
      <c r="AE703" s="3" t="s">
        <v>65</v>
      </c>
    </row>
    <row r="704" spans="1:31" ht="15.75" customHeight="1" x14ac:dyDescent="0.35">
      <c r="A704" s="1" t="s">
        <v>173</v>
      </c>
      <c r="B704" t="s">
        <v>1083</v>
      </c>
      <c r="C704" s="1" t="s">
        <v>453</v>
      </c>
      <c r="D704" s="1" t="s">
        <v>142</v>
      </c>
      <c r="E704" s="5">
        <v>45291</v>
      </c>
      <c r="F704" s="4" t="str">
        <f>IF(ISNUMBER(Table13[[#This Row],[Claim_Date2]]),"",Table13[[#This Row],[Claim_Date2]])</f>
        <v/>
      </c>
      <c r="G704" s="4" t="s">
        <v>1098</v>
      </c>
      <c r="H704" s="4" t="str">
        <f>LEFT(Table13[[#This Row],[Values Col 1]],3)</f>
        <v/>
      </c>
      <c r="I704" s="4" t="s">
        <v>1098</v>
      </c>
      <c r="J704" s="4" t="str">
        <f>MID(Table13[[#This Row],[Function Col]],5,2)</f>
        <v/>
      </c>
      <c r="K704" s="4" t="s">
        <v>1098</v>
      </c>
      <c r="L704" s="4" t="str">
        <f>RIGHT(Table13[[#This Row],[Function Col]],4)</f>
        <v/>
      </c>
      <c r="M704" s="4" t="s">
        <v>1098</v>
      </c>
      <c r="N704" s="4" t="str">
        <f>IF(Table13[[#This Row],[Function Col5]]="","",_xlfn.CONCAT(Table13[[#This Row],[Day Col]],"/",Table13[[#This Row],[Month Col]],"/",Table13[[#This Row],[Year Col]]))</f>
        <v/>
      </c>
      <c r="O704" s="4" t="s">
        <v>1098</v>
      </c>
      <c r="P704" s="4">
        <f>IF(ISNUMBER(Table13[[#This Row],[Claim_Date2]]),Table13[[#This Row],[Claim_Date2]],Table13[[#This Row],[Function Col32]])</f>
        <v>45291</v>
      </c>
      <c r="Q704" s="4">
        <v>45291</v>
      </c>
      <c r="R704" s="1" t="s">
        <v>85</v>
      </c>
      <c r="S704" s="1" t="s">
        <v>31</v>
      </c>
      <c r="T704" s="1" t="s">
        <v>61</v>
      </c>
      <c r="U704" s="1"/>
      <c r="V704" s="1">
        <v>-62</v>
      </c>
      <c r="W704" s="1">
        <f>IF(Table1[[#This Row],[Claim_Amount]]&lt;0,0,Table1[[#This Row],[Claim_Amount]])</f>
        <v>0</v>
      </c>
      <c r="X704" s="1" t="str">
        <f>IF(Table1[[#This Row],[Column1]]=0,"",Table1[[#This Row],[Column1]])</f>
        <v/>
      </c>
      <c r="Y704" s="1" t="s">
        <v>1098</v>
      </c>
      <c r="Z704" s="1">
        <v>2481</v>
      </c>
      <c r="AA704">
        <v>832</v>
      </c>
      <c r="AB704" s="1" t="s">
        <v>1091</v>
      </c>
      <c r="AC704" s="1" t="s">
        <v>1093</v>
      </c>
      <c r="AD704" s="1">
        <v>15</v>
      </c>
      <c r="AE704" s="3" t="s">
        <v>37</v>
      </c>
    </row>
    <row r="705" spans="1:31" ht="15.75" customHeight="1" x14ac:dyDescent="0.35">
      <c r="A705" s="1" t="s">
        <v>163</v>
      </c>
      <c r="B705" s="1" t="s">
        <v>871</v>
      </c>
      <c r="C705" t="s">
        <v>1084</v>
      </c>
      <c r="D705" s="1" t="s">
        <v>872</v>
      </c>
      <c r="E705" s="5" t="s">
        <v>872</v>
      </c>
      <c r="F705" s="4" t="str">
        <f>IF(ISNUMBER(Table13[[#This Row],[Claim_Date2]]),"",Table13[[#This Row],[Claim_Date2]])</f>
        <v>Aug 25 2023</v>
      </c>
      <c r="G705" s="4" t="s">
        <v>872</v>
      </c>
      <c r="H705" s="4" t="str">
        <f>LEFT(Table13[[#This Row],[Values Col 1]],3)</f>
        <v>Aug</v>
      </c>
      <c r="I705" s="4" t="s">
        <v>1106</v>
      </c>
      <c r="J705" s="4" t="str">
        <f>MID(Table13[[#This Row],[Function Col]],5,2)</f>
        <v>25</v>
      </c>
      <c r="K705" s="4" t="s">
        <v>1123</v>
      </c>
      <c r="L705" s="4" t="str">
        <f>RIGHT(Table13[[#This Row],[Function Col]],4)</f>
        <v>2023</v>
      </c>
      <c r="M705" s="4" t="s">
        <v>1146</v>
      </c>
      <c r="N705" s="4" t="str">
        <f>IF(Table13[[#This Row],[Function Col5]]="","",_xlfn.CONCAT(Table13[[#This Row],[Day Col]],"/",Table13[[#This Row],[Month Col]],"/",Table13[[#This Row],[Year Col]]))</f>
        <v>25/Aug/2023</v>
      </c>
      <c r="O705" s="4" t="s">
        <v>1319</v>
      </c>
      <c r="P705" s="4" t="str">
        <f>IF(ISNUMBER(Table13[[#This Row],[Claim_Date2]]),Table13[[#This Row],[Claim_Date2]],Table13[[#This Row],[Function Col32]])</f>
        <v>25/Aug/2023</v>
      </c>
      <c r="Q705" s="4">
        <v>45163</v>
      </c>
      <c r="R705" s="1" t="s">
        <v>16</v>
      </c>
      <c r="S705" s="1" t="s">
        <v>23</v>
      </c>
      <c r="T705" t="s">
        <v>1086</v>
      </c>
      <c r="V705" s="1">
        <v>-183</v>
      </c>
      <c r="W705" s="1">
        <f>IF(Table1[[#This Row],[Claim_Amount]]&lt;0,0,Table1[[#This Row],[Claim_Amount]])</f>
        <v>0</v>
      </c>
      <c r="X705" s="1" t="str">
        <f>IF(Table1[[#This Row],[Column1]]=0,"",Table1[[#This Row],[Column1]])</f>
        <v/>
      </c>
      <c r="Y705" s="1" t="s">
        <v>1098</v>
      </c>
      <c r="Z705" s="1">
        <v>2481</v>
      </c>
      <c r="AA705">
        <v>832</v>
      </c>
      <c r="AB705" s="1" t="s">
        <v>25</v>
      </c>
      <c r="AC705" s="1" t="s">
        <v>26</v>
      </c>
      <c r="AD705">
        <v>9</v>
      </c>
      <c r="AE705" s="3" t="s">
        <v>27</v>
      </c>
    </row>
    <row r="706" spans="1:31" ht="15.75" customHeight="1" x14ac:dyDescent="0.35">
      <c r="A706" s="1" t="s">
        <v>137</v>
      </c>
      <c r="B706" s="1" t="s">
        <v>342</v>
      </c>
      <c r="C706" s="1" t="s">
        <v>314</v>
      </c>
      <c r="D706" s="1" t="s">
        <v>693</v>
      </c>
      <c r="E706" s="5">
        <v>45173</v>
      </c>
      <c r="F706" s="4" t="str">
        <f>IF(ISNUMBER(Table13[[#This Row],[Claim_Date2]]),"",Table13[[#This Row],[Claim_Date2]])</f>
        <v/>
      </c>
      <c r="G706" s="4" t="s">
        <v>1098</v>
      </c>
      <c r="H706" s="4" t="str">
        <f>LEFT(Table13[[#This Row],[Values Col 1]],3)</f>
        <v/>
      </c>
      <c r="I706" s="4" t="s">
        <v>1098</v>
      </c>
      <c r="J706" s="4" t="str">
        <f>MID(Table13[[#This Row],[Function Col]],5,2)</f>
        <v/>
      </c>
      <c r="K706" s="4" t="s">
        <v>1098</v>
      </c>
      <c r="L706" s="4" t="str">
        <f>RIGHT(Table13[[#This Row],[Function Col]],4)</f>
        <v/>
      </c>
      <c r="M706" s="4" t="s">
        <v>1098</v>
      </c>
      <c r="N706" s="4" t="str">
        <f>IF(Table13[[#This Row],[Function Col5]]="","",_xlfn.CONCAT(Table13[[#This Row],[Day Col]],"/",Table13[[#This Row],[Month Col]],"/",Table13[[#This Row],[Year Col]]))</f>
        <v/>
      </c>
      <c r="O706" s="4" t="s">
        <v>1098</v>
      </c>
      <c r="P706" s="4">
        <f>IF(ISNUMBER(Table13[[#This Row],[Claim_Date2]]),Table13[[#This Row],[Claim_Date2]],Table13[[#This Row],[Function Col32]])</f>
        <v>45173</v>
      </c>
      <c r="Q706" s="4">
        <v>45173</v>
      </c>
      <c r="R706" s="1" t="s">
        <v>85</v>
      </c>
      <c r="S706" s="1" t="s">
        <v>53</v>
      </c>
      <c r="T706" t="s">
        <v>1086</v>
      </c>
      <c r="V706" s="1">
        <v>-103</v>
      </c>
      <c r="W706" s="1">
        <f>IF(Table1[[#This Row],[Claim_Amount]]&lt;0,0,Table1[[#This Row],[Claim_Amount]])</f>
        <v>0</v>
      </c>
      <c r="X706" s="1" t="str">
        <f>IF(Table1[[#This Row],[Column1]]=0,"",Table1[[#This Row],[Column1]])</f>
        <v/>
      </c>
      <c r="Y706" s="1" t="s">
        <v>1098</v>
      </c>
      <c r="Z706" s="1">
        <v>2481</v>
      </c>
      <c r="AA706">
        <v>832</v>
      </c>
      <c r="AB706" s="1" t="s">
        <v>25</v>
      </c>
      <c r="AC706" s="1" t="s">
        <v>1093</v>
      </c>
      <c r="AD706" s="1">
        <v>50</v>
      </c>
      <c r="AE706" s="3" t="s">
        <v>19</v>
      </c>
    </row>
    <row r="707" spans="1:31" ht="15.75" customHeight="1" x14ac:dyDescent="0.35">
      <c r="A707" s="1" t="s">
        <v>50</v>
      </c>
      <c r="B707" t="s">
        <v>1083</v>
      </c>
      <c r="C707" s="1" t="s">
        <v>63</v>
      </c>
      <c r="D707" s="1" t="s">
        <v>873</v>
      </c>
      <c r="E707" s="5" t="s">
        <v>873</v>
      </c>
      <c r="F707" s="4" t="str">
        <f>IF(ISNUMBER(Table13[[#This Row],[Claim_Date2]]),"",Table13[[#This Row],[Claim_Date2]])</f>
        <v>Jul 31 2023</v>
      </c>
      <c r="G707" s="4" t="s">
        <v>873</v>
      </c>
      <c r="H707" s="4" t="str">
        <f>LEFT(Table13[[#This Row],[Values Col 1]],3)</f>
        <v>Jul</v>
      </c>
      <c r="I707" s="4" t="s">
        <v>1101</v>
      </c>
      <c r="J707" s="4" t="str">
        <f>MID(Table13[[#This Row],[Function Col]],5,2)</f>
        <v>31</v>
      </c>
      <c r="K707" s="4" t="s">
        <v>1133</v>
      </c>
      <c r="L707" s="4" t="str">
        <f>RIGHT(Table13[[#This Row],[Function Col]],4)</f>
        <v>2023</v>
      </c>
      <c r="M707" s="4" t="s">
        <v>1146</v>
      </c>
      <c r="N707" s="4" t="str">
        <f>IF(Table13[[#This Row],[Function Col5]]="","",_xlfn.CONCAT(Table13[[#This Row],[Day Col]],"/",Table13[[#This Row],[Month Col]],"/",Table13[[#This Row],[Year Col]]))</f>
        <v>31/Jul/2023</v>
      </c>
      <c r="O707" s="4" t="s">
        <v>1320</v>
      </c>
      <c r="P707" s="4" t="str">
        <f>IF(ISNUMBER(Table13[[#This Row],[Claim_Date2]]),Table13[[#This Row],[Claim_Date2]],Table13[[#This Row],[Function Col32]])</f>
        <v>31/Jul/2023</v>
      </c>
      <c r="Q707" s="4">
        <v>45138</v>
      </c>
      <c r="R707" s="1" t="s">
        <v>92</v>
      </c>
      <c r="S707" s="1" t="s">
        <v>93</v>
      </c>
      <c r="T707" s="1" t="s">
        <v>24</v>
      </c>
      <c r="U707" s="1"/>
      <c r="W707">
        <f>IF(Table1[[#This Row],[Claim_Amount]]&lt;0,0,Table1[[#This Row],[Claim_Amount]])</f>
        <v>0</v>
      </c>
      <c r="X707" t="str">
        <f>IF(Table1[[#This Row],[Column1]]=0,"",Table1[[#This Row],[Column1]])</f>
        <v/>
      </c>
      <c r="Y707" t="s">
        <v>1098</v>
      </c>
      <c r="Z707">
        <v>2481</v>
      </c>
      <c r="AA707">
        <v>832</v>
      </c>
      <c r="AB707" s="1" t="s">
        <v>25</v>
      </c>
      <c r="AC707" s="1" t="s">
        <v>1093</v>
      </c>
      <c r="AD707">
        <v>9</v>
      </c>
      <c r="AE707" s="3" t="s">
        <v>37</v>
      </c>
    </row>
    <row r="708" spans="1:31" ht="15.75" customHeight="1" x14ac:dyDescent="0.35">
      <c r="A708" s="1" t="s">
        <v>231</v>
      </c>
      <c r="B708" t="s">
        <v>1083</v>
      </c>
      <c r="C708" t="s">
        <v>1084</v>
      </c>
      <c r="D708" s="1" t="s">
        <v>874</v>
      </c>
      <c r="E708" s="5">
        <v>45154</v>
      </c>
      <c r="F708" s="4" t="str">
        <f>IF(ISNUMBER(Table13[[#This Row],[Claim_Date2]]),"",Table13[[#This Row],[Claim_Date2]])</f>
        <v/>
      </c>
      <c r="G708" s="4" t="s">
        <v>1098</v>
      </c>
      <c r="H708" s="4" t="str">
        <f>LEFT(Table13[[#This Row],[Values Col 1]],3)</f>
        <v/>
      </c>
      <c r="I708" s="4" t="s">
        <v>1098</v>
      </c>
      <c r="J708" s="4" t="str">
        <f>MID(Table13[[#This Row],[Function Col]],5,2)</f>
        <v/>
      </c>
      <c r="K708" s="4" t="s">
        <v>1098</v>
      </c>
      <c r="L708" s="4" t="str">
        <f>RIGHT(Table13[[#This Row],[Function Col]],4)</f>
        <v/>
      </c>
      <c r="M708" s="4" t="s">
        <v>1098</v>
      </c>
      <c r="N708" s="4" t="str">
        <f>IF(Table13[[#This Row],[Function Col5]]="","",_xlfn.CONCAT(Table13[[#This Row],[Day Col]],"/",Table13[[#This Row],[Month Col]],"/",Table13[[#This Row],[Year Col]]))</f>
        <v/>
      </c>
      <c r="O708" s="4" t="s">
        <v>1098</v>
      </c>
      <c r="P708" s="4">
        <f>IF(ISNUMBER(Table13[[#This Row],[Claim_Date2]]),Table13[[#This Row],[Claim_Date2]],Table13[[#This Row],[Function Col32]])</f>
        <v>45154</v>
      </c>
      <c r="Q708" s="4">
        <v>45154</v>
      </c>
      <c r="R708" s="1" t="s">
        <v>16</v>
      </c>
      <c r="S708" s="1" t="s">
        <v>31</v>
      </c>
      <c r="T708" s="1" t="s">
        <v>54</v>
      </c>
      <c r="U708" s="1"/>
      <c r="W708">
        <f>IF(Table1[[#This Row],[Claim_Amount]]&lt;0,0,Table1[[#This Row],[Claim_Amount]])</f>
        <v>0</v>
      </c>
      <c r="X708" t="str">
        <f>IF(Table1[[#This Row],[Column1]]=0,"",Table1[[#This Row],[Column1]])</f>
        <v/>
      </c>
      <c r="Y708" t="s">
        <v>1098</v>
      </c>
      <c r="Z708">
        <v>2481</v>
      </c>
      <c r="AA708">
        <v>832</v>
      </c>
      <c r="AB708" s="1" t="s">
        <v>25</v>
      </c>
      <c r="AC708" s="1" t="s">
        <v>18</v>
      </c>
      <c r="AD708">
        <v>9</v>
      </c>
      <c r="AE708" s="3" t="s">
        <v>1097</v>
      </c>
    </row>
    <row r="709" spans="1:31" ht="15.75" customHeight="1" x14ac:dyDescent="0.35">
      <c r="A709" s="1" t="s">
        <v>242</v>
      </c>
      <c r="B709" t="s">
        <v>1083</v>
      </c>
      <c r="C709" s="1" t="s">
        <v>414</v>
      </c>
      <c r="D709" s="1" t="s">
        <v>875</v>
      </c>
      <c r="E709" s="5">
        <v>45251</v>
      </c>
      <c r="F709" s="4" t="str">
        <f>IF(ISNUMBER(Table13[[#This Row],[Claim_Date2]]),"",Table13[[#This Row],[Claim_Date2]])</f>
        <v/>
      </c>
      <c r="G709" s="4" t="s">
        <v>1098</v>
      </c>
      <c r="H709" s="4" t="str">
        <f>LEFT(Table13[[#This Row],[Values Col 1]],3)</f>
        <v/>
      </c>
      <c r="I709" s="4" t="s">
        <v>1098</v>
      </c>
      <c r="J709" s="4" t="str">
        <f>MID(Table13[[#This Row],[Function Col]],5,2)</f>
        <v/>
      </c>
      <c r="K709" s="4" t="s">
        <v>1098</v>
      </c>
      <c r="L709" s="4" t="str">
        <f>RIGHT(Table13[[#This Row],[Function Col]],4)</f>
        <v/>
      </c>
      <c r="M709" s="4" t="s">
        <v>1098</v>
      </c>
      <c r="N709" s="4" t="str">
        <f>IF(Table13[[#This Row],[Function Col5]]="","",_xlfn.CONCAT(Table13[[#This Row],[Day Col]],"/",Table13[[#This Row],[Month Col]],"/",Table13[[#This Row],[Year Col]]))</f>
        <v/>
      </c>
      <c r="O709" s="4" t="s">
        <v>1098</v>
      </c>
      <c r="P709" s="4">
        <f>IF(ISNUMBER(Table13[[#This Row],[Claim_Date2]]),Table13[[#This Row],[Claim_Date2]],Table13[[#This Row],[Function Col32]])</f>
        <v>45251</v>
      </c>
      <c r="Q709" s="4">
        <v>45251</v>
      </c>
      <c r="R709" s="1" t="s">
        <v>16</v>
      </c>
      <c r="S709" s="1" t="s">
        <v>53</v>
      </c>
      <c r="T709" t="s">
        <v>1086</v>
      </c>
      <c r="W709">
        <f>IF(Table1[[#This Row],[Claim_Amount]]&lt;0,0,Table1[[#This Row],[Claim_Amount]])</f>
        <v>0</v>
      </c>
      <c r="X709" t="str">
        <f>IF(Table1[[#This Row],[Column1]]=0,"",Table1[[#This Row],[Column1]])</f>
        <v/>
      </c>
      <c r="Y709" t="s">
        <v>1098</v>
      </c>
      <c r="Z709">
        <v>2481</v>
      </c>
      <c r="AA709">
        <v>832</v>
      </c>
      <c r="AB709" s="1" t="s">
        <v>25</v>
      </c>
      <c r="AC709" s="1" t="s">
        <v>32</v>
      </c>
      <c r="AD709" s="1">
        <v>40</v>
      </c>
      <c r="AE709" s="3" t="s">
        <v>19</v>
      </c>
    </row>
    <row r="710" spans="1:31" ht="15.75" customHeight="1" x14ac:dyDescent="0.35">
      <c r="A710" s="1" t="s">
        <v>187</v>
      </c>
      <c r="B710" t="s">
        <v>1083</v>
      </c>
      <c r="C710" s="1" t="s">
        <v>119</v>
      </c>
      <c r="D710" s="1" t="s">
        <v>876</v>
      </c>
      <c r="E710" s="5" t="s">
        <v>876</v>
      </c>
      <c r="F710" s="4" t="str">
        <f>IF(ISNUMBER(Table13[[#This Row],[Claim_Date2]]),"",Table13[[#This Row],[Claim_Date2]])</f>
        <v>Sep 18 2023</v>
      </c>
      <c r="G710" s="4" t="s">
        <v>876</v>
      </c>
      <c r="H710" s="4" t="str">
        <f>LEFT(Table13[[#This Row],[Values Col 1]],3)</f>
        <v>Sep</v>
      </c>
      <c r="I710" s="4" t="s">
        <v>1102</v>
      </c>
      <c r="J710" s="4" t="str">
        <f>MID(Table13[[#This Row],[Function Col]],5,2)</f>
        <v>18</v>
      </c>
      <c r="K710" s="4" t="s">
        <v>1129</v>
      </c>
      <c r="L710" s="4" t="str">
        <f>RIGHT(Table13[[#This Row],[Function Col]],4)</f>
        <v>2023</v>
      </c>
      <c r="M710" s="4" t="s">
        <v>1146</v>
      </c>
      <c r="N710" s="4" t="str">
        <f>IF(Table13[[#This Row],[Function Col5]]="","",_xlfn.CONCAT(Table13[[#This Row],[Day Col]],"/",Table13[[#This Row],[Month Col]],"/",Table13[[#This Row],[Year Col]]))</f>
        <v>18/Sep/2023</v>
      </c>
      <c r="O710" s="4" t="s">
        <v>1321</v>
      </c>
      <c r="P710" s="4" t="str">
        <f>IF(ISNUMBER(Table13[[#This Row],[Claim_Date2]]),Table13[[#This Row],[Claim_Date2]],Table13[[#This Row],[Function Col32]])</f>
        <v>18/Sep/2023</v>
      </c>
      <c r="Q710" s="4">
        <v>45187</v>
      </c>
      <c r="R710" s="1" t="s">
        <v>85</v>
      </c>
      <c r="S710" s="1" t="s">
        <v>47</v>
      </c>
      <c r="T710" s="1" t="s">
        <v>48</v>
      </c>
      <c r="U710" s="1"/>
      <c r="W710">
        <f>IF(Table1[[#This Row],[Claim_Amount]]&lt;0,0,Table1[[#This Row],[Claim_Amount]])</f>
        <v>0</v>
      </c>
      <c r="X710" t="str">
        <f>IF(Table1[[#This Row],[Column1]]=0,"",Table1[[#This Row],[Column1]])</f>
        <v/>
      </c>
      <c r="Y710" t="s">
        <v>1098</v>
      </c>
      <c r="Z710">
        <v>2481</v>
      </c>
      <c r="AA710">
        <v>832</v>
      </c>
      <c r="AB710" s="1" t="s">
        <v>1091</v>
      </c>
      <c r="AC710" s="1" t="s">
        <v>32</v>
      </c>
      <c r="AD710">
        <v>9</v>
      </c>
      <c r="AE710" s="3" t="s">
        <v>37</v>
      </c>
    </row>
    <row r="711" spans="1:31" ht="15.75" customHeight="1" x14ac:dyDescent="0.35">
      <c r="A711" s="1" t="s">
        <v>117</v>
      </c>
      <c r="B711" s="1" t="s">
        <v>799</v>
      </c>
      <c r="C711" t="s">
        <v>1084</v>
      </c>
      <c r="D711" s="1" t="s">
        <v>877</v>
      </c>
      <c r="E711" s="5">
        <v>45016</v>
      </c>
      <c r="F711" s="4" t="str">
        <f>IF(ISNUMBER(Table13[[#This Row],[Claim_Date2]]),"",Table13[[#This Row],[Claim_Date2]])</f>
        <v/>
      </c>
      <c r="G711" s="4" t="s">
        <v>1098</v>
      </c>
      <c r="H711" s="4" t="str">
        <f>LEFT(Table13[[#This Row],[Values Col 1]],3)</f>
        <v/>
      </c>
      <c r="I711" s="4" t="s">
        <v>1098</v>
      </c>
      <c r="J711" s="4" t="str">
        <f>MID(Table13[[#This Row],[Function Col]],5,2)</f>
        <v/>
      </c>
      <c r="K711" s="4" t="s">
        <v>1098</v>
      </c>
      <c r="L711" s="4" t="str">
        <f>RIGHT(Table13[[#This Row],[Function Col]],4)</f>
        <v/>
      </c>
      <c r="M711" s="4" t="s">
        <v>1098</v>
      </c>
      <c r="N711" s="4" t="str">
        <f>IF(Table13[[#This Row],[Function Col5]]="","",_xlfn.CONCAT(Table13[[#This Row],[Day Col]],"/",Table13[[#This Row],[Month Col]],"/",Table13[[#This Row],[Year Col]]))</f>
        <v/>
      </c>
      <c r="O711" s="4" t="s">
        <v>1098</v>
      </c>
      <c r="P711" s="4">
        <f>IF(ISNUMBER(Table13[[#This Row],[Claim_Date2]]),Table13[[#This Row],[Claim_Date2]],Table13[[#This Row],[Function Col32]])</f>
        <v>45016</v>
      </c>
      <c r="Q711" s="4">
        <v>45016</v>
      </c>
      <c r="R711" s="1" t="s">
        <v>16</v>
      </c>
      <c r="S711" s="1" t="s">
        <v>23</v>
      </c>
      <c r="T711" s="1" t="s">
        <v>41</v>
      </c>
      <c r="U711" s="1"/>
      <c r="W711">
        <f>IF(Table1[[#This Row],[Claim_Amount]]&lt;0,0,Table1[[#This Row],[Claim_Amount]])</f>
        <v>0</v>
      </c>
      <c r="X711" t="str">
        <f>IF(Table1[[#This Row],[Column1]]=0,"",Table1[[#This Row],[Column1]])</f>
        <v/>
      </c>
      <c r="Y711" t="s">
        <v>1098</v>
      </c>
      <c r="Z711">
        <v>2481</v>
      </c>
      <c r="AA711">
        <v>832</v>
      </c>
      <c r="AB711" s="1" t="s">
        <v>25</v>
      </c>
      <c r="AC711" s="1" t="s">
        <v>18</v>
      </c>
      <c r="AD711">
        <v>9</v>
      </c>
      <c r="AE711" s="3" t="s">
        <v>37</v>
      </c>
    </row>
    <row r="712" spans="1:31" ht="15.75" customHeight="1" x14ac:dyDescent="0.35">
      <c r="A712" s="1" t="s">
        <v>209</v>
      </c>
      <c r="B712" s="1" t="s">
        <v>878</v>
      </c>
      <c r="C712" s="1" t="s">
        <v>133</v>
      </c>
      <c r="D712" s="1" t="s">
        <v>637</v>
      </c>
      <c r="E712" s="5">
        <v>45030</v>
      </c>
      <c r="F712" s="4" t="str">
        <f>IF(ISNUMBER(Table13[[#This Row],[Claim_Date2]]),"",Table13[[#This Row],[Claim_Date2]])</f>
        <v/>
      </c>
      <c r="G712" s="4" t="s">
        <v>1098</v>
      </c>
      <c r="H712" s="4" t="str">
        <f>LEFT(Table13[[#This Row],[Values Col 1]],3)</f>
        <v/>
      </c>
      <c r="I712" s="4" t="s">
        <v>1098</v>
      </c>
      <c r="J712" s="4" t="str">
        <f>MID(Table13[[#This Row],[Function Col]],5,2)</f>
        <v/>
      </c>
      <c r="K712" s="4" t="s">
        <v>1098</v>
      </c>
      <c r="L712" s="4" t="str">
        <f>RIGHT(Table13[[#This Row],[Function Col]],4)</f>
        <v/>
      </c>
      <c r="M712" s="4" t="s">
        <v>1098</v>
      </c>
      <c r="N712" s="4" t="str">
        <f>IF(Table13[[#This Row],[Function Col5]]="","",_xlfn.CONCAT(Table13[[#This Row],[Day Col]],"/",Table13[[#This Row],[Month Col]],"/",Table13[[#This Row],[Year Col]]))</f>
        <v/>
      </c>
      <c r="O712" s="4" t="s">
        <v>1098</v>
      </c>
      <c r="P712" s="4">
        <f>IF(ISNUMBER(Table13[[#This Row],[Claim_Date2]]),Table13[[#This Row],[Claim_Date2]],Table13[[#This Row],[Function Col32]])</f>
        <v>45030</v>
      </c>
      <c r="Q712" s="4">
        <v>45030</v>
      </c>
      <c r="R712" s="1" t="s">
        <v>77</v>
      </c>
      <c r="S712" t="s">
        <v>1085</v>
      </c>
      <c r="T712" s="1" t="s">
        <v>61</v>
      </c>
      <c r="U712" s="1"/>
      <c r="V712" s="1">
        <v>4762.54</v>
      </c>
      <c r="W712" s="1">
        <f>IF(Table1[[#This Row],[Claim_Amount]]&lt;0,0,Table1[[#This Row],[Claim_Amount]])</f>
        <v>4762.54</v>
      </c>
      <c r="X712" s="1">
        <f>IF(Table1[[#This Row],[Column1]]=0,"",Table1[[#This Row],[Column1]])</f>
        <v>4762.54</v>
      </c>
      <c r="Y712" s="1">
        <v>4762.54</v>
      </c>
      <c r="Z712" s="1">
        <v>4762.54</v>
      </c>
      <c r="AA712">
        <v>832</v>
      </c>
      <c r="AB712" s="1" t="s">
        <v>1091</v>
      </c>
      <c r="AC712" s="1" t="s">
        <v>26</v>
      </c>
      <c r="AD712" s="1">
        <v>51</v>
      </c>
      <c r="AE712" s="3" t="s">
        <v>37</v>
      </c>
    </row>
    <row r="713" spans="1:31" ht="15.75" customHeight="1" x14ac:dyDescent="0.35">
      <c r="A713" s="1" t="s">
        <v>209</v>
      </c>
      <c r="B713" s="1" t="s">
        <v>879</v>
      </c>
      <c r="C713" t="s">
        <v>1084</v>
      </c>
      <c r="D713" s="1" t="s">
        <v>880</v>
      </c>
      <c r="E713" s="5">
        <v>45020</v>
      </c>
      <c r="F713" s="4" t="str">
        <f>IF(ISNUMBER(Table13[[#This Row],[Claim_Date2]]),"",Table13[[#This Row],[Claim_Date2]])</f>
        <v/>
      </c>
      <c r="G713" s="4" t="s">
        <v>1098</v>
      </c>
      <c r="H713" s="4" t="str">
        <f>LEFT(Table13[[#This Row],[Values Col 1]],3)</f>
        <v/>
      </c>
      <c r="I713" s="4" t="s">
        <v>1098</v>
      </c>
      <c r="J713" s="4" t="str">
        <f>MID(Table13[[#This Row],[Function Col]],5,2)</f>
        <v/>
      </c>
      <c r="K713" s="4" t="s">
        <v>1098</v>
      </c>
      <c r="L713" s="4" t="str">
        <f>RIGHT(Table13[[#This Row],[Function Col]],4)</f>
        <v/>
      </c>
      <c r="M713" s="4" t="s">
        <v>1098</v>
      </c>
      <c r="N713" s="4" t="str">
        <f>IF(Table13[[#This Row],[Function Col5]]="","",_xlfn.CONCAT(Table13[[#This Row],[Day Col]],"/",Table13[[#This Row],[Month Col]],"/",Table13[[#This Row],[Year Col]]))</f>
        <v/>
      </c>
      <c r="O713" s="4" t="s">
        <v>1098</v>
      </c>
      <c r="P713" s="4">
        <f>IF(ISNUMBER(Table13[[#This Row],[Claim_Date2]]),Table13[[#This Row],[Claim_Date2]],Table13[[#This Row],[Function Col32]])</f>
        <v>45020</v>
      </c>
      <c r="Q713" s="4">
        <v>45020</v>
      </c>
      <c r="R713" s="1" t="s">
        <v>85</v>
      </c>
      <c r="S713" t="s">
        <v>1085</v>
      </c>
      <c r="T713" t="s">
        <v>1086</v>
      </c>
      <c r="W713">
        <f>IF(Table1[[#This Row],[Claim_Amount]]&lt;0,0,Table1[[#This Row],[Claim_Amount]])</f>
        <v>0</v>
      </c>
      <c r="X713" t="str">
        <f>IF(Table1[[#This Row],[Column1]]=0,"",Table1[[#This Row],[Column1]])</f>
        <v/>
      </c>
      <c r="Y713" t="s">
        <v>1098</v>
      </c>
      <c r="Z713">
        <v>2481</v>
      </c>
      <c r="AA713" s="1">
        <v>2782.28</v>
      </c>
      <c r="AB713" s="1" t="s">
        <v>17</v>
      </c>
      <c r="AC713" s="1" t="s">
        <v>26</v>
      </c>
      <c r="AD713" s="1">
        <v>57</v>
      </c>
      <c r="AE713" s="3" t="s">
        <v>1097</v>
      </c>
    </row>
    <row r="714" spans="1:31" ht="15.75" customHeight="1" x14ac:dyDescent="0.35">
      <c r="A714" s="1" t="s">
        <v>192</v>
      </c>
      <c r="B714" s="1" t="s">
        <v>125</v>
      </c>
      <c r="C714" s="1" t="s">
        <v>644</v>
      </c>
      <c r="D714" s="1" t="s">
        <v>624</v>
      </c>
      <c r="E714" s="5">
        <v>45224</v>
      </c>
      <c r="F714" s="4" t="str">
        <f>IF(ISNUMBER(Table13[[#This Row],[Claim_Date2]]),"",Table13[[#This Row],[Claim_Date2]])</f>
        <v/>
      </c>
      <c r="G714" s="4" t="s">
        <v>1098</v>
      </c>
      <c r="H714" s="4" t="str">
        <f>LEFT(Table13[[#This Row],[Values Col 1]],3)</f>
        <v/>
      </c>
      <c r="I714" s="4" t="s">
        <v>1098</v>
      </c>
      <c r="J714" s="4" t="str">
        <f>MID(Table13[[#This Row],[Function Col]],5,2)</f>
        <v/>
      </c>
      <c r="K714" s="4" t="s">
        <v>1098</v>
      </c>
      <c r="L714" s="4" t="str">
        <f>RIGHT(Table13[[#This Row],[Function Col]],4)</f>
        <v/>
      </c>
      <c r="M714" s="4" t="s">
        <v>1098</v>
      </c>
      <c r="N714" s="4" t="str">
        <f>IF(Table13[[#This Row],[Function Col5]]="","",_xlfn.CONCAT(Table13[[#This Row],[Day Col]],"/",Table13[[#This Row],[Month Col]],"/",Table13[[#This Row],[Year Col]]))</f>
        <v/>
      </c>
      <c r="O714" s="4" t="s">
        <v>1098</v>
      </c>
      <c r="P714" s="4">
        <f>IF(ISNUMBER(Table13[[#This Row],[Claim_Date2]]),Table13[[#This Row],[Claim_Date2]],Table13[[#This Row],[Function Col32]])</f>
        <v>45224</v>
      </c>
      <c r="Q714" s="4">
        <v>45224</v>
      </c>
      <c r="R714" s="1" t="s">
        <v>16</v>
      </c>
      <c r="S714" s="1" t="s">
        <v>47</v>
      </c>
      <c r="T714" s="1" t="s">
        <v>61</v>
      </c>
      <c r="U714" s="1"/>
      <c r="V714" s="1">
        <v>1628.35</v>
      </c>
      <c r="W714" s="1">
        <f>IF(Table1[[#This Row],[Claim_Amount]]&lt;0,0,Table1[[#This Row],[Claim_Amount]])</f>
        <v>1628.35</v>
      </c>
      <c r="X714" s="1">
        <f>IF(Table1[[#This Row],[Column1]]=0,"",Table1[[#This Row],[Column1]])</f>
        <v>1628.35</v>
      </c>
      <c r="Y714" s="1">
        <v>1628.35</v>
      </c>
      <c r="Z714" s="1">
        <v>1628.35</v>
      </c>
      <c r="AA714" s="1">
        <v>1022.31</v>
      </c>
      <c r="AB714" s="1" t="s">
        <v>25</v>
      </c>
      <c r="AC714" s="1" t="s">
        <v>26</v>
      </c>
      <c r="AD714" s="1">
        <v>30</v>
      </c>
      <c r="AE714" s="3" t="s">
        <v>19</v>
      </c>
    </row>
    <row r="715" spans="1:31" ht="15.75" customHeight="1" x14ac:dyDescent="0.35">
      <c r="A715" s="1" t="s">
        <v>73</v>
      </c>
      <c r="B715" s="1" t="s">
        <v>881</v>
      </c>
      <c r="C715" t="s">
        <v>1084</v>
      </c>
      <c r="D715" s="1" t="s">
        <v>732</v>
      </c>
      <c r="E715" s="5" t="s">
        <v>732</v>
      </c>
      <c r="F715" s="4" t="str">
        <f>IF(ISNUMBER(Table13[[#This Row],[Claim_Date2]]),"",Table13[[#This Row],[Claim_Date2]])</f>
        <v>Jan 05 2023</v>
      </c>
      <c r="G715" s="4" t="s">
        <v>732</v>
      </c>
      <c r="H715" s="4" t="str">
        <f>LEFT(Table13[[#This Row],[Values Col 1]],3)</f>
        <v>Jan</v>
      </c>
      <c r="I715" s="4" t="s">
        <v>1107</v>
      </c>
      <c r="J715" s="4" t="str">
        <f>MID(Table13[[#This Row],[Function Col]],5,2)</f>
        <v>05</v>
      </c>
      <c r="K715" s="4" t="s">
        <v>1144</v>
      </c>
      <c r="L715" s="4" t="str">
        <f>RIGHT(Table13[[#This Row],[Function Col]],4)</f>
        <v>2023</v>
      </c>
      <c r="M715" s="4" t="s">
        <v>1146</v>
      </c>
      <c r="N715" s="4" t="str">
        <f>IF(Table13[[#This Row],[Function Col5]]="","",_xlfn.CONCAT(Table13[[#This Row],[Day Col]],"/",Table13[[#This Row],[Month Col]],"/",Table13[[#This Row],[Year Col]]))</f>
        <v>05/Jan/2023</v>
      </c>
      <c r="O715" s="4" t="s">
        <v>1284</v>
      </c>
      <c r="P715" s="4" t="str">
        <f>IF(ISNUMBER(Table13[[#This Row],[Claim_Date2]]),Table13[[#This Row],[Claim_Date2]],Table13[[#This Row],[Function Col32]])</f>
        <v>05/Jan/2023</v>
      </c>
      <c r="Q715" s="4">
        <v>44931</v>
      </c>
      <c r="R715" s="1" t="s">
        <v>77</v>
      </c>
      <c r="S715" s="1" t="s">
        <v>23</v>
      </c>
      <c r="T715" t="s">
        <v>1086</v>
      </c>
      <c r="W715">
        <f>IF(Table1[[#This Row],[Claim_Amount]]&lt;0,0,Table1[[#This Row],[Claim_Amount]])</f>
        <v>0</v>
      </c>
      <c r="X715" t="str">
        <f>IF(Table1[[#This Row],[Column1]]=0,"",Table1[[#This Row],[Column1]])</f>
        <v/>
      </c>
      <c r="Y715" t="s">
        <v>1098</v>
      </c>
      <c r="Z715">
        <v>2481</v>
      </c>
      <c r="AA715">
        <v>832</v>
      </c>
      <c r="AB715" s="1" t="s">
        <v>1091</v>
      </c>
      <c r="AC715" s="1" t="s">
        <v>1093</v>
      </c>
      <c r="AD715">
        <v>9</v>
      </c>
      <c r="AE715" s="3" t="s">
        <v>37</v>
      </c>
    </row>
    <row r="716" spans="1:31" ht="15.75" customHeight="1" x14ac:dyDescent="0.35">
      <c r="A716" s="1" t="s">
        <v>154</v>
      </c>
      <c r="B716" t="s">
        <v>1083</v>
      </c>
      <c r="C716" s="1" t="s">
        <v>150</v>
      </c>
      <c r="D716" s="1" t="s">
        <v>563</v>
      </c>
      <c r="E716" s="5" t="s">
        <v>563</v>
      </c>
      <c r="F716" s="4" t="str">
        <f>IF(ISNUMBER(Table13[[#This Row],[Claim_Date2]]),"",Table13[[#This Row],[Claim_Date2]])</f>
        <v>Sep 05 2023</v>
      </c>
      <c r="G716" s="4" t="s">
        <v>563</v>
      </c>
      <c r="H716" s="4" t="str">
        <f>LEFT(Table13[[#This Row],[Values Col 1]],3)</f>
        <v>Sep</v>
      </c>
      <c r="I716" s="4" t="s">
        <v>1102</v>
      </c>
      <c r="J716" s="4" t="str">
        <f>MID(Table13[[#This Row],[Function Col]],5,2)</f>
        <v>05</v>
      </c>
      <c r="K716" s="4" t="s">
        <v>1144</v>
      </c>
      <c r="L716" s="4" t="str">
        <f>RIGHT(Table13[[#This Row],[Function Col]],4)</f>
        <v>2023</v>
      </c>
      <c r="M716" s="4" t="s">
        <v>1146</v>
      </c>
      <c r="N716" s="4" t="str">
        <f>IF(Table13[[#This Row],[Function Col5]]="","",_xlfn.CONCAT(Table13[[#This Row],[Day Col]],"/",Table13[[#This Row],[Month Col]],"/",Table13[[#This Row],[Year Col]]))</f>
        <v>05/Sep/2023</v>
      </c>
      <c r="O716" s="4" t="s">
        <v>1248</v>
      </c>
      <c r="P716" s="4" t="str">
        <f>IF(ISNUMBER(Table13[[#This Row],[Claim_Date2]]),Table13[[#This Row],[Claim_Date2]],Table13[[#This Row],[Function Col32]])</f>
        <v>05/Sep/2023</v>
      </c>
      <c r="Q716" s="4">
        <v>45174</v>
      </c>
      <c r="R716" s="1" t="s">
        <v>92</v>
      </c>
      <c r="S716" t="s">
        <v>1085</v>
      </c>
      <c r="T716" s="1" t="s">
        <v>41</v>
      </c>
      <c r="U716" s="1"/>
      <c r="W716">
        <f>IF(Table1[[#This Row],[Claim_Amount]]&lt;0,0,Table1[[#This Row],[Claim_Amount]])</f>
        <v>0</v>
      </c>
      <c r="X716" t="str">
        <f>IF(Table1[[#This Row],[Column1]]=0,"",Table1[[#This Row],[Column1]])</f>
        <v/>
      </c>
      <c r="Y716" t="s">
        <v>1098</v>
      </c>
      <c r="Z716">
        <v>2481</v>
      </c>
      <c r="AA716">
        <v>832</v>
      </c>
      <c r="AB716" s="1" t="s">
        <v>1091</v>
      </c>
      <c r="AC716" s="1" t="s">
        <v>57</v>
      </c>
      <c r="AD716">
        <v>9</v>
      </c>
      <c r="AE716" s="3" t="s">
        <v>37</v>
      </c>
    </row>
    <row r="717" spans="1:31" ht="15.75" customHeight="1" x14ac:dyDescent="0.35">
      <c r="A717" s="1" t="s">
        <v>55</v>
      </c>
      <c r="B717" s="1" t="s">
        <v>882</v>
      </c>
      <c r="C717" s="1" t="s">
        <v>486</v>
      </c>
      <c r="D717" s="1" t="s">
        <v>883</v>
      </c>
      <c r="E717" s="5">
        <v>45187</v>
      </c>
      <c r="F717" s="4" t="str">
        <f>IF(ISNUMBER(Table13[[#This Row],[Claim_Date2]]),"",Table13[[#This Row],[Claim_Date2]])</f>
        <v/>
      </c>
      <c r="G717" s="4" t="s">
        <v>1098</v>
      </c>
      <c r="H717" s="4" t="str">
        <f>LEFT(Table13[[#This Row],[Values Col 1]],3)</f>
        <v/>
      </c>
      <c r="I717" s="4" t="s">
        <v>1098</v>
      </c>
      <c r="J717" s="4" t="str">
        <f>MID(Table13[[#This Row],[Function Col]],5,2)</f>
        <v/>
      </c>
      <c r="K717" s="4" t="s">
        <v>1098</v>
      </c>
      <c r="L717" s="4" t="str">
        <f>RIGHT(Table13[[#This Row],[Function Col]],4)</f>
        <v/>
      </c>
      <c r="M717" s="4" t="s">
        <v>1098</v>
      </c>
      <c r="N717" s="4" t="str">
        <f>IF(Table13[[#This Row],[Function Col5]]="","",_xlfn.CONCAT(Table13[[#This Row],[Day Col]],"/",Table13[[#This Row],[Month Col]],"/",Table13[[#This Row],[Year Col]]))</f>
        <v/>
      </c>
      <c r="O717" s="4" t="s">
        <v>1098</v>
      </c>
      <c r="P717" s="4">
        <f>IF(ISNUMBER(Table13[[#This Row],[Claim_Date2]]),Table13[[#This Row],[Claim_Date2]],Table13[[#This Row],[Function Col32]])</f>
        <v>45187</v>
      </c>
      <c r="Q717" s="4">
        <v>45187</v>
      </c>
      <c r="R717" s="1" t="s">
        <v>85</v>
      </c>
      <c r="S717" s="1" t="s">
        <v>93</v>
      </c>
      <c r="T717" s="1" t="s">
        <v>61</v>
      </c>
      <c r="U717" s="1"/>
      <c r="W717">
        <f>IF(Table1[[#This Row],[Claim_Amount]]&lt;0,0,Table1[[#This Row],[Claim_Amount]])</f>
        <v>0</v>
      </c>
      <c r="X717" t="str">
        <f>IF(Table1[[#This Row],[Column1]]=0,"",Table1[[#This Row],[Column1]])</f>
        <v/>
      </c>
      <c r="Y717" t="s">
        <v>1098</v>
      </c>
      <c r="Z717">
        <v>2481</v>
      </c>
      <c r="AA717">
        <v>832</v>
      </c>
      <c r="AB717" s="1" t="s">
        <v>42</v>
      </c>
      <c r="AC717" s="1" t="s">
        <v>57</v>
      </c>
      <c r="AD717" s="1">
        <v>52</v>
      </c>
      <c r="AE717" s="3" t="s">
        <v>65</v>
      </c>
    </row>
    <row r="718" spans="1:31" ht="15.75" customHeight="1" x14ac:dyDescent="0.35">
      <c r="A718" s="1" t="s">
        <v>202</v>
      </c>
      <c r="B718" s="1" t="s">
        <v>884</v>
      </c>
      <c r="C718" t="s">
        <v>1084</v>
      </c>
      <c r="D718" s="1" t="s">
        <v>294</v>
      </c>
      <c r="E718" s="5" t="s">
        <v>294</v>
      </c>
      <c r="F718" s="4" t="str">
        <f>IF(ISNUMBER(Table13[[#This Row],[Claim_Date2]]),"",Table13[[#This Row],[Claim_Date2]])</f>
        <v>Jun 13 2023</v>
      </c>
      <c r="G718" s="4" t="s">
        <v>294</v>
      </c>
      <c r="H718" s="4" t="str">
        <f>LEFT(Table13[[#This Row],[Values Col 1]],3)</f>
        <v>Jun</v>
      </c>
      <c r="I718" s="4" t="s">
        <v>1108</v>
      </c>
      <c r="J718" s="4" t="str">
        <f>MID(Table13[[#This Row],[Function Col]],5,2)</f>
        <v>13</v>
      </c>
      <c r="K718" s="4" t="s">
        <v>1114</v>
      </c>
      <c r="L718" s="4" t="str">
        <f>RIGHT(Table13[[#This Row],[Function Col]],4)</f>
        <v>2023</v>
      </c>
      <c r="M718" s="4" t="s">
        <v>1146</v>
      </c>
      <c r="N718" s="4" t="str">
        <f>IF(Table13[[#This Row],[Function Col5]]="","",_xlfn.CONCAT(Table13[[#This Row],[Day Col]],"/",Table13[[#This Row],[Month Col]],"/",Table13[[#This Row],[Year Col]]))</f>
        <v>13/Jun/2023</v>
      </c>
      <c r="O718" s="4" t="s">
        <v>1186</v>
      </c>
      <c r="P718" s="4" t="str">
        <f>IF(ISNUMBER(Table13[[#This Row],[Claim_Date2]]),Table13[[#This Row],[Claim_Date2]],Table13[[#This Row],[Function Col32]])</f>
        <v>13/Jun/2023</v>
      </c>
      <c r="Q718" s="4">
        <v>45090</v>
      </c>
      <c r="R718" s="1" t="s">
        <v>77</v>
      </c>
      <c r="S718" s="1" t="s">
        <v>23</v>
      </c>
      <c r="T718" t="s">
        <v>1086</v>
      </c>
      <c r="W718">
        <f>IF(Table1[[#This Row],[Claim_Amount]]&lt;0,0,Table1[[#This Row],[Claim_Amount]])</f>
        <v>0</v>
      </c>
      <c r="X718" t="str">
        <f>IF(Table1[[#This Row],[Column1]]=0,"",Table1[[#This Row],[Column1]])</f>
        <v/>
      </c>
      <c r="Y718" t="s">
        <v>1098</v>
      </c>
      <c r="Z718">
        <v>2481</v>
      </c>
      <c r="AA718" s="1">
        <v>2876.49</v>
      </c>
      <c r="AB718" s="1" t="s">
        <v>42</v>
      </c>
      <c r="AC718" s="1" t="s">
        <v>18</v>
      </c>
      <c r="AD718">
        <v>9</v>
      </c>
      <c r="AE718" s="3" t="s">
        <v>65</v>
      </c>
    </row>
    <row r="719" spans="1:31" ht="15.75" customHeight="1" x14ac:dyDescent="0.35">
      <c r="A719" s="1" t="s">
        <v>132</v>
      </c>
      <c r="B719" t="s">
        <v>1083</v>
      </c>
      <c r="C719" t="s">
        <v>1084</v>
      </c>
      <c r="D719" s="1" t="s">
        <v>885</v>
      </c>
      <c r="E719" s="5" t="s">
        <v>885</v>
      </c>
      <c r="F719" s="4" t="str">
        <f>IF(ISNUMBER(Table13[[#This Row],[Claim_Date2]]),"",Table13[[#This Row],[Claim_Date2]])</f>
        <v>Dec 01 2023</v>
      </c>
      <c r="G719" s="4" t="s">
        <v>885</v>
      </c>
      <c r="H719" s="4" t="str">
        <f>LEFT(Table13[[#This Row],[Values Col 1]],3)</f>
        <v>Dec</v>
      </c>
      <c r="I719" s="4" t="s">
        <v>1111</v>
      </c>
      <c r="J719" s="4" t="str">
        <f>MID(Table13[[#This Row],[Function Col]],5,2)</f>
        <v>01</v>
      </c>
      <c r="K719" s="4" t="s">
        <v>1138</v>
      </c>
      <c r="L719" s="4" t="str">
        <f>RIGHT(Table13[[#This Row],[Function Col]],4)</f>
        <v>2023</v>
      </c>
      <c r="M719" s="4" t="s">
        <v>1146</v>
      </c>
      <c r="N719" s="4" t="str">
        <f>IF(Table13[[#This Row],[Function Col5]]="","",_xlfn.CONCAT(Table13[[#This Row],[Day Col]],"/",Table13[[#This Row],[Month Col]],"/",Table13[[#This Row],[Year Col]]))</f>
        <v>01/Dec/2023</v>
      </c>
      <c r="O719" s="4" t="s">
        <v>1322</v>
      </c>
      <c r="P719" s="4" t="str">
        <f>IF(ISNUMBER(Table13[[#This Row],[Claim_Date2]]),Table13[[#This Row],[Claim_Date2]],Table13[[#This Row],[Function Col32]])</f>
        <v>01/Dec/2023</v>
      </c>
      <c r="Q719" s="4">
        <v>45261</v>
      </c>
      <c r="R719" s="1" t="s">
        <v>85</v>
      </c>
      <c r="S719" s="1" t="s">
        <v>53</v>
      </c>
      <c r="T719" t="s">
        <v>1086</v>
      </c>
      <c r="V719" s="1">
        <v>-77</v>
      </c>
      <c r="W719" s="1">
        <f>IF(Table1[[#This Row],[Claim_Amount]]&lt;0,0,Table1[[#This Row],[Claim_Amount]])</f>
        <v>0</v>
      </c>
      <c r="X719" s="1" t="str">
        <f>IF(Table1[[#This Row],[Column1]]=0,"",Table1[[#This Row],[Column1]])</f>
        <v/>
      </c>
      <c r="Y719" s="1" t="s">
        <v>1098</v>
      </c>
      <c r="Z719" s="1">
        <v>2481</v>
      </c>
      <c r="AA719">
        <v>832</v>
      </c>
      <c r="AB719" s="1" t="s">
        <v>42</v>
      </c>
      <c r="AC719" s="1" t="s">
        <v>18</v>
      </c>
      <c r="AD719">
        <v>9</v>
      </c>
      <c r="AE719" s="3" t="s">
        <v>27</v>
      </c>
    </row>
    <row r="720" spans="1:31" ht="15.75" customHeight="1" x14ac:dyDescent="0.35">
      <c r="A720" s="1" t="s">
        <v>148</v>
      </c>
      <c r="B720" t="s">
        <v>1083</v>
      </c>
      <c r="C720" t="s">
        <v>1084</v>
      </c>
      <c r="D720" s="1" t="s">
        <v>651</v>
      </c>
      <c r="E720" s="5">
        <v>45215</v>
      </c>
      <c r="F720" s="4" t="str">
        <f>IF(ISNUMBER(Table13[[#This Row],[Claim_Date2]]),"",Table13[[#This Row],[Claim_Date2]])</f>
        <v/>
      </c>
      <c r="G720" s="4" t="s">
        <v>1098</v>
      </c>
      <c r="H720" s="4" t="str">
        <f>LEFT(Table13[[#This Row],[Values Col 1]],3)</f>
        <v/>
      </c>
      <c r="I720" s="4" t="s">
        <v>1098</v>
      </c>
      <c r="J720" s="4" t="str">
        <f>MID(Table13[[#This Row],[Function Col]],5,2)</f>
        <v/>
      </c>
      <c r="K720" s="4" t="s">
        <v>1098</v>
      </c>
      <c r="L720" s="4" t="str">
        <f>RIGHT(Table13[[#This Row],[Function Col]],4)</f>
        <v/>
      </c>
      <c r="M720" s="4" t="s">
        <v>1098</v>
      </c>
      <c r="N720" s="4" t="str">
        <f>IF(Table13[[#This Row],[Function Col5]]="","",_xlfn.CONCAT(Table13[[#This Row],[Day Col]],"/",Table13[[#This Row],[Month Col]],"/",Table13[[#This Row],[Year Col]]))</f>
        <v/>
      </c>
      <c r="O720" s="4" t="s">
        <v>1098</v>
      </c>
      <c r="P720" s="4">
        <f>IF(ISNUMBER(Table13[[#This Row],[Claim_Date2]]),Table13[[#This Row],[Claim_Date2]],Table13[[#This Row],[Function Col32]])</f>
        <v>45215</v>
      </c>
      <c r="Q720" s="4">
        <v>45215</v>
      </c>
      <c r="R720" s="1" t="s">
        <v>85</v>
      </c>
      <c r="S720" s="1" t="s">
        <v>53</v>
      </c>
      <c r="T720" s="1" t="s">
        <v>61</v>
      </c>
      <c r="U720" s="1"/>
      <c r="W720">
        <f>IF(Table1[[#This Row],[Claim_Amount]]&lt;0,0,Table1[[#This Row],[Claim_Amount]])</f>
        <v>0</v>
      </c>
      <c r="X720" t="str">
        <f>IF(Table1[[#This Row],[Column1]]=0,"",Table1[[#This Row],[Column1]])</f>
        <v/>
      </c>
      <c r="Y720" t="s">
        <v>1098</v>
      </c>
      <c r="Z720">
        <v>2481</v>
      </c>
      <c r="AA720">
        <v>832</v>
      </c>
      <c r="AB720" s="1" t="s">
        <v>25</v>
      </c>
      <c r="AC720" s="1" t="s">
        <v>18</v>
      </c>
      <c r="AD720">
        <v>9</v>
      </c>
      <c r="AE720" s="3" t="s">
        <v>27</v>
      </c>
    </row>
    <row r="721" spans="1:31" ht="15.75" customHeight="1" x14ac:dyDescent="0.35">
      <c r="A721" s="1" t="s">
        <v>261</v>
      </c>
      <c r="B721" s="1" t="s">
        <v>886</v>
      </c>
      <c r="C721" t="s">
        <v>1084</v>
      </c>
      <c r="D721" s="1" t="s">
        <v>887</v>
      </c>
      <c r="E721" s="5" t="s">
        <v>887</v>
      </c>
      <c r="F721" s="4" t="str">
        <f>IF(ISNUMBER(Table13[[#This Row],[Claim_Date2]]),"",Table13[[#This Row],[Claim_Date2]])</f>
        <v>Oct 13 2023</v>
      </c>
      <c r="G721" s="4" t="s">
        <v>887</v>
      </c>
      <c r="H721" s="4" t="str">
        <f>LEFT(Table13[[#This Row],[Values Col 1]],3)</f>
        <v>Oct</v>
      </c>
      <c r="I721" s="4" t="s">
        <v>1103</v>
      </c>
      <c r="J721" s="4" t="str">
        <f>MID(Table13[[#This Row],[Function Col]],5,2)</f>
        <v>13</v>
      </c>
      <c r="K721" s="4" t="s">
        <v>1114</v>
      </c>
      <c r="L721" s="4" t="str">
        <f>RIGHT(Table13[[#This Row],[Function Col]],4)</f>
        <v>2023</v>
      </c>
      <c r="M721" s="4" t="s">
        <v>1146</v>
      </c>
      <c r="N721" s="4" t="str">
        <f>IF(Table13[[#This Row],[Function Col5]]="","",_xlfn.CONCAT(Table13[[#This Row],[Day Col]],"/",Table13[[#This Row],[Month Col]],"/",Table13[[#This Row],[Year Col]]))</f>
        <v>13/Oct/2023</v>
      </c>
      <c r="O721" s="4" t="s">
        <v>1323</v>
      </c>
      <c r="P721" s="4" t="str">
        <f>IF(ISNUMBER(Table13[[#This Row],[Claim_Date2]]),Table13[[#This Row],[Claim_Date2]],Table13[[#This Row],[Function Col32]])</f>
        <v>13/Oct/2023</v>
      </c>
      <c r="Q721" s="4">
        <v>45212</v>
      </c>
      <c r="R721" s="1" t="s">
        <v>16</v>
      </c>
      <c r="S721" s="1" t="s">
        <v>93</v>
      </c>
      <c r="T721" s="1" t="s">
        <v>24</v>
      </c>
      <c r="U721" s="1"/>
      <c r="W721">
        <f>IF(Table1[[#This Row],[Claim_Amount]]&lt;0,0,Table1[[#This Row],[Claim_Amount]])</f>
        <v>0</v>
      </c>
      <c r="X721" t="str">
        <f>IF(Table1[[#This Row],[Column1]]=0,"",Table1[[#This Row],[Column1]])</f>
        <v/>
      </c>
      <c r="Y721" t="s">
        <v>1098</v>
      </c>
      <c r="Z721">
        <v>2481</v>
      </c>
      <c r="AA721" s="1">
        <v>578.83000000000004</v>
      </c>
      <c r="AB721" s="1" t="s">
        <v>17</v>
      </c>
      <c r="AC721" s="1" t="s">
        <v>32</v>
      </c>
      <c r="AD721">
        <v>9</v>
      </c>
      <c r="AE721" s="3" t="s">
        <v>1097</v>
      </c>
    </row>
    <row r="722" spans="1:31" ht="15.75" customHeight="1" x14ac:dyDescent="0.35">
      <c r="A722" s="1" t="s">
        <v>285</v>
      </c>
      <c r="B722" t="s">
        <v>1083</v>
      </c>
      <c r="C722" t="s">
        <v>1084</v>
      </c>
      <c r="D722" s="1" t="s">
        <v>113</v>
      </c>
      <c r="E722" s="5" t="s">
        <v>113</v>
      </c>
      <c r="F722" s="4" t="str">
        <f>IF(ISNUMBER(Table13[[#This Row],[Claim_Date2]]),"",Table13[[#This Row],[Claim_Date2]])</f>
        <v>Nov 07 2023</v>
      </c>
      <c r="G722" s="4" t="s">
        <v>113</v>
      </c>
      <c r="H722" s="4" t="str">
        <f>LEFT(Table13[[#This Row],[Values Col 1]],3)</f>
        <v>Nov</v>
      </c>
      <c r="I722" s="4" t="s">
        <v>1105</v>
      </c>
      <c r="J722" s="4" t="str">
        <f>MID(Table13[[#This Row],[Function Col]],5,2)</f>
        <v>07</v>
      </c>
      <c r="K722" s="4" t="s">
        <v>1120</v>
      </c>
      <c r="L722" s="4" t="str">
        <f>RIGHT(Table13[[#This Row],[Function Col]],4)</f>
        <v>2023</v>
      </c>
      <c r="M722" s="4" t="s">
        <v>1146</v>
      </c>
      <c r="N722" s="4" t="str">
        <f>IF(Table13[[#This Row],[Function Col5]]="","",_xlfn.CONCAT(Table13[[#This Row],[Day Col]],"/",Table13[[#This Row],[Month Col]],"/",Table13[[#This Row],[Year Col]]))</f>
        <v>07/Nov/2023</v>
      </c>
      <c r="O722" s="4" t="s">
        <v>1159</v>
      </c>
      <c r="P722" s="4" t="str">
        <f>IF(ISNUMBER(Table13[[#This Row],[Claim_Date2]]),Table13[[#This Row],[Claim_Date2]],Table13[[#This Row],[Function Col32]])</f>
        <v>07/Nov/2023</v>
      </c>
      <c r="Q722" s="4">
        <v>45237</v>
      </c>
      <c r="R722" s="1" t="s">
        <v>77</v>
      </c>
      <c r="S722" s="1" t="s">
        <v>23</v>
      </c>
      <c r="T722" s="1" t="s">
        <v>61</v>
      </c>
      <c r="U722" s="1"/>
      <c r="W722">
        <f>IF(Table1[[#This Row],[Claim_Amount]]&lt;0,0,Table1[[#This Row],[Claim_Amount]])</f>
        <v>0</v>
      </c>
      <c r="X722" t="str">
        <f>IF(Table1[[#This Row],[Column1]]=0,"",Table1[[#This Row],[Column1]])</f>
        <v/>
      </c>
      <c r="Y722" t="s">
        <v>1098</v>
      </c>
      <c r="Z722">
        <v>2481</v>
      </c>
      <c r="AA722">
        <v>832</v>
      </c>
      <c r="AB722" s="1" t="s">
        <v>42</v>
      </c>
      <c r="AC722" s="1" t="s">
        <v>26</v>
      </c>
      <c r="AD722" s="1">
        <v>30</v>
      </c>
      <c r="AE722" s="3" t="s">
        <v>19</v>
      </c>
    </row>
    <row r="723" spans="1:31" ht="15.75" customHeight="1" x14ac:dyDescent="0.35">
      <c r="A723" s="1" t="s">
        <v>58</v>
      </c>
      <c r="B723" t="s">
        <v>1083</v>
      </c>
      <c r="C723" s="1" t="s">
        <v>305</v>
      </c>
      <c r="D723" s="1" t="s">
        <v>734</v>
      </c>
      <c r="E723" s="5" t="s">
        <v>734</v>
      </c>
      <c r="F723" s="4" t="str">
        <f>IF(ISNUMBER(Table13[[#This Row],[Claim_Date2]]),"",Table13[[#This Row],[Claim_Date2]])</f>
        <v>Jun 03 2023</v>
      </c>
      <c r="G723" s="4" t="s">
        <v>734</v>
      </c>
      <c r="H723" s="4" t="str">
        <f>LEFT(Table13[[#This Row],[Values Col 1]],3)</f>
        <v>Jun</v>
      </c>
      <c r="I723" s="4" t="s">
        <v>1108</v>
      </c>
      <c r="J723" s="4" t="str">
        <f>MID(Table13[[#This Row],[Function Col]],5,2)</f>
        <v>03</v>
      </c>
      <c r="K723" s="4" t="s">
        <v>1141</v>
      </c>
      <c r="L723" s="4" t="str">
        <f>RIGHT(Table13[[#This Row],[Function Col]],4)</f>
        <v>2023</v>
      </c>
      <c r="M723" s="4" t="s">
        <v>1146</v>
      </c>
      <c r="N723" s="4" t="str">
        <f>IF(Table13[[#This Row],[Function Col5]]="","",_xlfn.CONCAT(Table13[[#This Row],[Day Col]],"/",Table13[[#This Row],[Month Col]],"/",Table13[[#This Row],[Year Col]]))</f>
        <v>03/Jun/2023</v>
      </c>
      <c r="O723" s="4" t="s">
        <v>1285</v>
      </c>
      <c r="P723" s="4" t="str">
        <f>IF(ISNUMBER(Table13[[#This Row],[Claim_Date2]]),Table13[[#This Row],[Claim_Date2]],Table13[[#This Row],[Function Col32]])</f>
        <v>03/Jun/2023</v>
      </c>
      <c r="Q723" s="4">
        <v>45080</v>
      </c>
      <c r="R723" s="1" t="s">
        <v>85</v>
      </c>
      <c r="S723" s="1" t="s">
        <v>47</v>
      </c>
      <c r="T723" s="1" t="s">
        <v>61</v>
      </c>
      <c r="U723" s="1"/>
      <c r="W723">
        <f>IF(Table1[[#This Row],[Claim_Amount]]&lt;0,0,Table1[[#This Row],[Claim_Amount]])</f>
        <v>0</v>
      </c>
      <c r="X723" t="str">
        <f>IF(Table1[[#This Row],[Column1]]=0,"",Table1[[#This Row],[Column1]])</f>
        <v/>
      </c>
      <c r="Y723" t="s">
        <v>1098</v>
      </c>
      <c r="Z723">
        <v>2481</v>
      </c>
      <c r="AA723">
        <v>832</v>
      </c>
      <c r="AB723" s="1" t="s">
        <v>25</v>
      </c>
      <c r="AC723" s="1" t="s">
        <v>18</v>
      </c>
      <c r="AD723" s="1">
        <v>49</v>
      </c>
      <c r="AE723" s="3" t="s">
        <v>27</v>
      </c>
    </row>
    <row r="724" spans="1:31" ht="15.75" customHeight="1" x14ac:dyDescent="0.35">
      <c r="A724" s="1" t="s">
        <v>242</v>
      </c>
      <c r="B724" t="s">
        <v>1083</v>
      </c>
      <c r="C724" s="1" t="s">
        <v>133</v>
      </c>
      <c r="D724" s="1" t="s">
        <v>888</v>
      </c>
      <c r="E724" s="5">
        <v>45021</v>
      </c>
      <c r="F724" s="4" t="str">
        <f>IF(ISNUMBER(Table13[[#This Row],[Claim_Date2]]),"",Table13[[#This Row],[Claim_Date2]])</f>
        <v/>
      </c>
      <c r="G724" s="4" t="s">
        <v>1098</v>
      </c>
      <c r="H724" s="4" t="str">
        <f>LEFT(Table13[[#This Row],[Values Col 1]],3)</f>
        <v/>
      </c>
      <c r="I724" s="4" t="s">
        <v>1098</v>
      </c>
      <c r="J724" s="4" t="str">
        <f>MID(Table13[[#This Row],[Function Col]],5,2)</f>
        <v/>
      </c>
      <c r="K724" s="4" t="s">
        <v>1098</v>
      </c>
      <c r="L724" s="4" t="str">
        <f>RIGHT(Table13[[#This Row],[Function Col]],4)</f>
        <v/>
      </c>
      <c r="M724" s="4" t="s">
        <v>1098</v>
      </c>
      <c r="N724" s="4" t="str">
        <f>IF(Table13[[#This Row],[Function Col5]]="","",_xlfn.CONCAT(Table13[[#This Row],[Day Col]],"/",Table13[[#This Row],[Month Col]],"/",Table13[[#This Row],[Year Col]]))</f>
        <v/>
      </c>
      <c r="O724" s="4" t="s">
        <v>1098</v>
      </c>
      <c r="P724" s="4">
        <f>IF(ISNUMBER(Table13[[#This Row],[Claim_Date2]]),Table13[[#This Row],[Claim_Date2]],Table13[[#This Row],[Function Col32]])</f>
        <v>45021</v>
      </c>
      <c r="Q724" s="4">
        <v>45021</v>
      </c>
      <c r="R724" s="1" t="s">
        <v>77</v>
      </c>
      <c r="S724" s="1" t="s">
        <v>31</v>
      </c>
      <c r="T724" s="1" t="s">
        <v>41</v>
      </c>
      <c r="U724" s="1"/>
      <c r="W724">
        <f>IF(Table1[[#This Row],[Claim_Amount]]&lt;0,0,Table1[[#This Row],[Claim_Amount]])</f>
        <v>0</v>
      </c>
      <c r="X724" t="str">
        <f>IF(Table1[[#This Row],[Column1]]=0,"",Table1[[#This Row],[Column1]])</f>
        <v/>
      </c>
      <c r="Y724" t="s">
        <v>1098</v>
      </c>
      <c r="Z724">
        <v>2481</v>
      </c>
      <c r="AA724">
        <v>832</v>
      </c>
      <c r="AB724" s="1" t="s">
        <v>25</v>
      </c>
      <c r="AC724" s="1" t="s">
        <v>18</v>
      </c>
      <c r="AD724">
        <v>9</v>
      </c>
      <c r="AE724" s="3" t="s">
        <v>37</v>
      </c>
    </row>
    <row r="725" spans="1:31" ht="15.75" customHeight="1" x14ac:dyDescent="0.35">
      <c r="A725" s="1" t="s">
        <v>62</v>
      </c>
      <c r="B725" t="s">
        <v>1083</v>
      </c>
      <c r="C725" s="1" t="s">
        <v>416</v>
      </c>
      <c r="D725" s="1" t="s">
        <v>357</v>
      </c>
      <c r="E725" s="5" t="s">
        <v>357</v>
      </c>
      <c r="F725" s="4" t="str">
        <f>IF(ISNUMBER(Table13[[#This Row],[Claim_Date2]]),"",Table13[[#This Row],[Claim_Date2]])</f>
        <v>Jan 09 2023</v>
      </c>
      <c r="G725" s="4" t="s">
        <v>357</v>
      </c>
      <c r="H725" s="4" t="str">
        <f>LEFT(Table13[[#This Row],[Values Col 1]],3)</f>
        <v>Jan</v>
      </c>
      <c r="I725" s="4" t="s">
        <v>1107</v>
      </c>
      <c r="J725" s="4" t="str">
        <f>MID(Table13[[#This Row],[Function Col]],5,2)</f>
        <v>09</v>
      </c>
      <c r="K725" s="4" t="s">
        <v>1127</v>
      </c>
      <c r="L725" s="4" t="str">
        <f>RIGHT(Table13[[#This Row],[Function Col]],4)</f>
        <v>2023</v>
      </c>
      <c r="M725" s="4" t="s">
        <v>1146</v>
      </c>
      <c r="N725" s="4" t="str">
        <f>IF(Table13[[#This Row],[Function Col5]]="","",_xlfn.CONCAT(Table13[[#This Row],[Day Col]],"/",Table13[[#This Row],[Month Col]],"/",Table13[[#This Row],[Year Col]]))</f>
        <v>09/Jan/2023</v>
      </c>
      <c r="O725" s="4" t="s">
        <v>1201</v>
      </c>
      <c r="P725" s="4" t="str">
        <f>IF(ISNUMBER(Table13[[#This Row],[Claim_Date2]]),Table13[[#This Row],[Claim_Date2]],Table13[[#This Row],[Function Col32]])</f>
        <v>09/Jan/2023</v>
      </c>
      <c r="Q725" s="4">
        <v>44935</v>
      </c>
      <c r="R725" s="1" t="s">
        <v>77</v>
      </c>
      <c r="S725" s="1" t="s">
        <v>23</v>
      </c>
      <c r="T725" s="1" t="s">
        <v>54</v>
      </c>
      <c r="U725" s="1"/>
      <c r="V725" s="1">
        <v>-93</v>
      </c>
      <c r="W725" s="1">
        <f>IF(Table1[[#This Row],[Claim_Amount]]&lt;0,0,Table1[[#This Row],[Claim_Amount]])</f>
        <v>0</v>
      </c>
      <c r="X725" s="1" t="str">
        <f>IF(Table1[[#This Row],[Column1]]=0,"",Table1[[#This Row],[Column1]])</f>
        <v/>
      </c>
      <c r="Y725" s="1" t="s">
        <v>1098</v>
      </c>
      <c r="Z725" s="1">
        <v>2481</v>
      </c>
      <c r="AA725">
        <v>832</v>
      </c>
      <c r="AB725" s="1" t="s">
        <v>25</v>
      </c>
      <c r="AC725" s="1" t="s">
        <v>26</v>
      </c>
      <c r="AD725" s="1">
        <v>36</v>
      </c>
      <c r="AE725" s="3" t="s">
        <v>1097</v>
      </c>
    </row>
    <row r="726" spans="1:31" ht="15.75" customHeight="1" x14ac:dyDescent="0.35">
      <c r="A726" s="1" t="s">
        <v>202</v>
      </c>
      <c r="B726" t="s">
        <v>1083</v>
      </c>
      <c r="C726" s="1" t="s">
        <v>491</v>
      </c>
      <c r="D726" s="1" t="s">
        <v>862</v>
      </c>
      <c r="E726" s="5" t="s">
        <v>862</v>
      </c>
      <c r="F726" s="4" t="str">
        <f>IF(ISNUMBER(Table13[[#This Row],[Claim_Date2]]),"",Table13[[#This Row],[Claim_Date2]])</f>
        <v>Nov 09 2023</v>
      </c>
      <c r="G726" s="4" t="s">
        <v>862</v>
      </c>
      <c r="H726" s="4" t="str">
        <f>LEFT(Table13[[#This Row],[Values Col 1]],3)</f>
        <v>Nov</v>
      </c>
      <c r="I726" s="4" t="s">
        <v>1105</v>
      </c>
      <c r="J726" s="4" t="str">
        <f>MID(Table13[[#This Row],[Function Col]],5,2)</f>
        <v>09</v>
      </c>
      <c r="K726" s="4" t="s">
        <v>1127</v>
      </c>
      <c r="L726" s="4" t="str">
        <f>RIGHT(Table13[[#This Row],[Function Col]],4)</f>
        <v>2023</v>
      </c>
      <c r="M726" s="4" t="s">
        <v>1146</v>
      </c>
      <c r="N726" s="4" t="str">
        <f>IF(Table13[[#This Row],[Function Col5]]="","",_xlfn.CONCAT(Table13[[#This Row],[Day Col]],"/",Table13[[#This Row],[Month Col]],"/",Table13[[#This Row],[Year Col]]))</f>
        <v>09/Nov/2023</v>
      </c>
      <c r="O726" s="4" t="s">
        <v>1314</v>
      </c>
      <c r="P726" s="4" t="str">
        <f>IF(ISNUMBER(Table13[[#This Row],[Claim_Date2]]),Table13[[#This Row],[Claim_Date2]],Table13[[#This Row],[Function Col32]])</f>
        <v>09/Nov/2023</v>
      </c>
      <c r="Q726" s="4">
        <v>45239</v>
      </c>
      <c r="R726" s="1" t="s">
        <v>85</v>
      </c>
      <c r="S726" s="1" t="s">
        <v>23</v>
      </c>
      <c r="T726" t="s">
        <v>1086</v>
      </c>
      <c r="V726" s="1">
        <v>-80</v>
      </c>
      <c r="W726" s="1">
        <f>IF(Table1[[#This Row],[Claim_Amount]]&lt;0,0,Table1[[#This Row],[Claim_Amount]])</f>
        <v>0</v>
      </c>
      <c r="X726" s="1" t="str">
        <f>IF(Table1[[#This Row],[Column1]]=0,"",Table1[[#This Row],[Column1]])</f>
        <v/>
      </c>
      <c r="Y726" s="1" t="s">
        <v>1098</v>
      </c>
      <c r="Z726" s="1">
        <v>2481</v>
      </c>
      <c r="AA726">
        <v>832</v>
      </c>
      <c r="AB726" s="1" t="s">
        <v>17</v>
      </c>
      <c r="AC726" s="1" t="s">
        <v>32</v>
      </c>
      <c r="AD726" s="1">
        <v>4</v>
      </c>
      <c r="AE726" s="3" t="s">
        <v>1097</v>
      </c>
    </row>
    <row r="727" spans="1:31" ht="15.75" customHeight="1" x14ac:dyDescent="0.35">
      <c r="A727" s="1" t="s">
        <v>114</v>
      </c>
      <c r="B727" t="s">
        <v>1083</v>
      </c>
      <c r="C727" t="s">
        <v>1084</v>
      </c>
      <c r="D727" s="1" t="s">
        <v>889</v>
      </c>
      <c r="E727" s="5">
        <v>45132</v>
      </c>
      <c r="F727" s="4" t="str">
        <f>IF(ISNUMBER(Table13[[#This Row],[Claim_Date2]]),"",Table13[[#This Row],[Claim_Date2]])</f>
        <v/>
      </c>
      <c r="G727" s="4" t="s">
        <v>1098</v>
      </c>
      <c r="H727" s="4" t="str">
        <f>LEFT(Table13[[#This Row],[Values Col 1]],3)</f>
        <v/>
      </c>
      <c r="I727" s="4" t="s">
        <v>1098</v>
      </c>
      <c r="J727" s="4" t="str">
        <f>MID(Table13[[#This Row],[Function Col]],5,2)</f>
        <v/>
      </c>
      <c r="K727" s="4" t="s">
        <v>1098</v>
      </c>
      <c r="L727" s="4" t="str">
        <f>RIGHT(Table13[[#This Row],[Function Col]],4)</f>
        <v/>
      </c>
      <c r="M727" s="4" t="s">
        <v>1098</v>
      </c>
      <c r="N727" s="4" t="str">
        <f>IF(Table13[[#This Row],[Function Col5]]="","",_xlfn.CONCAT(Table13[[#This Row],[Day Col]],"/",Table13[[#This Row],[Month Col]],"/",Table13[[#This Row],[Year Col]]))</f>
        <v/>
      </c>
      <c r="O727" s="4" t="s">
        <v>1098</v>
      </c>
      <c r="P727" s="4">
        <f>IF(ISNUMBER(Table13[[#This Row],[Claim_Date2]]),Table13[[#This Row],[Claim_Date2]],Table13[[#This Row],[Function Col32]])</f>
        <v>45132</v>
      </c>
      <c r="Q727" s="4">
        <v>45132</v>
      </c>
      <c r="R727" s="1" t="s">
        <v>16</v>
      </c>
      <c r="S727" s="1" t="s">
        <v>47</v>
      </c>
      <c r="T727" s="1" t="s">
        <v>48</v>
      </c>
      <c r="U727" s="1"/>
      <c r="W727">
        <f>IF(Table1[[#This Row],[Claim_Amount]]&lt;0,0,Table1[[#This Row],[Claim_Amount]])</f>
        <v>0</v>
      </c>
      <c r="X727" t="str">
        <f>IF(Table1[[#This Row],[Column1]]=0,"",Table1[[#This Row],[Column1]])</f>
        <v/>
      </c>
      <c r="Y727" t="s">
        <v>1098</v>
      </c>
      <c r="Z727">
        <v>2481</v>
      </c>
      <c r="AA727">
        <v>832</v>
      </c>
      <c r="AB727" s="1" t="s">
        <v>17</v>
      </c>
      <c r="AC727" s="1" t="s">
        <v>57</v>
      </c>
      <c r="AD727">
        <v>9</v>
      </c>
      <c r="AE727" s="3" t="s">
        <v>1097</v>
      </c>
    </row>
    <row r="728" spans="1:31" ht="15.75" customHeight="1" x14ac:dyDescent="0.35">
      <c r="A728" s="1" t="s">
        <v>173</v>
      </c>
      <c r="B728" t="s">
        <v>1083</v>
      </c>
      <c r="C728" t="s">
        <v>1084</v>
      </c>
      <c r="D728" s="1" t="s">
        <v>890</v>
      </c>
      <c r="E728" s="5">
        <v>45222</v>
      </c>
      <c r="F728" s="4" t="str">
        <f>IF(ISNUMBER(Table13[[#This Row],[Claim_Date2]]),"",Table13[[#This Row],[Claim_Date2]])</f>
        <v/>
      </c>
      <c r="G728" s="4" t="s">
        <v>1098</v>
      </c>
      <c r="H728" s="4" t="str">
        <f>LEFT(Table13[[#This Row],[Values Col 1]],3)</f>
        <v/>
      </c>
      <c r="I728" s="4" t="s">
        <v>1098</v>
      </c>
      <c r="J728" s="4" t="str">
        <f>MID(Table13[[#This Row],[Function Col]],5,2)</f>
        <v/>
      </c>
      <c r="K728" s="4" t="s">
        <v>1098</v>
      </c>
      <c r="L728" s="4" t="str">
        <f>RIGHT(Table13[[#This Row],[Function Col]],4)</f>
        <v/>
      </c>
      <c r="M728" s="4" t="s">
        <v>1098</v>
      </c>
      <c r="N728" s="4" t="str">
        <f>IF(Table13[[#This Row],[Function Col5]]="","",_xlfn.CONCAT(Table13[[#This Row],[Day Col]],"/",Table13[[#This Row],[Month Col]],"/",Table13[[#This Row],[Year Col]]))</f>
        <v/>
      </c>
      <c r="O728" s="4" t="s">
        <v>1098</v>
      </c>
      <c r="P728" s="4">
        <f>IF(ISNUMBER(Table13[[#This Row],[Claim_Date2]]),Table13[[#This Row],[Claim_Date2]],Table13[[#This Row],[Function Col32]])</f>
        <v>45222</v>
      </c>
      <c r="Q728" s="4">
        <v>45222</v>
      </c>
      <c r="R728" s="1" t="s">
        <v>85</v>
      </c>
      <c r="S728" s="1" t="s">
        <v>31</v>
      </c>
      <c r="T728" s="1" t="s">
        <v>24</v>
      </c>
      <c r="U728" s="1"/>
      <c r="V728" s="1">
        <v>549.44000000000005</v>
      </c>
      <c r="W728" s="1">
        <f>IF(Table1[[#This Row],[Claim_Amount]]&lt;0,0,Table1[[#This Row],[Claim_Amount]])</f>
        <v>549.44000000000005</v>
      </c>
      <c r="X728" s="1">
        <f>IF(Table1[[#This Row],[Column1]]=0,"",Table1[[#This Row],[Column1]])</f>
        <v>549.44000000000005</v>
      </c>
      <c r="Y728" s="1">
        <v>549.44000000000005</v>
      </c>
      <c r="Z728" s="1">
        <v>549.44000000000005</v>
      </c>
      <c r="AA728">
        <v>832</v>
      </c>
      <c r="AB728" s="1" t="s">
        <v>42</v>
      </c>
      <c r="AC728" s="1" t="s">
        <v>26</v>
      </c>
      <c r="AD728">
        <v>9</v>
      </c>
      <c r="AE728" s="3" t="s">
        <v>65</v>
      </c>
    </row>
    <row r="729" spans="1:31" ht="15.75" customHeight="1" x14ac:dyDescent="0.35">
      <c r="A729" s="1" t="s">
        <v>249</v>
      </c>
      <c r="B729" s="1" t="s">
        <v>654</v>
      </c>
      <c r="C729" s="1" t="s">
        <v>94</v>
      </c>
      <c r="D729" s="1" t="s">
        <v>891</v>
      </c>
      <c r="E729" s="5">
        <v>45144</v>
      </c>
      <c r="F729" s="4" t="str">
        <f>IF(ISNUMBER(Table13[[#This Row],[Claim_Date2]]),"",Table13[[#This Row],[Claim_Date2]])</f>
        <v/>
      </c>
      <c r="G729" s="4" t="s">
        <v>1098</v>
      </c>
      <c r="H729" s="4" t="str">
        <f>LEFT(Table13[[#This Row],[Values Col 1]],3)</f>
        <v/>
      </c>
      <c r="I729" s="4" t="s">
        <v>1098</v>
      </c>
      <c r="J729" s="4" t="str">
        <f>MID(Table13[[#This Row],[Function Col]],5,2)</f>
        <v/>
      </c>
      <c r="K729" s="4" t="s">
        <v>1098</v>
      </c>
      <c r="L729" s="4" t="str">
        <f>RIGHT(Table13[[#This Row],[Function Col]],4)</f>
        <v/>
      </c>
      <c r="M729" s="4" t="s">
        <v>1098</v>
      </c>
      <c r="N729" s="4" t="str">
        <f>IF(Table13[[#This Row],[Function Col5]]="","",_xlfn.CONCAT(Table13[[#This Row],[Day Col]],"/",Table13[[#This Row],[Month Col]],"/",Table13[[#This Row],[Year Col]]))</f>
        <v/>
      </c>
      <c r="O729" s="4" t="s">
        <v>1098</v>
      </c>
      <c r="P729" s="4">
        <f>IF(ISNUMBER(Table13[[#This Row],[Claim_Date2]]),Table13[[#This Row],[Claim_Date2]],Table13[[#This Row],[Function Col32]])</f>
        <v>45144</v>
      </c>
      <c r="Q729" s="4">
        <v>45144</v>
      </c>
      <c r="R729" s="1" t="s">
        <v>85</v>
      </c>
      <c r="S729" s="1" t="s">
        <v>31</v>
      </c>
      <c r="T729" s="1" t="s">
        <v>61</v>
      </c>
      <c r="U729" s="1"/>
      <c r="V729" s="1">
        <v>729.7</v>
      </c>
      <c r="W729" s="1">
        <f>IF(Table1[[#This Row],[Claim_Amount]]&lt;0,0,Table1[[#This Row],[Claim_Amount]])</f>
        <v>729.7</v>
      </c>
      <c r="X729" s="1">
        <f>IF(Table1[[#This Row],[Column1]]=0,"",Table1[[#This Row],[Column1]])</f>
        <v>729.7</v>
      </c>
      <c r="Y729" s="1">
        <v>729.7</v>
      </c>
      <c r="Z729" s="1">
        <v>729.7</v>
      </c>
      <c r="AA729">
        <v>832</v>
      </c>
      <c r="AB729" s="1" t="s">
        <v>25</v>
      </c>
      <c r="AC729" s="1" t="s">
        <v>1093</v>
      </c>
      <c r="AD729">
        <v>9</v>
      </c>
      <c r="AE729" s="3" t="s">
        <v>65</v>
      </c>
    </row>
    <row r="730" spans="1:31" ht="15.75" customHeight="1" x14ac:dyDescent="0.35">
      <c r="A730" s="1" t="s">
        <v>33</v>
      </c>
      <c r="B730" t="s">
        <v>1083</v>
      </c>
      <c r="C730" t="s">
        <v>1084</v>
      </c>
      <c r="D730" s="1" t="s">
        <v>856</v>
      </c>
      <c r="E730" s="5" t="s">
        <v>856</v>
      </c>
      <c r="F730" s="4" t="str">
        <f>IF(ISNUMBER(Table13[[#This Row],[Claim_Date2]]),"",Table13[[#This Row],[Claim_Date2]])</f>
        <v>Jul 14 2023</v>
      </c>
      <c r="G730" s="4" t="s">
        <v>856</v>
      </c>
      <c r="H730" s="4" t="str">
        <f>LEFT(Table13[[#This Row],[Values Col 1]],3)</f>
        <v>Jul</v>
      </c>
      <c r="I730" s="4" t="s">
        <v>1101</v>
      </c>
      <c r="J730" s="4" t="str">
        <f>MID(Table13[[#This Row],[Function Col]],5,2)</f>
        <v>14</v>
      </c>
      <c r="K730" s="4" t="s">
        <v>1131</v>
      </c>
      <c r="L730" s="4" t="str">
        <f>RIGHT(Table13[[#This Row],[Function Col]],4)</f>
        <v>2023</v>
      </c>
      <c r="M730" s="4" t="s">
        <v>1146</v>
      </c>
      <c r="N730" s="4" t="str">
        <f>IF(Table13[[#This Row],[Function Col5]]="","",_xlfn.CONCAT(Table13[[#This Row],[Day Col]],"/",Table13[[#This Row],[Month Col]],"/",Table13[[#This Row],[Year Col]]))</f>
        <v>14/Jul/2023</v>
      </c>
      <c r="O730" s="4" t="s">
        <v>1312</v>
      </c>
      <c r="P730" s="4" t="str">
        <f>IF(ISNUMBER(Table13[[#This Row],[Claim_Date2]]),Table13[[#This Row],[Claim_Date2]],Table13[[#This Row],[Function Col32]])</f>
        <v>14/Jul/2023</v>
      </c>
      <c r="Q730" s="4">
        <v>45121</v>
      </c>
      <c r="R730" s="1" t="s">
        <v>85</v>
      </c>
      <c r="S730" s="1" t="s">
        <v>23</v>
      </c>
      <c r="T730" s="1" t="s">
        <v>61</v>
      </c>
      <c r="U730" s="1"/>
      <c r="V730" s="1">
        <v>4847.76</v>
      </c>
      <c r="W730" s="1">
        <f>IF(Table1[[#This Row],[Claim_Amount]]&lt;0,0,Table1[[#This Row],[Claim_Amount]])</f>
        <v>4847.76</v>
      </c>
      <c r="X730" s="1">
        <f>IF(Table1[[#This Row],[Column1]]=0,"",Table1[[#This Row],[Column1]])</f>
        <v>4847.76</v>
      </c>
      <c r="Y730" s="1">
        <v>4847.76</v>
      </c>
      <c r="Z730" s="1">
        <v>4847.76</v>
      </c>
      <c r="AA730" s="1">
        <v>856.27</v>
      </c>
      <c r="AB730" s="1" t="s">
        <v>25</v>
      </c>
      <c r="AC730" s="1" t="s">
        <v>1093</v>
      </c>
      <c r="AD730">
        <v>9</v>
      </c>
      <c r="AE730" s="3" t="s">
        <v>27</v>
      </c>
    </row>
    <row r="731" spans="1:31" ht="15.75" customHeight="1" x14ac:dyDescent="0.35">
      <c r="A731" s="1" t="s">
        <v>148</v>
      </c>
      <c r="B731" t="s">
        <v>1083</v>
      </c>
      <c r="C731" s="1" t="s">
        <v>395</v>
      </c>
      <c r="D731" s="1" t="s">
        <v>216</v>
      </c>
      <c r="E731" s="5">
        <v>45186</v>
      </c>
      <c r="F731" s="4" t="str">
        <f>IF(ISNUMBER(Table13[[#This Row],[Claim_Date2]]),"",Table13[[#This Row],[Claim_Date2]])</f>
        <v/>
      </c>
      <c r="G731" s="4" t="s">
        <v>1098</v>
      </c>
      <c r="H731" s="4" t="str">
        <f>LEFT(Table13[[#This Row],[Values Col 1]],3)</f>
        <v/>
      </c>
      <c r="I731" s="4" t="s">
        <v>1098</v>
      </c>
      <c r="J731" s="4" t="str">
        <f>MID(Table13[[#This Row],[Function Col]],5,2)</f>
        <v/>
      </c>
      <c r="K731" s="4" t="s">
        <v>1098</v>
      </c>
      <c r="L731" s="4" t="str">
        <f>RIGHT(Table13[[#This Row],[Function Col]],4)</f>
        <v/>
      </c>
      <c r="M731" s="4" t="s">
        <v>1098</v>
      </c>
      <c r="N731" s="4" t="str">
        <f>IF(Table13[[#This Row],[Function Col5]]="","",_xlfn.CONCAT(Table13[[#This Row],[Day Col]],"/",Table13[[#This Row],[Month Col]],"/",Table13[[#This Row],[Year Col]]))</f>
        <v/>
      </c>
      <c r="O731" s="4" t="s">
        <v>1098</v>
      </c>
      <c r="P731" s="4">
        <f>IF(ISNUMBER(Table13[[#This Row],[Claim_Date2]]),Table13[[#This Row],[Claim_Date2]],Table13[[#This Row],[Function Col32]])</f>
        <v>45186</v>
      </c>
      <c r="Q731" s="4">
        <v>45186</v>
      </c>
      <c r="R731" s="1" t="s">
        <v>92</v>
      </c>
      <c r="S731" s="1" t="s">
        <v>47</v>
      </c>
      <c r="T731" s="1" t="s">
        <v>61</v>
      </c>
      <c r="U731" s="1"/>
      <c r="V731" s="1">
        <v>4727.24</v>
      </c>
      <c r="W731" s="1">
        <f>IF(Table1[[#This Row],[Claim_Amount]]&lt;0,0,Table1[[#This Row],[Claim_Amount]])</f>
        <v>4727.24</v>
      </c>
      <c r="X731" s="1">
        <f>IF(Table1[[#This Row],[Column1]]=0,"",Table1[[#This Row],[Column1]])</f>
        <v>4727.24</v>
      </c>
      <c r="Y731" s="1">
        <v>4727.24</v>
      </c>
      <c r="Z731" s="1">
        <v>4727.24</v>
      </c>
      <c r="AA731">
        <v>832</v>
      </c>
      <c r="AB731" s="1" t="s">
        <v>25</v>
      </c>
      <c r="AC731" s="1" t="s">
        <v>26</v>
      </c>
      <c r="AD731">
        <v>9</v>
      </c>
      <c r="AE731" s="3" t="s">
        <v>27</v>
      </c>
    </row>
    <row r="732" spans="1:31" ht="15.75" customHeight="1" x14ac:dyDescent="0.35">
      <c r="A732" s="1" t="s">
        <v>430</v>
      </c>
      <c r="B732" t="s">
        <v>1083</v>
      </c>
      <c r="C732" s="1" t="s">
        <v>94</v>
      </c>
      <c r="D732" s="1" t="s">
        <v>385</v>
      </c>
      <c r="E732" s="5" t="s">
        <v>385</v>
      </c>
      <c r="F732" s="4" t="str">
        <f>IF(ISNUMBER(Table13[[#This Row],[Claim_Date2]]),"",Table13[[#This Row],[Claim_Date2]])</f>
        <v>Nov 30 2023</v>
      </c>
      <c r="G732" s="4" t="s">
        <v>385</v>
      </c>
      <c r="H732" s="4" t="str">
        <f>LEFT(Table13[[#This Row],[Values Col 1]],3)</f>
        <v>Nov</v>
      </c>
      <c r="I732" s="4" t="s">
        <v>1105</v>
      </c>
      <c r="J732" s="4" t="str">
        <f>MID(Table13[[#This Row],[Function Col]],5,2)</f>
        <v>30</v>
      </c>
      <c r="K732" s="4" t="s">
        <v>1126</v>
      </c>
      <c r="L732" s="4" t="str">
        <f>RIGHT(Table13[[#This Row],[Function Col]],4)</f>
        <v>2023</v>
      </c>
      <c r="M732" s="4" t="s">
        <v>1146</v>
      </c>
      <c r="N732" s="4" t="str">
        <f>IF(Table13[[#This Row],[Function Col5]]="","",_xlfn.CONCAT(Table13[[#This Row],[Day Col]],"/",Table13[[#This Row],[Month Col]],"/",Table13[[#This Row],[Year Col]]))</f>
        <v>30/Nov/2023</v>
      </c>
      <c r="O732" s="4" t="s">
        <v>1207</v>
      </c>
      <c r="P732" s="4" t="str">
        <f>IF(ISNUMBER(Table13[[#This Row],[Claim_Date2]]),Table13[[#This Row],[Claim_Date2]],Table13[[#This Row],[Function Col32]])</f>
        <v>30/Nov/2023</v>
      </c>
      <c r="Q732" s="4">
        <v>45260</v>
      </c>
      <c r="R732" s="1" t="s">
        <v>85</v>
      </c>
      <c r="S732" s="1" t="s">
        <v>53</v>
      </c>
      <c r="T732" s="1" t="s">
        <v>48</v>
      </c>
      <c r="U732" s="1"/>
      <c r="W732">
        <f>IF(Table1[[#This Row],[Claim_Amount]]&lt;0,0,Table1[[#This Row],[Claim_Amount]])</f>
        <v>0</v>
      </c>
      <c r="X732" t="str">
        <f>IF(Table1[[#This Row],[Column1]]=0,"",Table1[[#This Row],[Column1]])</f>
        <v/>
      </c>
      <c r="Y732" t="s">
        <v>1098</v>
      </c>
      <c r="Z732">
        <v>2481</v>
      </c>
      <c r="AA732" s="1">
        <v>274.58</v>
      </c>
      <c r="AB732" s="1" t="s">
        <v>17</v>
      </c>
      <c r="AC732" s="1" t="s">
        <v>57</v>
      </c>
      <c r="AD732" s="1">
        <v>9</v>
      </c>
      <c r="AE732" s="3" t="s">
        <v>1097</v>
      </c>
    </row>
    <row r="733" spans="1:31" ht="15.75" customHeight="1" x14ac:dyDescent="0.35">
      <c r="A733" s="1" t="s">
        <v>50</v>
      </c>
      <c r="B733" t="s">
        <v>1083</v>
      </c>
      <c r="C733" s="1" t="s">
        <v>458</v>
      </c>
      <c r="D733" s="1" t="s">
        <v>892</v>
      </c>
      <c r="E733" s="5" t="s">
        <v>892</v>
      </c>
      <c r="F733" s="4" t="str">
        <f>IF(ISNUMBER(Table13[[#This Row],[Claim_Date2]]),"",Table13[[#This Row],[Claim_Date2]])</f>
        <v>Apr 18 2023</v>
      </c>
      <c r="G733" s="4" t="s">
        <v>892</v>
      </c>
      <c r="H733" s="4" t="str">
        <f>LEFT(Table13[[#This Row],[Values Col 1]],3)</f>
        <v>Apr</v>
      </c>
      <c r="I733" s="4" t="s">
        <v>1104</v>
      </c>
      <c r="J733" s="4" t="str">
        <f>MID(Table13[[#This Row],[Function Col]],5,2)</f>
        <v>18</v>
      </c>
      <c r="K733" s="4" t="s">
        <v>1129</v>
      </c>
      <c r="L733" s="4" t="str">
        <f>RIGHT(Table13[[#This Row],[Function Col]],4)</f>
        <v>2023</v>
      </c>
      <c r="M733" s="4" t="s">
        <v>1146</v>
      </c>
      <c r="N733" s="4" t="str">
        <f>IF(Table13[[#This Row],[Function Col5]]="","",_xlfn.CONCAT(Table13[[#This Row],[Day Col]],"/",Table13[[#This Row],[Month Col]],"/",Table13[[#This Row],[Year Col]]))</f>
        <v>18/Apr/2023</v>
      </c>
      <c r="O733" s="4" t="s">
        <v>1324</v>
      </c>
      <c r="P733" s="4" t="str">
        <f>IF(ISNUMBER(Table13[[#This Row],[Claim_Date2]]),Table13[[#This Row],[Claim_Date2]],Table13[[#This Row],[Function Col32]])</f>
        <v>18/Apr/2023</v>
      </c>
      <c r="Q733" s="4">
        <v>45034</v>
      </c>
      <c r="R733" s="1" t="s">
        <v>16</v>
      </c>
      <c r="S733" s="1" t="s">
        <v>31</v>
      </c>
      <c r="T733" s="1" t="s">
        <v>41</v>
      </c>
      <c r="U733" s="1"/>
      <c r="V733" s="1">
        <v>-50</v>
      </c>
      <c r="W733" s="1">
        <f>IF(Table1[[#This Row],[Claim_Amount]]&lt;0,0,Table1[[#This Row],[Claim_Amount]])</f>
        <v>0</v>
      </c>
      <c r="X733" s="1" t="str">
        <f>IF(Table1[[#This Row],[Column1]]=0,"",Table1[[#This Row],[Column1]])</f>
        <v/>
      </c>
      <c r="Y733" s="1" t="s">
        <v>1098</v>
      </c>
      <c r="Z733" s="1">
        <v>2481</v>
      </c>
      <c r="AA733">
        <v>832</v>
      </c>
      <c r="AB733" s="1" t="s">
        <v>17</v>
      </c>
      <c r="AC733" s="1" t="s">
        <v>18</v>
      </c>
      <c r="AD733" s="1">
        <v>23</v>
      </c>
      <c r="AE733" s="3" t="s">
        <v>65</v>
      </c>
    </row>
    <row r="734" spans="1:31" ht="15.75" customHeight="1" x14ac:dyDescent="0.35">
      <c r="A734" s="1" t="s">
        <v>105</v>
      </c>
      <c r="B734" s="1" t="s">
        <v>893</v>
      </c>
      <c r="C734" t="s">
        <v>1084</v>
      </c>
      <c r="D734" s="1" t="s">
        <v>153</v>
      </c>
      <c r="E734" s="5" t="s">
        <v>153</v>
      </c>
      <c r="F734" s="4" t="str">
        <f>IF(ISNUMBER(Table13[[#This Row],[Claim_Date2]]),"",Table13[[#This Row],[Claim_Date2]])</f>
        <v>May 16 2023</v>
      </c>
      <c r="G734" s="4" t="s">
        <v>153</v>
      </c>
      <c r="H734" s="4" t="str">
        <f>LEFT(Table13[[#This Row],[Values Col 1]],3)</f>
        <v>May</v>
      </c>
      <c r="I734" s="4" t="s">
        <v>1110</v>
      </c>
      <c r="J734" s="4" t="str">
        <f>MID(Table13[[#This Row],[Function Col]],5,2)</f>
        <v>16</v>
      </c>
      <c r="K734" s="4" t="s">
        <v>1125</v>
      </c>
      <c r="L734" s="4" t="str">
        <f>RIGHT(Table13[[#This Row],[Function Col]],4)</f>
        <v>2023</v>
      </c>
      <c r="M734" s="4" t="s">
        <v>1146</v>
      </c>
      <c r="N734" s="4" t="str">
        <f>IF(Table13[[#This Row],[Function Col5]]="","",_xlfn.CONCAT(Table13[[#This Row],[Day Col]],"/",Table13[[#This Row],[Month Col]],"/",Table13[[#This Row],[Year Col]]))</f>
        <v>16/May/2023</v>
      </c>
      <c r="O734" s="4" t="s">
        <v>1165</v>
      </c>
      <c r="P734" s="4" t="str">
        <f>IF(ISNUMBER(Table13[[#This Row],[Claim_Date2]]),Table13[[#This Row],[Claim_Date2]],Table13[[#This Row],[Function Col32]])</f>
        <v>16/May/2023</v>
      </c>
      <c r="Q734" s="4">
        <v>45062</v>
      </c>
      <c r="R734" s="1" t="s">
        <v>92</v>
      </c>
      <c r="S734" s="1" t="s">
        <v>23</v>
      </c>
      <c r="T734" s="1" t="s">
        <v>61</v>
      </c>
      <c r="U734" s="1"/>
      <c r="V734" s="1">
        <v>1691.33</v>
      </c>
      <c r="W734" s="1">
        <f>IF(Table1[[#This Row],[Claim_Amount]]&lt;0,0,Table1[[#This Row],[Claim_Amount]])</f>
        <v>1691.33</v>
      </c>
      <c r="X734" s="1">
        <f>IF(Table1[[#This Row],[Column1]]=0,"",Table1[[#This Row],[Column1]])</f>
        <v>1691.33</v>
      </c>
      <c r="Y734" s="1">
        <v>1691.33</v>
      </c>
      <c r="Z734" s="1">
        <v>1691.33</v>
      </c>
      <c r="AA734" s="1">
        <v>3688.01</v>
      </c>
      <c r="AB734" s="1" t="s">
        <v>25</v>
      </c>
      <c r="AC734" s="1" t="s">
        <v>26</v>
      </c>
      <c r="AD734">
        <v>9</v>
      </c>
      <c r="AE734" s="3" t="s">
        <v>1097</v>
      </c>
    </row>
    <row r="735" spans="1:31" ht="15.75" customHeight="1" x14ac:dyDescent="0.35">
      <c r="A735" s="1" t="s">
        <v>168</v>
      </c>
      <c r="B735" s="1" t="s">
        <v>894</v>
      </c>
      <c r="C735" s="1" t="s">
        <v>491</v>
      </c>
      <c r="D735" s="1" t="s">
        <v>895</v>
      </c>
      <c r="E735" s="5">
        <v>44934</v>
      </c>
      <c r="F735" s="4" t="str">
        <f>IF(ISNUMBER(Table13[[#This Row],[Claim_Date2]]),"",Table13[[#This Row],[Claim_Date2]])</f>
        <v/>
      </c>
      <c r="G735" s="4" t="s">
        <v>1098</v>
      </c>
      <c r="H735" s="4" t="str">
        <f>LEFT(Table13[[#This Row],[Values Col 1]],3)</f>
        <v/>
      </c>
      <c r="I735" s="4" t="s">
        <v>1098</v>
      </c>
      <c r="J735" s="4" t="str">
        <f>MID(Table13[[#This Row],[Function Col]],5,2)</f>
        <v/>
      </c>
      <c r="K735" s="4" t="s">
        <v>1098</v>
      </c>
      <c r="L735" s="4" t="str">
        <f>RIGHT(Table13[[#This Row],[Function Col]],4)</f>
        <v/>
      </c>
      <c r="M735" s="4" t="s">
        <v>1098</v>
      </c>
      <c r="N735" s="4" t="str">
        <f>IF(Table13[[#This Row],[Function Col5]]="","",_xlfn.CONCAT(Table13[[#This Row],[Day Col]],"/",Table13[[#This Row],[Month Col]],"/",Table13[[#This Row],[Year Col]]))</f>
        <v/>
      </c>
      <c r="O735" s="4" t="s">
        <v>1098</v>
      </c>
      <c r="P735" s="4">
        <f>IF(ISNUMBER(Table13[[#This Row],[Claim_Date2]]),Table13[[#This Row],[Claim_Date2]],Table13[[#This Row],[Function Col32]])</f>
        <v>44934</v>
      </c>
      <c r="Q735" s="4">
        <v>44934</v>
      </c>
      <c r="R735" s="1" t="s">
        <v>77</v>
      </c>
      <c r="S735" s="1" t="s">
        <v>23</v>
      </c>
      <c r="T735" s="1" t="s">
        <v>61</v>
      </c>
      <c r="U735" s="1"/>
      <c r="V735" s="1">
        <v>-128</v>
      </c>
      <c r="W735" s="1">
        <f>IF(Table1[[#This Row],[Claim_Amount]]&lt;0,0,Table1[[#This Row],[Claim_Amount]])</f>
        <v>0</v>
      </c>
      <c r="X735" s="1" t="str">
        <f>IF(Table1[[#This Row],[Column1]]=0,"",Table1[[#This Row],[Column1]])</f>
        <v/>
      </c>
      <c r="Y735" s="1" t="s">
        <v>1098</v>
      </c>
      <c r="Z735" s="1">
        <v>2481</v>
      </c>
      <c r="AA735">
        <v>832</v>
      </c>
      <c r="AB735" s="1" t="s">
        <v>25</v>
      </c>
      <c r="AC735" s="1" t="s">
        <v>18</v>
      </c>
      <c r="AD735">
        <v>9</v>
      </c>
      <c r="AE735" s="3" t="s">
        <v>19</v>
      </c>
    </row>
    <row r="736" spans="1:31" ht="15.75" customHeight="1" x14ac:dyDescent="0.35">
      <c r="A736" s="1" t="s">
        <v>192</v>
      </c>
      <c r="B736" t="s">
        <v>1083</v>
      </c>
      <c r="C736" s="1" t="s">
        <v>177</v>
      </c>
      <c r="D736" s="1" t="s">
        <v>639</v>
      </c>
      <c r="E736" s="5">
        <v>45263</v>
      </c>
      <c r="F736" s="4" t="str">
        <f>IF(ISNUMBER(Table13[[#This Row],[Claim_Date2]]),"",Table13[[#This Row],[Claim_Date2]])</f>
        <v/>
      </c>
      <c r="G736" s="4" t="s">
        <v>1098</v>
      </c>
      <c r="H736" s="4" t="str">
        <f>LEFT(Table13[[#This Row],[Values Col 1]],3)</f>
        <v/>
      </c>
      <c r="I736" s="4" t="s">
        <v>1098</v>
      </c>
      <c r="J736" s="4" t="str">
        <f>MID(Table13[[#This Row],[Function Col]],5,2)</f>
        <v/>
      </c>
      <c r="K736" s="4" t="s">
        <v>1098</v>
      </c>
      <c r="L736" s="4" t="str">
        <f>RIGHT(Table13[[#This Row],[Function Col]],4)</f>
        <v/>
      </c>
      <c r="M736" s="4" t="s">
        <v>1098</v>
      </c>
      <c r="N736" s="4" t="str">
        <f>IF(Table13[[#This Row],[Function Col5]]="","",_xlfn.CONCAT(Table13[[#This Row],[Day Col]],"/",Table13[[#This Row],[Month Col]],"/",Table13[[#This Row],[Year Col]]))</f>
        <v/>
      </c>
      <c r="O736" s="4" t="s">
        <v>1098</v>
      </c>
      <c r="P736" s="4">
        <f>IF(ISNUMBER(Table13[[#This Row],[Claim_Date2]]),Table13[[#This Row],[Claim_Date2]],Table13[[#This Row],[Function Col32]])</f>
        <v>45263</v>
      </c>
      <c r="Q736" s="4">
        <v>45263</v>
      </c>
      <c r="R736" s="1" t="s">
        <v>30</v>
      </c>
      <c r="S736" t="s">
        <v>1085</v>
      </c>
      <c r="T736" t="s">
        <v>1086</v>
      </c>
      <c r="W736">
        <f>IF(Table1[[#This Row],[Claim_Amount]]&lt;0,0,Table1[[#This Row],[Claim_Amount]])</f>
        <v>0</v>
      </c>
      <c r="X736" t="str">
        <f>IF(Table1[[#This Row],[Column1]]=0,"",Table1[[#This Row],[Column1]])</f>
        <v/>
      </c>
      <c r="Y736" t="s">
        <v>1098</v>
      </c>
      <c r="Z736">
        <v>2481</v>
      </c>
      <c r="AA736">
        <v>832</v>
      </c>
      <c r="AB736" s="1" t="s">
        <v>17</v>
      </c>
      <c r="AC736" s="1" t="s">
        <v>18</v>
      </c>
      <c r="AD736">
        <v>9</v>
      </c>
      <c r="AE736" s="3" t="s">
        <v>19</v>
      </c>
    </row>
    <row r="737" spans="1:31" ht="15.75" customHeight="1" x14ac:dyDescent="0.35">
      <c r="A737" s="1" t="s">
        <v>148</v>
      </c>
      <c r="B737" t="s">
        <v>1083</v>
      </c>
      <c r="C737" t="s">
        <v>1084</v>
      </c>
      <c r="D737" s="1" t="s">
        <v>477</v>
      </c>
      <c r="E737" s="5">
        <v>45241</v>
      </c>
      <c r="F737" s="4" t="str">
        <f>IF(ISNUMBER(Table13[[#This Row],[Claim_Date2]]),"",Table13[[#This Row],[Claim_Date2]])</f>
        <v/>
      </c>
      <c r="G737" s="4" t="s">
        <v>1098</v>
      </c>
      <c r="H737" s="4" t="str">
        <f>LEFT(Table13[[#This Row],[Values Col 1]],3)</f>
        <v/>
      </c>
      <c r="I737" s="4" t="s">
        <v>1098</v>
      </c>
      <c r="J737" s="4" t="str">
        <f>MID(Table13[[#This Row],[Function Col]],5,2)</f>
        <v/>
      </c>
      <c r="K737" s="4" t="s">
        <v>1098</v>
      </c>
      <c r="L737" s="4" t="str">
        <f>RIGHT(Table13[[#This Row],[Function Col]],4)</f>
        <v/>
      </c>
      <c r="M737" s="4" t="s">
        <v>1098</v>
      </c>
      <c r="N737" s="4" t="str">
        <f>IF(Table13[[#This Row],[Function Col5]]="","",_xlfn.CONCAT(Table13[[#This Row],[Day Col]],"/",Table13[[#This Row],[Month Col]],"/",Table13[[#This Row],[Year Col]]))</f>
        <v/>
      </c>
      <c r="O737" s="4" t="s">
        <v>1098</v>
      </c>
      <c r="P737" s="4">
        <f>IF(ISNUMBER(Table13[[#This Row],[Claim_Date2]]),Table13[[#This Row],[Claim_Date2]],Table13[[#This Row],[Function Col32]])</f>
        <v>45241</v>
      </c>
      <c r="Q737" s="4">
        <v>45241</v>
      </c>
      <c r="R737" s="1" t="s">
        <v>92</v>
      </c>
      <c r="S737" s="1" t="s">
        <v>93</v>
      </c>
      <c r="T737" t="s">
        <v>1086</v>
      </c>
      <c r="V737" s="1">
        <v>-94</v>
      </c>
      <c r="W737" s="1">
        <f>IF(Table1[[#This Row],[Claim_Amount]]&lt;0,0,Table1[[#This Row],[Claim_Amount]])</f>
        <v>0</v>
      </c>
      <c r="X737" s="1" t="str">
        <f>IF(Table1[[#This Row],[Column1]]=0,"",Table1[[#This Row],[Column1]])</f>
        <v/>
      </c>
      <c r="Y737" s="1" t="s">
        <v>1098</v>
      </c>
      <c r="Z737" s="1">
        <v>2481</v>
      </c>
      <c r="AA737">
        <v>832</v>
      </c>
      <c r="AB737" s="1" t="s">
        <v>1091</v>
      </c>
      <c r="AC737" s="1" t="s">
        <v>57</v>
      </c>
      <c r="AD737">
        <v>9</v>
      </c>
      <c r="AE737" s="3" t="s">
        <v>65</v>
      </c>
    </row>
    <row r="738" spans="1:31" ht="15.75" customHeight="1" x14ac:dyDescent="0.35">
      <c r="A738" s="1" t="s">
        <v>58</v>
      </c>
      <c r="B738" t="s">
        <v>1083</v>
      </c>
      <c r="C738" s="1" t="s">
        <v>378</v>
      </c>
      <c r="D738" s="1" t="s">
        <v>896</v>
      </c>
      <c r="E738" s="5" t="s">
        <v>896</v>
      </c>
      <c r="F738" s="4" t="str">
        <f>IF(ISNUMBER(Table13[[#This Row],[Claim_Date2]]),"",Table13[[#This Row],[Claim_Date2]])</f>
        <v>Jul 17 2023</v>
      </c>
      <c r="G738" s="4" t="s">
        <v>896</v>
      </c>
      <c r="H738" s="4" t="str">
        <f>LEFT(Table13[[#This Row],[Values Col 1]],3)</f>
        <v>Jul</v>
      </c>
      <c r="I738" s="4" t="s">
        <v>1101</v>
      </c>
      <c r="J738" s="4" t="str">
        <f>MID(Table13[[#This Row],[Function Col]],5,2)</f>
        <v>17</v>
      </c>
      <c r="K738" s="4" t="s">
        <v>1140</v>
      </c>
      <c r="L738" s="4" t="str">
        <f>RIGHT(Table13[[#This Row],[Function Col]],4)</f>
        <v>2023</v>
      </c>
      <c r="M738" s="4" t="s">
        <v>1146</v>
      </c>
      <c r="N738" s="4" t="str">
        <f>IF(Table13[[#This Row],[Function Col5]]="","",_xlfn.CONCAT(Table13[[#This Row],[Day Col]],"/",Table13[[#This Row],[Month Col]],"/",Table13[[#This Row],[Year Col]]))</f>
        <v>17/Jul/2023</v>
      </c>
      <c r="O738" s="4" t="s">
        <v>1325</v>
      </c>
      <c r="P738" s="4" t="str">
        <f>IF(ISNUMBER(Table13[[#This Row],[Claim_Date2]]),Table13[[#This Row],[Claim_Date2]],Table13[[#This Row],[Function Col32]])</f>
        <v>17/Jul/2023</v>
      </c>
      <c r="Q738" s="4">
        <v>45124</v>
      </c>
      <c r="R738" s="1" t="s">
        <v>16</v>
      </c>
      <c r="S738" s="1" t="s">
        <v>93</v>
      </c>
      <c r="T738" s="1" t="s">
        <v>24</v>
      </c>
      <c r="U738" s="1"/>
      <c r="V738" s="1">
        <v>120.89</v>
      </c>
      <c r="W738" s="1">
        <f>IF(Table1[[#This Row],[Claim_Amount]]&lt;0,0,Table1[[#This Row],[Claim_Amount]])</f>
        <v>120.89</v>
      </c>
      <c r="X738" s="1">
        <f>IF(Table1[[#This Row],[Column1]]=0,"",Table1[[#This Row],[Column1]])</f>
        <v>120.89</v>
      </c>
      <c r="Y738" s="1">
        <v>120.89</v>
      </c>
      <c r="Z738" s="1">
        <v>120.89</v>
      </c>
      <c r="AA738" s="1">
        <v>4185.13</v>
      </c>
      <c r="AB738" s="1" t="s">
        <v>17</v>
      </c>
      <c r="AC738" s="1" t="s">
        <v>1093</v>
      </c>
      <c r="AD738" s="1">
        <v>20</v>
      </c>
      <c r="AE738" s="3" t="s">
        <v>1097</v>
      </c>
    </row>
    <row r="739" spans="1:31" ht="15.75" customHeight="1" x14ac:dyDescent="0.35">
      <c r="A739" s="1" t="s">
        <v>285</v>
      </c>
      <c r="B739" t="s">
        <v>1083</v>
      </c>
      <c r="C739" t="s">
        <v>1084</v>
      </c>
      <c r="D739" s="1" t="s">
        <v>897</v>
      </c>
      <c r="E739" s="5" t="s">
        <v>897</v>
      </c>
      <c r="F739" s="4" t="str">
        <f>IF(ISNUMBER(Table13[[#This Row],[Claim_Date2]]),"",Table13[[#This Row],[Claim_Date2]])</f>
        <v>Aug 21 2023</v>
      </c>
      <c r="G739" s="4" t="s">
        <v>897</v>
      </c>
      <c r="H739" s="4" t="str">
        <f>LEFT(Table13[[#This Row],[Values Col 1]],3)</f>
        <v>Aug</v>
      </c>
      <c r="I739" s="4" t="s">
        <v>1106</v>
      </c>
      <c r="J739" s="4" t="str">
        <f>MID(Table13[[#This Row],[Function Col]],5,2)</f>
        <v>21</v>
      </c>
      <c r="K739" s="4" t="s">
        <v>1136</v>
      </c>
      <c r="L739" s="4" t="str">
        <f>RIGHT(Table13[[#This Row],[Function Col]],4)</f>
        <v>2023</v>
      </c>
      <c r="M739" s="4" t="s">
        <v>1146</v>
      </c>
      <c r="N739" s="4" t="str">
        <f>IF(Table13[[#This Row],[Function Col5]]="","",_xlfn.CONCAT(Table13[[#This Row],[Day Col]],"/",Table13[[#This Row],[Month Col]],"/",Table13[[#This Row],[Year Col]]))</f>
        <v>21/Aug/2023</v>
      </c>
      <c r="O739" s="4" t="s">
        <v>1326</v>
      </c>
      <c r="P739" s="4" t="str">
        <f>IF(ISNUMBER(Table13[[#This Row],[Claim_Date2]]),Table13[[#This Row],[Claim_Date2]],Table13[[#This Row],[Function Col32]])</f>
        <v>21/Aug/2023</v>
      </c>
      <c r="Q739" s="4">
        <v>45159</v>
      </c>
      <c r="R739" s="1" t="s">
        <v>92</v>
      </c>
      <c r="S739" s="1" t="s">
        <v>47</v>
      </c>
      <c r="T739" s="1" t="s">
        <v>48</v>
      </c>
      <c r="U739" s="1"/>
      <c r="W739">
        <f>IF(Table1[[#This Row],[Claim_Amount]]&lt;0,0,Table1[[#This Row],[Claim_Amount]])</f>
        <v>0</v>
      </c>
      <c r="X739" t="str">
        <f>IF(Table1[[#This Row],[Column1]]=0,"",Table1[[#This Row],[Column1]])</f>
        <v/>
      </c>
      <c r="Y739" t="s">
        <v>1098</v>
      </c>
      <c r="Z739">
        <v>2481</v>
      </c>
      <c r="AA739" s="1">
        <v>1719.41</v>
      </c>
      <c r="AB739" s="1" t="s">
        <v>42</v>
      </c>
      <c r="AC739" s="1" t="s">
        <v>32</v>
      </c>
      <c r="AD739">
        <v>9</v>
      </c>
      <c r="AE739" s="3" t="s">
        <v>1097</v>
      </c>
    </row>
    <row r="740" spans="1:31" ht="15.75" customHeight="1" x14ac:dyDescent="0.35">
      <c r="A740" s="1" t="s">
        <v>173</v>
      </c>
      <c r="B740" s="1" t="s">
        <v>898</v>
      </c>
      <c r="C740" t="s">
        <v>1084</v>
      </c>
      <c r="D740" s="1" t="s">
        <v>899</v>
      </c>
      <c r="E740" s="5">
        <v>45061</v>
      </c>
      <c r="F740" s="4" t="str">
        <f>IF(ISNUMBER(Table13[[#This Row],[Claim_Date2]]),"",Table13[[#This Row],[Claim_Date2]])</f>
        <v/>
      </c>
      <c r="G740" s="4" t="s">
        <v>1098</v>
      </c>
      <c r="H740" s="4" t="str">
        <f>LEFT(Table13[[#This Row],[Values Col 1]],3)</f>
        <v/>
      </c>
      <c r="I740" s="4" t="s">
        <v>1098</v>
      </c>
      <c r="J740" s="4" t="str">
        <f>MID(Table13[[#This Row],[Function Col]],5,2)</f>
        <v/>
      </c>
      <c r="K740" s="4" t="s">
        <v>1098</v>
      </c>
      <c r="L740" s="4" t="str">
        <f>RIGHT(Table13[[#This Row],[Function Col]],4)</f>
        <v/>
      </c>
      <c r="M740" s="4" t="s">
        <v>1098</v>
      </c>
      <c r="N740" s="4" t="str">
        <f>IF(Table13[[#This Row],[Function Col5]]="","",_xlfn.CONCAT(Table13[[#This Row],[Day Col]],"/",Table13[[#This Row],[Month Col]],"/",Table13[[#This Row],[Year Col]]))</f>
        <v/>
      </c>
      <c r="O740" s="4" t="s">
        <v>1098</v>
      </c>
      <c r="P740" s="4">
        <f>IF(ISNUMBER(Table13[[#This Row],[Claim_Date2]]),Table13[[#This Row],[Claim_Date2]],Table13[[#This Row],[Function Col32]])</f>
        <v>45061</v>
      </c>
      <c r="Q740" s="4">
        <v>45061</v>
      </c>
      <c r="R740" s="1" t="s">
        <v>77</v>
      </c>
      <c r="S740" t="s">
        <v>1085</v>
      </c>
      <c r="T740" s="1" t="s">
        <v>61</v>
      </c>
      <c r="U740" s="1"/>
      <c r="V740" s="1">
        <v>4825.53</v>
      </c>
      <c r="W740" s="1">
        <f>IF(Table1[[#This Row],[Claim_Amount]]&lt;0,0,Table1[[#This Row],[Claim_Amount]])</f>
        <v>4825.53</v>
      </c>
      <c r="X740" s="1">
        <f>IF(Table1[[#This Row],[Column1]]=0,"",Table1[[#This Row],[Column1]])</f>
        <v>4825.53</v>
      </c>
      <c r="Y740" s="1">
        <v>4825.53</v>
      </c>
      <c r="Z740" s="1">
        <v>4825.53</v>
      </c>
      <c r="AA740">
        <v>832</v>
      </c>
      <c r="AB740" s="1" t="s">
        <v>25</v>
      </c>
      <c r="AC740" s="1" t="s">
        <v>26</v>
      </c>
      <c r="AD740">
        <v>9</v>
      </c>
      <c r="AE740" s="3" t="s">
        <v>27</v>
      </c>
    </row>
    <row r="741" spans="1:31" ht="15.75" customHeight="1" x14ac:dyDescent="0.35">
      <c r="A741" s="1" t="s">
        <v>277</v>
      </c>
      <c r="B741" t="s">
        <v>1083</v>
      </c>
      <c r="C741" t="s">
        <v>1084</v>
      </c>
      <c r="D741" s="1" t="s">
        <v>900</v>
      </c>
      <c r="E741" s="5">
        <v>45210</v>
      </c>
      <c r="F741" s="4" t="str">
        <f>IF(ISNUMBER(Table13[[#This Row],[Claim_Date2]]),"",Table13[[#This Row],[Claim_Date2]])</f>
        <v/>
      </c>
      <c r="G741" s="4" t="s">
        <v>1098</v>
      </c>
      <c r="H741" s="4" t="str">
        <f>LEFT(Table13[[#This Row],[Values Col 1]],3)</f>
        <v/>
      </c>
      <c r="I741" s="4" t="s">
        <v>1098</v>
      </c>
      <c r="J741" s="4" t="str">
        <f>MID(Table13[[#This Row],[Function Col]],5,2)</f>
        <v/>
      </c>
      <c r="K741" s="4" t="s">
        <v>1098</v>
      </c>
      <c r="L741" s="4" t="str">
        <f>RIGHT(Table13[[#This Row],[Function Col]],4)</f>
        <v/>
      </c>
      <c r="M741" s="4" t="s">
        <v>1098</v>
      </c>
      <c r="N741" s="4" t="str">
        <f>IF(Table13[[#This Row],[Function Col5]]="","",_xlfn.CONCAT(Table13[[#This Row],[Day Col]],"/",Table13[[#This Row],[Month Col]],"/",Table13[[#This Row],[Year Col]]))</f>
        <v/>
      </c>
      <c r="O741" s="4" t="s">
        <v>1098</v>
      </c>
      <c r="P741" s="4">
        <f>IF(ISNUMBER(Table13[[#This Row],[Claim_Date2]]),Table13[[#This Row],[Claim_Date2]],Table13[[#This Row],[Function Col32]])</f>
        <v>45210</v>
      </c>
      <c r="Q741" s="4">
        <v>45210</v>
      </c>
      <c r="R741" s="1" t="s">
        <v>77</v>
      </c>
      <c r="S741" s="1" t="s">
        <v>47</v>
      </c>
      <c r="T741" s="1" t="s">
        <v>24</v>
      </c>
      <c r="U741" s="1"/>
      <c r="W741">
        <f>IF(Table1[[#This Row],[Claim_Amount]]&lt;0,0,Table1[[#This Row],[Claim_Amount]])</f>
        <v>0</v>
      </c>
      <c r="X741" t="str">
        <f>IF(Table1[[#This Row],[Column1]]=0,"",Table1[[#This Row],[Column1]])</f>
        <v/>
      </c>
      <c r="Y741" t="s">
        <v>1098</v>
      </c>
      <c r="Z741">
        <v>2481</v>
      </c>
      <c r="AA741" s="1">
        <v>3890.76</v>
      </c>
      <c r="AB741" s="1" t="s">
        <v>42</v>
      </c>
      <c r="AC741" s="1" t="s">
        <v>57</v>
      </c>
      <c r="AD741" s="1">
        <v>38</v>
      </c>
      <c r="AE741" s="3" t="s">
        <v>1097</v>
      </c>
    </row>
    <row r="742" spans="1:31" ht="15.75" customHeight="1" x14ac:dyDescent="0.35">
      <c r="A742" s="1" t="s">
        <v>302</v>
      </c>
      <c r="B742" s="1" t="s">
        <v>894</v>
      </c>
      <c r="C742" t="s">
        <v>1084</v>
      </c>
      <c r="D742" s="1" t="s">
        <v>697</v>
      </c>
      <c r="E742" s="5" t="s">
        <v>697</v>
      </c>
      <c r="F742" s="4" t="str">
        <f>IF(ISNUMBER(Table13[[#This Row],[Claim_Date2]]),"",Table13[[#This Row],[Claim_Date2]])</f>
        <v>Dec 22 2023</v>
      </c>
      <c r="G742" s="4" t="s">
        <v>697</v>
      </c>
      <c r="H742" s="4" t="str">
        <f>LEFT(Table13[[#This Row],[Values Col 1]],3)</f>
        <v>Dec</v>
      </c>
      <c r="I742" s="4" t="s">
        <v>1111</v>
      </c>
      <c r="J742" s="4" t="str">
        <f>MID(Table13[[#This Row],[Function Col]],5,2)</f>
        <v>22</v>
      </c>
      <c r="K742" s="4" t="s">
        <v>1122</v>
      </c>
      <c r="L742" s="4" t="str">
        <f>RIGHT(Table13[[#This Row],[Function Col]],4)</f>
        <v>2023</v>
      </c>
      <c r="M742" s="4" t="s">
        <v>1146</v>
      </c>
      <c r="N742" s="4" t="str">
        <f>IF(Table13[[#This Row],[Function Col5]]="","",_xlfn.CONCAT(Table13[[#This Row],[Day Col]],"/",Table13[[#This Row],[Month Col]],"/",Table13[[#This Row],[Year Col]]))</f>
        <v>22/Dec/2023</v>
      </c>
      <c r="O742" s="4" t="s">
        <v>1273</v>
      </c>
      <c r="P742" s="4" t="str">
        <f>IF(ISNUMBER(Table13[[#This Row],[Claim_Date2]]),Table13[[#This Row],[Claim_Date2]],Table13[[#This Row],[Function Col32]])</f>
        <v>22/Dec/2023</v>
      </c>
      <c r="Q742" s="4">
        <v>45282</v>
      </c>
      <c r="R742" s="1" t="s">
        <v>85</v>
      </c>
      <c r="S742" s="1" t="s">
        <v>31</v>
      </c>
      <c r="T742" s="1" t="s">
        <v>24</v>
      </c>
      <c r="U742" s="1"/>
      <c r="W742">
        <f>IF(Table1[[#This Row],[Claim_Amount]]&lt;0,0,Table1[[#This Row],[Claim_Amount]])</f>
        <v>0</v>
      </c>
      <c r="X742" t="str">
        <f>IF(Table1[[#This Row],[Column1]]=0,"",Table1[[#This Row],[Column1]])</f>
        <v/>
      </c>
      <c r="Y742" t="s">
        <v>1098</v>
      </c>
      <c r="Z742">
        <v>2481</v>
      </c>
      <c r="AA742">
        <v>832</v>
      </c>
      <c r="AB742" s="1" t="s">
        <v>17</v>
      </c>
      <c r="AC742" s="1" t="s">
        <v>57</v>
      </c>
      <c r="AD742">
        <v>9</v>
      </c>
      <c r="AE742" s="3" t="s">
        <v>37</v>
      </c>
    </row>
    <row r="743" spans="1:31" ht="15.75" customHeight="1" x14ac:dyDescent="0.35">
      <c r="A743" s="1" t="s">
        <v>212</v>
      </c>
      <c r="B743" s="1" t="s">
        <v>901</v>
      </c>
      <c r="C743" t="s">
        <v>1084</v>
      </c>
      <c r="D743" s="1" t="s">
        <v>679</v>
      </c>
      <c r="E743" s="5">
        <v>45194</v>
      </c>
      <c r="F743" s="4" t="str">
        <f>IF(ISNUMBER(Table13[[#This Row],[Claim_Date2]]),"",Table13[[#This Row],[Claim_Date2]])</f>
        <v/>
      </c>
      <c r="G743" s="4" t="s">
        <v>1098</v>
      </c>
      <c r="H743" s="4" t="str">
        <f>LEFT(Table13[[#This Row],[Values Col 1]],3)</f>
        <v/>
      </c>
      <c r="I743" s="4" t="s">
        <v>1098</v>
      </c>
      <c r="J743" s="4" t="str">
        <f>MID(Table13[[#This Row],[Function Col]],5,2)</f>
        <v/>
      </c>
      <c r="K743" s="4" t="s">
        <v>1098</v>
      </c>
      <c r="L743" s="4" t="str">
        <f>RIGHT(Table13[[#This Row],[Function Col]],4)</f>
        <v/>
      </c>
      <c r="M743" s="4" t="s">
        <v>1098</v>
      </c>
      <c r="N743" s="4" t="str">
        <f>IF(Table13[[#This Row],[Function Col5]]="","",_xlfn.CONCAT(Table13[[#This Row],[Day Col]],"/",Table13[[#This Row],[Month Col]],"/",Table13[[#This Row],[Year Col]]))</f>
        <v/>
      </c>
      <c r="O743" s="4" t="s">
        <v>1098</v>
      </c>
      <c r="P743" s="4">
        <f>IF(ISNUMBER(Table13[[#This Row],[Claim_Date2]]),Table13[[#This Row],[Claim_Date2]],Table13[[#This Row],[Function Col32]])</f>
        <v>45194</v>
      </c>
      <c r="Q743" s="4">
        <v>45194</v>
      </c>
      <c r="R743" s="1" t="s">
        <v>77</v>
      </c>
      <c r="S743" s="1" t="s">
        <v>31</v>
      </c>
      <c r="T743" s="1" t="s">
        <v>24</v>
      </c>
      <c r="U743" s="1"/>
      <c r="V743" s="1">
        <v>3621.66</v>
      </c>
      <c r="W743" s="1">
        <f>IF(Table1[[#This Row],[Claim_Amount]]&lt;0,0,Table1[[#This Row],[Claim_Amount]])</f>
        <v>3621.66</v>
      </c>
      <c r="X743" s="1">
        <f>IF(Table1[[#This Row],[Column1]]=0,"",Table1[[#This Row],[Column1]])</f>
        <v>3621.66</v>
      </c>
      <c r="Y743" s="1">
        <v>3621.66</v>
      </c>
      <c r="Z743" s="1">
        <v>3621.66</v>
      </c>
      <c r="AA743">
        <v>832</v>
      </c>
      <c r="AB743" s="1" t="s">
        <v>1091</v>
      </c>
      <c r="AC743" s="1" t="s">
        <v>32</v>
      </c>
      <c r="AD743">
        <v>9</v>
      </c>
      <c r="AE743" s="3" t="s">
        <v>1097</v>
      </c>
    </row>
    <row r="744" spans="1:31" ht="15.75" customHeight="1" x14ac:dyDescent="0.35">
      <c r="A744" s="1" t="s">
        <v>154</v>
      </c>
      <c r="B744" s="1" t="s">
        <v>511</v>
      </c>
      <c r="C744" t="s">
        <v>1084</v>
      </c>
      <c r="D744" s="1" t="s">
        <v>607</v>
      </c>
      <c r="E744" s="5">
        <v>44998</v>
      </c>
      <c r="F744" s="4" t="str">
        <f>IF(ISNUMBER(Table13[[#This Row],[Claim_Date2]]),"",Table13[[#This Row],[Claim_Date2]])</f>
        <v/>
      </c>
      <c r="G744" s="4" t="s">
        <v>1098</v>
      </c>
      <c r="H744" s="4" t="str">
        <f>LEFT(Table13[[#This Row],[Values Col 1]],3)</f>
        <v/>
      </c>
      <c r="I744" s="4" t="s">
        <v>1098</v>
      </c>
      <c r="J744" s="4" t="str">
        <f>MID(Table13[[#This Row],[Function Col]],5,2)</f>
        <v/>
      </c>
      <c r="K744" s="4" t="s">
        <v>1098</v>
      </c>
      <c r="L744" s="4" t="str">
        <f>RIGHT(Table13[[#This Row],[Function Col]],4)</f>
        <v/>
      </c>
      <c r="M744" s="4" t="s">
        <v>1098</v>
      </c>
      <c r="N744" s="4" t="str">
        <f>IF(Table13[[#This Row],[Function Col5]]="","",_xlfn.CONCAT(Table13[[#This Row],[Day Col]],"/",Table13[[#This Row],[Month Col]],"/",Table13[[#This Row],[Year Col]]))</f>
        <v/>
      </c>
      <c r="O744" s="4" t="s">
        <v>1098</v>
      </c>
      <c r="P744" s="4">
        <f>IF(ISNUMBER(Table13[[#This Row],[Claim_Date2]]),Table13[[#This Row],[Claim_Date2]],Table13[[#This Row],[Function Col32]])</f>
        <v>44998</v>
      </c>
      <c r="Q744" s="4">
        <v>44998</v>
      </c>
      <c r="R744" s="1" t="s">
        <v>85</v>
      </c>
      <c r="S744" s="1" t="s">
        <v>93</v>
      </c>
      <c r="T744" s="1" t="s">
        <v>48</v>
      </c>
      <c r="U744" s="1"/>
      <c r="V744" s="1">
        <v>-175</v>
      </c>
      <c r="W744" s="1">
        <f>IF(Table1[[#This Row],[Claim_Amount]]&lt;0,0,Table1[[#This Row],[Claim_Amount]])</f>
        <v>0</v>
      </c>
      <c r="X744" s="1" t="str">
        <f>IF(Table1[[#This Row],[Column1]]=0,"",Table1[[#This Row],[Column1]])</f>
        <v/>
      </c>
      <c r="Y744" s="1" t="s">
        <v>1098</v>
      </c>
      <c r="Z744" s="1">
        <v>2481</v>
      </c>
      <c r="AA744" s="1">
        <v>1985.45</v>
      </c>
      <c r="AB744" s="1" t="s">
        <v>17</v>
      </c>
      <c r="AC744" s="1" t="s">
        <v>32</v>
      </c>
      <c r="AD744" s="1">
        <v>4</v>
      </c>
      <c r="AE744" s="3" t="s">
        <v>27</v>
      </c>
    </row>
    <row r="745" spans="1:31" ht="15.75" customHeight="1" x14ac:dyDescent="0.35">
      <c r="A745" s="1" t="s">
        <v>277</v>
      </c>
      <c r="B745" s="1" t="s">
        <v>902</v>
      </c>
      <c r="C745" s="1" t="s">
        <v>408</v>
      </c>
      <c r="D745" s="1" t="s">
        <v>903</v>
      </c>
      <c r="E745" s="5" t="s">
        <v>903</v>
      </c>
      <c r="F745" s="4" t="str">
        <f>IF(ISNUMBER(Table13[[#This Row],[Claim_Date2]]),"",Table13[[#This Row],[Claim_Date2]])</f>
        <v>Mar 14 2023</v>
      </c>
      <c r="G745" s="4" t="s">
        <v>903</v>
      </c>
      <c r="H745" s="4" t="str">
        <f>LEFT(Table13[[#This Row],[Values Col 1]],3)</f>
        <v>Mar</v>
      </c>
      <c r="I745" s="4" t="s">
        <v>1100</v>
      </c>
      <c r="J745" s="4" t="str">
        <f>MID(Table13[[#This Row],[Function Col]],5,2)</f>
        <v>14</v>
      </c>
      <c r="K745" s="4" t="s">
        <v>1131</v>
      </c>
      <c r="L745" s="4" t="str">
        <f>RIGHT(Table13[[#This Row],[Function Col]],4)</f>
        <v>2023</v>
      </c>
      <c r="M745" s="4" t="s">
        <v>1146</v>
      </c>
      <c r="N745" s="4" t="str">
        <f>IF(Table13[[#This Row],[Function Col5]]="","",_xlfn.CONCAT(Table13[[#This Row],[Day Col]],"/",Table13[[#This Row],[Month Col]],"/",Table13[[#This Row],[Year Col]]))</f>
        <v>14/Mar/2023</v>
      </c>
      <c r="O745" s="4" t="s">
        <v>1327</v>
      </c>
      <c r="P745" s="4" t="str">
        <f>IF(ISNUMBER(Table13[[#This Row],[Claim_Date2]]),Table13[[#This Row],[Claim_Date2]],Table13[[#This Row],[Function Col32]])</f>
        <v>14/Mar/2023</v>
      </c>
      <c r="Q745" s="4">
        <v>44999</v>
      </c>
      <c r="R745" s="1" t="s">
        <v>92</v>
      </c>
      <c r="S745" s="1" t="s">
        <v>31</v>
      </c>
      <c r="T745" s="1" t="s">
        <v>61</v>
      </c>
      <c r="U745" s="1"/>
      <c r="W745">
        <f>IF(Table1[[#This Row],[Claim_Amount]]&lt;0,0,Table1[[#This Row],[Claim_Amount]])</f>
        <v>0</v>
      </c>
      <c r="X745" t="str">
        <f>IF(Table1[[#This Row],[Column1]]=0,"",Table1[[#This Row],[Column1]])</f>
        <v/>
      </c>
      <c r="Y745" t="s">
        <v>1098</v>
      </c>
      <c r="Z745">
        <v>2481</v>
      </c>
      <c r="AA745">
        <v>832</v>
      </c>
      <c r="AB745" s="1" t="s">
        <v>1091</v>
      </c>
      <c r="AC745" s="1" t="s">
        <v>1093</v>
      </c>
      <c r="AD745">
        <v>9</v>
      </c>
      <c r="AE745" s="3" t="s">
        <v>37</v>
      </c>
    </row>
    <row r="746" spans="1:31" ht="15.75" customHeight="1" x14ac:dyDescent="0.35">
      <c r="A746" s="1" t="s">
        <v>192</v>
      </c>
      <c r="B746" t="s">
        <v>1083</v>
      </c>
      <c r="C746" t="s">
        <v>1084</v>
      </c>
      <c r="D746" s="1" t="s">
        <v>904</v>
      </c>
      <c r="E746" s="5">
        <v>44963</v>
      </c>
      <c r="F746" s="4" t="str">
        <f>IF(ISNUMBER(Table13[[#This Row],[Claim_Date2]]),"",Table13[[#This Row],[Claim_Date2]])</f>
        <v/>
      </c>
      <c r="G746" s="4" t="s">
        <v>1098</v>
      </c>
      <c r="H746" s="4" t="str">
        <f>LEFT(Table13[[#This Row],[Values Col 1]],3)</f>
        <v/>
      </c>
      <c r="I746" s="4" t="s">
        <v>1098</v>
      </c>
      <c r="J746" s="4" t="str">
        <f>MID(Table13[[#This Row],[Function Col]],5,2)</f>
        <v/>
      </c>
      <c r="K746" s="4" t="s">
        <v>1098</v>
      </c>
      <c r="L746" s="4" t="str">
        <f>RIGHT(Table13[[#This Row],[Function Col]],4)</f>
        <v/>
      </c>
      <c r="M746" s="4" t="s">
        <v>1098</v>
      </c>
      <c r="N746" s="4" t="str">
        <f>IF(Table13[[#This Row],[Function Col5]]="","",_xlfn.CONCAT(Table13[[#This Row],[Day Col]],"/",Table13[[#This Row],[Month Col]],"/",Table13[[#This Row],[Year Col]]))</f>
        <v/>
      </c>
      <c r="O746" s="4" t="s">
        <v>1098</v>
      </c>
      <c r="P746" s="4">
        <f>IF(ISNUMBER(Table13[[#This Row],[Claim_Date2]]),Table13[[#This Row],[Claim_Date2]],Table13[[#This Row],[Function Col32]])</f>
        <v>44963</v>
      </c>
      <c r="Q746" s="4">
        <v>44963</v>
      </c>
      <c r="R746" s="1" t="s">
        <v>16</v>
      </c>
      <c r="S746" s="1" t="s">
        <v>53</v>
      </c>
      <c r="T746" s="1" t="s">
        <v>41</v>
      </c>
      <c r="U746" s="1"/>
      <c r="V746" s="1">
        <v>-129</v>
      </c>
      <c r="W746" s="1">
        <f>IF(Table1[[#This Row],[Claim_Amount]]&lt;0,0,Table1[[#This Row],[Claim_Amount]])</f>
        <v>0</v>
      </c>
      <c r="X746" s="1" t="str">
        <f>IF(Table1[[#This Row],[Column1]]=0,"",Table1[[#This Row],[Column1]])</f>
        <v/>
      </c>
      <c r="Y746" s="1" t="s">
        <v>1098</v>
      </c>
      <c r="Z746" s="1">
        <v>2481</v>
      </c>
      <c r="AA746">
        <v>832</v>
      </c>
      <c r="AB746" s="1" t="s">
        <v>25</v>
      </c>
      <c r="AC746" s="1" t="s">
        <v>32</v>
      </c>
      <c r="AD746">
        <v>9</v>
      </c>
      <c r="AE746" s="3" t="s">
        <v>19</v>
      </c>
    </row>
    <row r="747" spans="1:31" ht="15.75" customHeight="1" x14ac:dyDescent="0.35">
      <c r="A747" s="1" t="s">
        <v>96</v>
      </c>
      <c r="B747" t="s">
        <v>1083</v>
      </c>
      <c r="C747" t="s">
        <v>1084</v>
      </c>
      <c r="D747" s="1" t="s">
        <v>663</v>
      </c>
      <c r="E747" s="5" t="s">
        <v>663</v>
      </c>
      <c r="F747" s="4" t="str">
        <f>IF(ISNUMBER(Table13[[#This Row],[Claim_Date2]]),"",Table13[[#This Row],[Claim_Date2]])</f>
        <v>Sep 11 2023</v>
      </c>
      <c r="G747" s="4" t="s">
        <v>663</v>
      </c>
      <c r="H747" s="4" t="str">
        <f>LEFT(Table13[[#This Row],[Values Col 1]],3)</f>
        <v>Sep</v>
      </c>
      <c r="I747" s="4" t="s">
        <v>1102</v>
      </c>
      <c r="J747" s="4" t="str">
        <f>MID(Table13[[#This Row],[Function Col]],5,2)</f>
        <v>11</v>
      </c>
      <c r="K747" s="4" t="s">
        <v>1121</v>
      </c>
      <c r="L747" s="4" t="str">
        <f>RIGHT(Table13[[#This Row],[Function Col]],4)</f>
        <v>2023</v>
      </c>
      <c r="M747" s="4" t="s">
        <v>1146</v>
      </c>
      <c r="N747" s="4" t="str">
        <f>IF(Table13[[#This Row],[Function Col5]]="","",_xlfn.CONCAT(Table13[[#This Row],[Day Col]],"/",Table13[[#This Row],[Month Col]],"/",Table13[[#This Row],[Year Col]]))</f>
        <v>11/Sep/2023</v>
      </c>
      <c r="O747" s="4" t="s">
        <v>1266</v>
      </c>
      <c r="P747" s="4" t="str">
        <f>IF(ISNUMBER(Table13[[#This Row],[Claim_Date2]]),Table13[[#This Row],[Claim_Date2]],Table13[[#This Row],[Function Col32]])</f>
        <v>11/Sep/2023</v>
      </c>
      <c r="Q747" s="4">
        <v>45180</v>
      </c>
      <c r="R747" s="1" t="s">
        <v>77</v>
      </c>
      <c r="S747" s="1" t="s">
        <v>53</v>
      </c>
      <c r="T747" s="1" t="s">
        <v>61</v>
      </c>
      <c r="U747" s="1"/>
      <c r="W747">
        <f>IF(Table1[[#This Row],[Claim_Amount]]&lt;0,0,Table1[[#This Row],[Claim_Amount]])</f>
        <v>0</v>
      </c>
      <c r="X747" t="str">
        <f>IF(Table1[[#This Row],[Column1]]=0,"",Table1[[#This Row],[Column1]])</f>
        <v/>
      </c>
      <c r="Y747" t="s">
        <v>1098</v>
      </c>
      <c r="Z747">
        <v>2481</v>
      </c>
      <c r="AA747">
        <v>832</v>
      </c>
      <c r="AB747" s="1" t="s">
        <v>1091</v>
      </c>
      <c r="AC747" s="1" t="s">
        <v>32</v>
      </c>
      <c r="AD747">
        <v>9</v>
      </c>
      <c r="AE747" s="3" t="s">
        <v>27</v>
      </c>
    </row>
    <row r="748" spans="1:31" ht="15.75" customHeight="1" x14ac:dyDescent="0.35">
      <c r="A748" s="1" t="s">
        <v>28</v>
      </c>
      <c r="B748" s="1" t="s">
        <v>495</v>
      </c>
      <c r="C748" t="s">
        <v>1084</v>
      </c>
      <c r="D748" s="1" t="s">
        <v>580</v>
      </c>
      <c r="E748" s="5">
        <v>45051</v>
      </c>
      <c r="F748" s="4" t="str">
        <f>IF(ISNUMBER(Table13[[#This Row],[Claim_Date2]]),"",Table13[[#This Row],[Claim_Date2]])</f>
        <v/>
      </c>
      <c r="G748" s="4" t="s">
        <v>1098</v>
      </c>
      <c r="H748" s="4" t="str">
        <f>LEFT(Table13[[#This Row],[Values Col 1]],3)</f>
        <v/>
      </c>
      <c r="I748" s="4" t="s">
        <v>1098</v>
      </c>
      <c r="J748" s="4" t="str">
        <f>MID(Table13[[#This Row],[Function Col]],5,2)</f>
        <v/>
      </c>
      <c r="K748" s="4" t="s">
        <v>1098</v>
      </c>
      <c r="L748" s="4" t="str">
        <f>RIGHT(Table13[[#This Row],[Function Col]],4)</f>
        <v/>
      </c>
      <c r="M748" s="4" t="s">
        <v>1098</v>
      </c>
      <c r="N748" s="4" t="str">
        <f>IF(Table13[[#This Row],[Function Col5]]="","",_xlfn.CONCAT(Table13[[#This Row],[Day Col]],"/",Table13[[#This Row],[Month Col]],"/",Table13[[#This Row],[Year Col]]))</f>
        <v/>
      </c>
      <c r="O748" s="4" t="s">
        <v>1098</v>
      </c>
      <c r="P748" s="4">
        <f>IF(ISNUMBER(Table13[[#This Row],[Claim_Date2]]),Table13[[#This Row],[Claim_Date2]],Table13[[#This Row],[Function Col32]])</f>
        <v>45051</v>
      </c>
      <c r="Q748" s="4">
        <v>45051</v>
      </c>
      <c r="R748" s="1" t="s">
        <v>30</v>
      </c>
      <c r="S748" s="1" t="s">
        <v>53</v>
      </c>
      <c r="T748" t="s">
        <v>1086</v>
      </c>
      <c r="V748" s="1">
        <v>-191</v>
      </c>
      <c r="W748" s="1">
        <f>IF(Table1[[#This Row],[Claim_Amount]]&lt;0,0,Table1[[#This Row],[Claim_Amount]])</f>
        <v>0</v>
      </c>
      <c r="X748" s="1" t="str">
        <f>IF(Table1[[#This Row],[Column1]]=0,"",Table1[[#This Row],[Column1]])</f>
        <v/>
      </c>
      <c r="Y748" s="1" t="s">
        <v>1098</v>
      </c>
      <c r="Z748" s="1">
        <v>2481</v>
      </c>
      <c r="AA748">
        <v>832</v>
      </c>
      <c r="AB748" s="1" t="s">
        <v>25</v>
      </c>
      <c r="AC748" s="1" t="s">
        <v>57</v>
      </c>
      <c r="AD748">
        <v>9</v>
      </c>
      <c r="AE748" s="3" t="s">
        <v>37</v>
      </c>
    </row>
    <row r="749" spans="1:31" ht="15.75" customHeight="1" x14ac:dyDescent="0.35">
      <c r="A749" s="1" t="s">
        <v>166</v>
      </c>
      <c r="B749" s="1" t="s">
        <v>905</v>
      </c>
      <c r="C749" s="1" t="s">
        <v>463</v>
      </c>
      <c r="D749" s="1" t="s">
        <v>906</v>
      </c>
      <c r="E749" s="5">
        <v>45221</v>
      </c>
      <c r="F749" s="4" t="str">
        <f>IF(ISNUMBER(Table13[[#This Row],[Claim_Date2]]),"",Table13[[#This Row],[Claim_Date2]])</f>
        <v/>
      </c>
      <c r="G749" s="4" t="s">
        <v>1098</v>
      </c>
      <c r="H749" s="4" t="str">
        <f>LEFT(Table13[[#This Row],[Values Col 1]],3)</f>
        <v/>
      </c>
      <c r="I749" s="4" t="s">
        <v>1098</v>
      </c>
      <c r="J749" s="4" t="str">
        <f>MID(Table13[[#This Row],[Function Col]],5,2)</f>
        <v/>
      </c>
      <c r="K749" s="4" t="s">
        <v>1098</v>
      </c>
      <c r="L749" s="4" t="str">
        <f>RIGHT(Table13[[#This Row],[Function Col]],4)</f>
        <v/>
      </c>
      <c r="M749" s="4" t="s">
        <v>1098</v>
      </c>
      <c r="N749" s="4" t="str">
        <f>IF(Table13[[#This Row],[Function Col5]]="","",_xlfn.CONCAT(Table13[[#This Row],[Day Col]],"/",Table13[[#This Row],[Month Col]],"/",Table13[[#This Row],[Year Col]]))</f>
        <v/>
      </c>
      <c r="O749" s="4" t="s">
        <v>1098</v>
      </c>
      <c r="P749" s="4">
        <f>IF(ISNUMBER(Table13[[#This Row],[Claim_Date2]]),Table13[[#This Row],[Claim_Date2]],Table13[[#This Row],[Function Col32]])</f>
        <v>45221</v>
      </c>
      <c r="Q749" s="4">
        <v>45221</v>
      </c>
      <c r="R749" s="1" t="s">
        <v>92</v>
      </c>
      <c r="S749" s="1" t="s">
        <v>47</v>
      </c>
      <c r="T749" t="s">
        <v>1086</v>
      </c>
      <c r="V749" s="1">
        <v>-164</v>
      </c>
      <c r="W749" s="1">
        <f>IF(Table1[[#This Row],[Claim_Amount]]&lt;0,0,Table1[[#This Row],[Claim_Amount]])</f>
        <v>0</v>
      </c>
      <c r="X749" s="1" t="str">
        <f>IF(Table1[[#This Row],[Column1]]=0,"",Table1[[#This Row],[Column1]])</f>
        <v/>
      </c>
      <c r="Y749" s="1" t="s">
        <v>1098</v>
      </c>
      <c r="Z749" s="1">
        <v>2481</v>
      </c>
      <c r="AA749">
        <v>832</v>
      </c>
      <c r="AB749" s="1" t="s">
        <v>25</v>
      </c>
      <c r="AC749" s="1" t="s">
        <v>32</v>
      </c>
      <c r="AD749">
        <v>9</v>
      </c>
      <c r="AE749" s="3" t="s">
        <v>37</v>
      </c>
    </row>
    <row r="750" spans="1:31" ht="15.75" customHeight="1" x14ac:dyDescent="0.35">
      <c r="A750" s="1" t="s">
        <v>209</v>
      </c>
      <c r="B750" s="1" t="s">
        <v>879</v>
      </c>
      <c r="C750" t="s">
        <v>1084</v>
      </c>
      <c r="D750" s="1" t="s">
        <v>907</v>
      </c>
      <c r="E750" s="5" t="s">
        <v>907</v>
      </c>
      <c r="F750" s="4" t="str">
        <f>IF(ISNUMBER(Table13[[#This Row],[Claim_Date2]]),"",Table13[[#This Row],[Claim_Date2]])</f>
        <v>Apr 21 2023</v>
      </c>
      <c r="G750" s="4" t="s">
        <v>907</v>
      </c>
      <c r="H750" s="4" t="str">
        <f>LEFT(Table13[[#This Row],[Values Col 1]],3)</f>
        <v>Apr</v>
      </c>
      <c r="I750" s="4" t="s">
        <v>1104</v>
      </c>
      <c r="J750" s="4" t="str">
        <f>MID(Table13[[#This Row],[Function Col]],5,2)</f>
        <v>21</v>
      </c>
      <c r="K750" s="4" t="s">
        <v>1136</v>
      </c>
      <c r="L750" s="4" t="str">
        <f>RIGHT(Table13[[#This Row],[Function Col]],4)</f>
        <v>2023</v>
      </c>
      <c r="M750" s="4" t="s">
        <v>1146</v>
      </c>
      <c r="N750" s="4" t="str">
        <f>IF(Table13[[#This Row],[Function Col5]]="","",_xlfn.CONCAT(Table13[[#This Row],[Day Col]],"/",Table13[[#This Row],[Month Col]],"/",Table13[[#This Row],[Year Col]]))</f>
        <v>21/Apr/2023</v>
      </c>
      <c r="O750" s="4" t="s">
        <v>1328</v>
      </c>
      <c r="P750" s="4" t="str">
        <f>IF(ISNUMBER(Table13[[#This Row],[Claim_Date2]]),Table13[[#This Row],[Claim_Date2]],Table13[[#This Row],[Function Col32]])</f>
        <v>21/Apr/2023</v>
      </c>
      <c r="Q750" s="4">
        <v>45037</v>
      </c>
      <c r="R750" s="1" t="s">
        <v>85</v>
      </c>
      <c r="S750" s="1" t="s">
        <v>23</v>
      </c>
      <c r="T750" t="s">
        <v>1086</v>
      </c>
      <c r="W750">
        <f>IF(Table1[[#This Row],[Claim_Amount]]&lt;0,0,Table1[[#This Row],[Claim_Amount]])</f>
        <v>0</v>
      </c>
      <c r="X750" t="str">
        <f>IF(Table1[[#This Row],[Column1]]=0,"",Table1[[#This Row],[Column1]])</f>
        <v/>
      </c>
      <c r="Y750" t="s">
        <v>1098</v>
      </c>
      <c r="Z750">
        <v>2481</v>
      </c>
      <c r="AA750" s="1">
        <v>4607.3100000000004</v>
      </c>
      <c r="AB750" s="1" t="s">
        <v>25</v>
      </c>
      <c r="AC750" s="1" t="s">
        <v>32</v>
      </c>
      <c r="AD750">
        <v>9</v>
      </c>
      <c r="AE750" s="3" t="s">
        <v>27</v>
      </c>
    </row>
    <row r="751" spans="1:31" ht="15.75" customHeight="1" x14ac:dyDescent="0.35">
      <c r="A751" s="1" t="s">
        <v>28</v>
      </c>
      <c r="B751" t="s">
        <v>1083</v>
      </c>
      <c r="C751" s="1" t="s">
        <v>232</v>
      </c>
      <c r="D751" s="1" t="s">
        <v>908</v>
      </c>
      <c r="E751" s="5" t="s">
        <v>908</v>
      </c>
      <c r="F751" s="4" t="str">
        <f>IF(ISNUMBER(Table13[[#This Row],[Claim_Date2]]),"",Table13[[#This Row],[Claim_Date2]])</f>
        <v>Dec 24 2023</v>
      </c>
      <c r="G751" s="4" t="s">
        <v>908</v>
      </c>
      <c r="H751" s="4" t="str">
        <f>LEFT(Table13[[#This Row],[Values Col 1]],3)</f>
        <v>Dec</v>
      </c>
      <c r="I751" s="4" t="s">
        <v>1111</v>
      </c>
      <c r="J751" s="4" t="str">
        <f>MID(Table13[[#This Row],[Function Col]],5,2)</f>
        <v>24</v>
      </c>
      <c r="K751" s="4" t="s">
        <v>1115</v>
      </c>
      <c r="L751" s="4" t="str">
        <f>RIGHT(Table13[[#This Row],[Function Col]],4)</f>
        <v>2023</v>
      </c>
      <c r="M751" s="4" t="s">
        <v>1146</v>
      </c>
      <c r="N751" s="4" t="str">
        <f>IF(Table13[[#This Row],[Function Col5]]="","",_xlfn.CONCAT(Table13[[#This Row],[Day Col]],"/",Table13[[#This Row],[Month Col]],"/",Table13[[#This Row],[Year Col]]))</f>
        <v>24/Dec/2023</v>
      </c>
      <c r="O751" s="4" t="s">
        <v>1329</v>
      </c>
      <c r="P751" s="4" t="str">
        <f>IF(ISNUMBER(Table13[[#This Row],[Claim_Date2]]),Table13[[#This Row],[Claim_Date2]],Table13[[#This Row],[Function Col32]])</f>
        <v>24/Dec/2023</v>
      </c>
      <c r="Q751" s="4">
        <v>45284</v>
      </c>
      <c r="R751" s="1" t="s">
        <v>92</v>
      </c>
      <c r="S751" s="1" t="s">
        <v>93</v>
      </c>
      <c r="T751" s="1" t="s">
        <v>24</v>
      </c>
      <c r="U751" s="1"/>
      <c r="W751">
        <f>IF(Table1[[#This Row],[Claim_Amount]]&lt;0,0,Table1[[#This Row],[Claim_Amount]])</f>
        <v>0</v>
      </c>
      <c r="X751" t="str">
        <f>IF(Table1[[#This Row],[Column1]]=0,"",Table1[[#This Row],[Column1]])</f>
        <v/>
      </c>
      <c r="Y751" t="s">
        <v>1098</v>
      </c>
      <c r="Z751">
        <v>2481</v>
      </c>
      <c r="AA751">
        <v>832</v>
      </c>
      <c r="AB751" s="1" t="s">
        <v>17</v>
      </c>
      <c r="AC751" s="1" t="s">
        <v>1093</v>
      </c>
      <c r="AD751" s="1">
        <v>54</v>
      </c>
      <c r="AE751" s="3" t="s">
        <v>27</v>
      </c>
    </row>
    <row r="752" spans="1:31" ht="15.75" customHeight="1" x14ac:dyDescent="0.35">
      <c r="A752" s="1" t="s">
        <v>28</v>
      </c>
      <c r="B752" t="s">
        <v>1083</v>
      </c>
      <c r="C752" s="1" t="s">
        <v>278</v>
      </c>
      <c r="D752" s="1" t="s">
        <v>515</v>
      </c>
      <c r="E752" s="5" t="s">
        <v>515</v>
      </c>
      <c r="F752" s="4" t="str">
        <f>IF(ISNUMBER(Table13[[#This Row],[Claim_Date2]]),"",Table13[[#This Row],[Claim_Date2]])</f>
        <v>Feb 21 2023</v>
      </c>
      <c r="G752" s="4" t="s">
        <v>515</v>
      </c>
      <c r="H752" s="4" t="str">
        <f>LEFT(Table13[[#This Row],[Values Col 1]],3)</f>
        <v>Feb</v>
      </c>
      <c r="I752" s="4" t="s">
        <v>1109</v>
      </c>
      <c r="J752" s="4" t="str">
        <f>MID(Table13[[#This Row],[Function Col]],5,2)</f>
        <v>21</v>
      </c>
      <c r="K752" s="4" t="s">
        <v>1136</v>
      </c>
      <c r="L752" s="4" t="str">
        <f>RIGHT(Table13[[#This Row],[Function Col]],4)</f>
        <v>2023</v>
      </c>
      <c r="M752" s="4" t="s">
        <v>1146</v>
      </c>
      <c r="N752" s="4" t="str">
        <f>IF(Table13[[#This Row],[Function Col5]]="","",_xlfn.CONCAT(Table13[[#This Row],[Day Col]],"/",Table13[[#This Row],[Month Col]],"/",Table13[[#This Row],[Year Col]]))</f>
        <v>21/Feb/2023</v>
      </c>
      <c r="O752" s="4" t="s">
        <v>1236</v>
      </c>
      <c r="P752" s="4" t="str">
        <f>IF(ISNUMBER(Table13[[#This Row],[Claim_Date2]]),Table13[[#This Row],[Claim_Date2]],Table13[[#This Row],[Function Col32]])</f>
        <v>21/Feb/2023</v>
      </c>
      <c r="Q752" s="4">
        <v>44978</v>
      </c>
      <c r="R752" s="1" t="s">
        <v>16</v>
      </c>
      <c r="S752" t="s">
        <v>1085</v>
      </c>
      <c r="T752" s="1" t="s">
        <v>48</v>
      </c>
      <c r="U752" s="1"/>
      <c r="W752">
        <f>IF(Table1[[#This Row],[Claim_Amount]]&lt;0,0,Table1[[#This Row],[Claim_Amount]])</f>
        <v>0</v>
      </c>
      <c r="X752" t="str">
        <f>IF(Table1[[#This Row],[Column1]]=0,"",Table1[[#This Row],[Column1]])</f>
        <v/>
      </c>
      <c r="Y752" t="s">
        <v>1098</v>
      </c>
      <c r="Z752">
        <v>2481</v>
      </c>
      <c r="AA752" s="1">
        <v>3794.99</v>
      </c>
      <c r="AB752" s="1" t="s">
        <v>42</v>
      </c>
      <c r="AC752" s="1" t="s">
        <v>1093</v>
      </c>
      <c r="AD752">
        <v>9</v>
      </c>
      <c r="AE752" s="3" t="s">
        <v>37</v>
      </c>
    </row>
    <row r="753" spans="1:31" ht="15.75" customHeight="1" x14ac:dyDescent="0.35">
      <c r="A753" s="1" t="s">
        <v>242</v>
      </c>
      <c r="B753" s="1" t="s">
        <v>909</v>
      </c>
      <c r="C753" t="s">
        <v>1084</v>
      </c>
      <c r="D753" s="1" t="s">
        <v>910</v>
      </c>
      <c r="E753" s="5" t="s">
        <v>910</v>
      </c>
      <c r="F753" s="4" t="str">
        <f>IF(ISNUMBER(Table13[[#This Row],[Claim_Date2]]),"",Table13[[#This Row],[Claim_Date2]])</f>
        <v>Apr 08 2023</v>
      </c>
      <c r="G753" s="4" t="s">
        <v>910</v>
      </c>
      <c r="H753" s="4" t="str">
        <f>LEFT(Table13[[#This Row],[Values Col 1]],3)</f>
        <v>Apr</v>
      </c>
      <c r="I753" s="4" t="s">
        <v>1104</v>
      </c>
      <c r="J753" s="4" t="str">
        <f>MID(Table13[[#This Row],[Function Col]],5,2)</f>
        <v>08</v>
      </c>
      <c r="K753" s="4" t="s">
        <v>1119</v>
      </c>
      <c r="L753" s="4" t="str">
        <f>RIGHT(Table13[[#This Row],[Function Col]],4)</f>
        <v>2023</v>
      </c>
      <c r="M753" s="4" t="s">
        <v>1146</v>
      </c>
      <c r="N753" s="4" t="str">
        <f>IF(Table13[[#This Row],[Function Col5]]="","",_xlfn.CONCAT(Table13[[#This Row],[Day Col]],"/",Table13[[#This Row],[Month Col]],"/",Table13[[#This Row],[Year Col]]))</f>
        <v>08/Apr/2023</v>
      </c>
      <c r="O753" s="4" t="s">
        <v>1330</v>
      </c>
      <c r="P753" s="4" t="str">
        <f>IF(ISNUMBER(Table13[[#This Row],[Claim_Date2]]),Table13[[#This Row],[Claim_Date2]],Table13[[#This Row],[Function Col32]])</f>
        <v>08/Apr/2023</v>
      </c>
      <c r="Q753" s="4">
        <v>45024</v>
      </c>
      <c r="R753" s="1" t="s">
        <v>92</v>
      </c>
      <c r="S753" s="1" t="s">
        <v>47</v>
      </c>
      <c r="T753" t="s">
        <v>1086</v>
      </c>
      <c r="W753">
        <f>IF(Table1[[#This Row],[Claim_Amount]]&lt;0,0,Table1[[#This Row],[Claim_Amount]])</f>
        <v>0</v>
      </c>
      <c r="X753" t="str">
        <f>IF(Table1[[#This Row],[Column1]]=0,"",Table1[[#This Row],[Column1]])</f>
        <v/>
      </c>
      <c r="Y753" t="s">
        <v>1098</v>
      </c>
      <c r="Z753">
        <v>2481</v>
      </c>
      <c r="AA753">
        <v>832</v>
      </c>
      <c r="AB753" s="1" t="s">
        <v>25</v>
      </c>
      <c r="AC753" s="1" t="s">
        <v>18</v>
      </c>
      <c r="AD753" s="1">
        <v>5</v>
      </c>
      <c r="AE753" s="3" t="s">
        <v>1097</v>
      </c>
    </row>
    <row r="754" spans="1:31" ht="15.75" customHeight="1" x14ac:dyDescent="0.35">
      <c r="A754" s="1" t="s">
        <v>249</v>
      </c>
      <c r="B754" t="s">
        <v>1083</v>
      </c>
      <c r="C754" t="s">
        <v>1084</v>
      </c>
      <c r="D754" s="1" t="s">
        <v>911</v>
      </c>
      <c r="E754" s="5">
        <v>45199</v>
      </c>
      <c r="F754" s="4" t="str">
        <f>IF(ISNUMBER(Table13[[#This Row],[Claim_Date2]]),"",Table13[[#This Row],[Claim_Date2]])</f>
        <v/>
      </c>
      <c r="G754" s="4" t="s">
        <v>1098</v>
      </c>
      <c r="H754" s="4" t="str">
        <f>LEFT(Table13[[#This Row],[Values Col 1]],3)</f>
        <v/>
      </c>
      <c r="I754" s="4" t="s">
        <v>1098</v>
      </c>
      <c r="J754" s="4" t="str">
        <f>MID(Table13[[#This Row],[Function Col]],5,2)</f>
        <v/>
      </c>
      <c r="K754" s="4" t="s">
        <v>1098</v>
      </c>
      <c r="L754" s="4" t="str">
        <f>RIGHT(Table13[[#This Row],[Function Col]],4)</f>
        <v/>
      </c>
      <c r="M754" s="4" t="s">
        <v>1098</v>
      </c>
      <c r="N754" s="4" t="str">
        <f>IF(Table13[[#This Row],[Function Col5]]="","",_xlfn.CONCAT(Table13[[#This Row],[Day Col]],"/",Table13[[#This Row],[Month Col]],"/",Table13[[#This Row],[Year Col]]))</f>
        <v/>
      </c>
      <c r="O754" s="4" t="s">
        <v>1098</v>
      </c>
      <c r="P754" s="4">
        <f>IF(ISNUMBER(Table13[[#This Row],[Claim_Date2]]),Table13[[#This Row],[Claim_Date2]],Table13[[#This Row],[Function Col32]])</f>
        <v>45199</v>
      </c>
      <c r="Q754" s="4">
        <v>45199</v>
      </c>
      <c r="R754" s="1" t="s">
        <v>77</v>
      </c>
      <c r="S754" s="1" t="s">
        <v>23</v>
      </c>
      <c r="T754" t="s">
        <v>1086</v>
      </c>
      <c r="V754" s="1">
        <v>4082.14</v>
      </c>
      <c r="W754" s="1">
        <f>IF(Table1[[#This Row],[Claim_Amount]]&lt;0,0,Table1[[#This Row],[Claim_Amount]])</f>
        <v>4082.14</v>
      </c>
      <c r="X754" s="1">
        <f>IF(Table1[[#This Row],[Column1]]=0,"",Table1[[#This Row],[Column1]])</f>
        <v>4082.14</v>
      </c>
      <c r="Y754" s="1">
        <v>4082.14</v>
      </c>
      <c r="Z754" s="1">
        <v>4082.14</v>
      </c>
      <c r="AA754" s="1">
        <v>1652.99</v>
      </c>
      <c r="AB754" s="1" t="s">
        <v>25</v>
      </c>
      <c r="AC754" s="1" t="s">
        <v>26</v>
      </c>
      <c r="AD754">
        <v>9</v>
      </c>
      <c r="AE754" s="3" t="s">
        <v>65</v>
      </c>
    </row>
    <row r="755" spans="1:31" ht="15.75" customHeight="1" x14ac:dyDescent="0.35">
      <c r="A755" s="1" t="s">
        <v>249</v>
      </c>
      <c r="B755" s="1" t="s">
        <v>582</v>
      </c>
      <c r="C755" s="1" t="s">
        <v>625</v>
      </c>
      <c r="D755" s="1" t="s">
        <v>912</v>
      </c>
      <c r="E755" s="5">
        <v>45282</v>
      </c>
      <c r="F755" s="4" t="str">
        <f>IF(ISNUMBER(Table13[[#This Row],[Claim_Date2]]),"",Table13[[#This Row],[Claim_Date2]])</f>
        <v/>
      </c>
      <c r="G755" s="4" t="s">
        <v>1098</v>
      </c>
      <c r="H755" s="4" t="str">
        <f>LEFT(Table13[[#This Row],[Values Col 1]],3)</f>
        <v/>
      </c>
      <c r="I755" s="4" t="s">
        <v>1098</v>
      </c>
      <c r="J755" s="4" t="str">
        <f>MID(Table13[[#This Row],[Function Col]],5,2)</f>
        <v/>
      </c>
      <c r="K755" s="4" t="s">
        <v>1098</v>
      </c>
      <c r="L755" s="4" t="str">
        <f>RIGHT(Table13[[#This Row],[Function Col]],4)</f>
        <v/>
      </c>
      <c r="M755" s="4" t="s">
        <v>1098</v>
      </c>
      <c r="N755" s="4" t="str">
        <f>IF(Table13[[#This Row],[Function Col5]]="","",_xlfn.CONCAT(Table13[[#This Row],[Day Col]],"/",Table13[[#This Row],[Month Col]],"/",Table13[[#This Row],[Year Col]]))</f>
        <v/>
      </c>
      <c r="O755" s="4" t="s">
        <v>1098</v>
      </c>
      <c r="P755" s="4">
        <f>IF(ISNUMBER(Table13[[#This Row],[Claim_Date2]]),Table13[[#This Row],[Claim_Date2]],Table13[[#This Row],[Function Col32]])</f>
        <v>45282</v>
      </c>
      <c r="Q755" s="4">
        <v>45282</v>
      </c>
      <c r="R755" s="1" t="s">
        <v>77</v>
      </c>
      <c r="S755" t="s">
        <v>1085</v>
      </c>
      <c r="T755" s="1" t="s">
        <v>24</v>
      </c>
      <c r="U755" s="1"/>
      <c r="W755">
        <f>IF(Table1[[#This Row],[Claim_Amount]]&lt;0,0,Table1[[#This Row],[Claim_Amount]])</f>
        <v>0</v>
      </c>
      <c r="X755" t="str">
        <f>IF(Table1[[#This Row],[Column1]]=0,"",Table1[[#This Row],[Column1]])</f>
        <v/>
      </c>
      <c r="Y755" t="s">
        <v>1098</v>
      </c>
      <c r="Z755">
        <v>2481</v>
      </c>
      <c r="AA755">
        <v>832</v>
      </c>
      <c r="AB755" s="1" t="s">
        <v>25</v>
      </c>
      <c r="AC755" s="1" t="s">
        <v>1093</v>
      </c>
      <c r="AD755">
        <v>9</v>
      </c>
      <c r="AE755" s="3" t="s">
        <v>1097</v>
      </c>
    </row>
    <row r="756" spans="1:31" ht="15.75" customHeight="1" x14ac:dyDescent="0.35">
      <c r="A756" s="1" t="s">
        <v>209</v>
      </c>
      <c r="B756" t="s">
        <v>1083</v>
      </c>
      <c r="C756" t="s">
        <v>1084</v>
      </c>
      <c r="D756" s="1" t="s">
        <v>913</v>
      </c>
      <c r="E756" s="5" t="s">
        <v>913</v>
      </c>
      <c r="F756" s="4" t="str">
        <f>IF(ISNUMBER(Table13[[#This Row],[Claim_Date2]]),"",Table13[[#This Row],[Claim_Date2]])</f>
        <v>Jul 18 2023</v>
      </c>
      <c r="G756" s="4" t="s">
        <v>913</v>
      </c>
      <c r="H756" s="4" t="str">
        <f>LEFT(Table13[[#This Row],[Values Col 1]],3)</f>
        <v>Jul</v>
      </c>
      <c r="I756" s="4" t="s">
        <v>1101</v>
      </c>
      <c r="J756" s="4" t="str">
        <f>MID(Table13[[#This Row],[Function Col]],5,2)</f>
        <v>18</v>
      </c>
      <c r="K756" s="4" t="s">
        <v>1129</v>
      </c>
      <c r="L756" s="4" t="str">
        <f>RIGHT(Table13[[#This Row],[Function Col]],4)</f>
        <v>2023</v>
      </c>
      <c r="M756" s="4" t="s">
        <v>1146</v>
      </c>
      <c r="N756" s="4" t="str">
        <f>IF(Table13[[#This Row],[Function Col5]]="","",_xlfn.CONCAT(Table13[[#This Row],[Day Col]],"/",Table13[[#This Row],[Month Col]],"/",Table13[[#This Row],[Year Col]]))</f>
        <v>18/Jul/2023</v>
      </c>
      <c r="O756" s="4" t="s">
        <v>1331</v>
      </c>
      <c r="P756" s="4" t="str">
        <f>IF(ISNUMBER(Table13[[#This Row],[Claim_Date2]]),Table13[[#This Row],[Claim_Date2]],Table13[[#This Row],[Function Col32]])</f>
        <v>18/Jul/2023</v>
      </c>
      <c r="Q756" s="4">
        <v>45125</v>
      </c>
      <c r="R756" s="1" t="s">
        <v>92</v>
      </c>
      <c r="S756" t="s">
        <v>1085</v>
      </c>
      <c r="T756" s="1" t="s">
        <v>41</v>
      </c>
      <c r="U756" s="1"/>
      <c r="V756" s="1">
        <v>-77</v>
      </c>
      <c r="W756" s="1">
        <f>IF(Table1[[#This Row],[Claim_Amount]]&lt;0,0,Table1[[#This Row],[Claim_Amount]])</f>
        <v>0</v>
      </c>
      <c r="X756" s="1" t="str">
        <f>IF(Table1[[#This Row],[Column1]]=0,"",Table1[[#This Row],[Column1]])</f>
        <v/>
      </c>
      <c r="Y756" s="1" t="s">
        <v>1098</v>
      </c>
      <c r="Z756" s="1">
        <v>2481</v>
      </c>
      <c r="AA756" s="1">
        <v>1882.63</v>
      </c>
      <c r="AB756" s="1" t="s">
        <v>42</v>
      </c>
      <c r="AC756" s="1" t="s">
        <v>57</v>
      </c>
      <c r="AD756" s="1">
        <v>22</v>
      </c>
      <c r="AE756" s="3" t="s">
        <v>65</v>
      </c>
    </row>
    <row r="757" spans="1:31" ht="15.75" customHeight="1" x14ac:dyDescent="0.35">
      <c r="A757" s="1" t="s">
        <v>58</v>
      </c>
      <c r="B757" s="1" t="s">
        <v>914</v>
      </c>
      <c r="C757" s="1" t="s">
        <v>358</v>
      </c>
      <c r="D757" s="1" t="s">
        <v>216</v>
      </c>
      <c r="E757" s="5">
        <v>45186</v>
      </c>
      <c r="F757" s="4" t="str">
        <f>IF(ISNUMBER(Table13[[#This Row],[Claim_Date2]]),"",Table13[[#This Row],[Claim_Date2]])</f>
        <v/>
      </c>
      <c r="G757" s="4" t="s">
        <v>1098</v>
      </c>
      <c r="H757" s="4" t="str">
        <f>LEFT(Table13[[#This Row],[Values Col 1]],3)</f>
        <v/>
      </c>
      <c r="I757" s="4" t="s">
        <v>1098</v>
      </c>
      <c r="J757" s="4" t="str">
        <f>MID(Table13[[#This Row],[Function Col]],5,2)</f>
        <v/>
      </c>
      <c r="K757" s="4" t="s">
        <v>1098</v>
      </c>
      <c r="L757" s="4" t="str">
        <f>RIGHT(Table13[[#This Row],[Function Col]],4)</f>
        <v/>
      </c>
      <c r="M757" s="4" t="s">
        <v>1098</v>
      </c>
      <c r="N757" s="4" t="str">
        <f>IF(Table13[[#This Row],[Function Col5]]="","",_xlfn.CONCAT(Table13[[#This Row],[Day Col]],"/",Table13[[#This Row],[Month Col]],"/",Table13[[#This Row],[Year Col]]))</f>
        <v/>
      </c>
      <c r="O757" s="4" t="s">
        <v>1098</v>
      </c>
      <c r="P757" s="4">
        <f>IF(ISNUMBER(Table13[[#This Row],[Claim_Date2]]),Table13[[#This Row],[Claim_Date2]],Table13[[#This Row],[Function Col32]])</f>
        <v>45186</v>
      </c>
      <c r="Q757" s="4">
        <v>45186</v>
      </c>
      <c r="R757" s="1" t="s">
        <v>30</v>
      </c>
      <c r="S757" s="1" t="s">
        <v>31</v>
      </c>
      <c r="T757" s="1" t="s">
        <v>61</v>
      </c>
      <c r="U757" s="1"/>
      <c r="W757">
        <f>IF(Table1[[#This Row],[Claim_Amount]]&lt;0,0,Table1[[#This Row],[Claim_Amount]])</f>
        <v>0</v>
      </c>
      <c r="X757" t="str">
        <f>IF(Table1[[#This Row],[Column1]]=0,"",Table1[[#This Row],[Column1]])</f>
        <v/>
      </c>
      <c r="Y757" t="s">
        <v>1098</v>
      </c>
      <c r="Z757">
        <v>2481</v>
      </c>
      <c r="AA757">
        <v>832</v>
      </c>
      <c r="AB757" s="1" t="s">
        <v>1091</v>
      </c>
      <c r="AC757" s="1" t="s">
        <v>18</v>
      </c>
      <c r="AD757">
        <v>9</v>
      </c>
      <c r="AE757" s="3" t="s">
        <v>1097</v>
      </c>
    </row>
    <row r="758" spans="1:31" ht="15.75" customHeight="1" x14ac:dyDescent="0.35">
      <c r="A758" s="1" t="s">
        <v>82</v>
      </c>
      <c r="B758" t="s">
        <v>1083</v>
      </c>
      <c r="C758" t="s">
        <v>1084</v>
      </c>
      <c r="D758" s="1" t="s">
        <v>833</v>
      </c>
      <c r="E758" s="5">
        <v>45229</v>
      </c>
      <c r="F758" s="4" t="str">
        <f>IF(ISNUMBER(Table13[[#This Row],[Claim_Date2]]),"",Table13[[#This Row],[Claim_Date2]])</f>
        <v/>
      </c>
      <c r="G758" s="4" t="s">
        <v>1098</v>
      </c>
      <c r="H758" s="4" t="str">
        <f>LEFT(Table13[[#This Row],[Values Col 1]],3)</f>
        <v/>
      </c>
      <c r="I758" s="4" t="s">
        <v>1098</v>
      </c>
      <c r="J758" s="4" t="str">
        <f>MID(Table13[[#This Row],[Function Col]],5,2)</f>
        <v/>
      </c>
      <c r="K758" s="4" t="s">
        <v>1098</v>
      </c>
      <c r="L758" s="4" t="str">
        <f>RIGHT(Table13[[#This Row],[Function Col]],4)</f>
        <v/>
      </c>
      <c r="M758" s="4" t="s">
        <v>1098</v>
      </c>
      <c r="N758" s="4" t="str">
        <f>IF(Table13[[#This Row],[Function Col5]]="","",_xlfn.CONCAT(Table13[[#This Row],[Day Col]],"/",Table13[[#This Row],[Month Col]],"/",Table13[[#This Row],[Year Col]]))</f>
        <v/>
      </c>
      <c r="O758" s="4" t="s">
        <v>1098</v>
      </c>
      <c r="P758" s="4">
        <f>IF(ISNUMBER(Table13[[#This Row],[Claim_Date2]]),Table13[[#This Row],[Claim_Date2]],Table13[[#This Row],[Function Col32]])</f>
        <v>45229</v>
      </c>
      <c r="Q758" s="4">
        <v>45229</v>
      </c>
      <c r="R758" s="1" t="s">
        <v>16</v>
      </c>
      <c r="S758" s="1" t="s">
        <v>47</v>
      </c>
      <c r="T758" s="1" t="s">
        <v>48</v>
      </c>
      <c r="U758" s="1"/>
      <c r="W758">
        <f>IF(Table1[[#This Row],[Claim_Amount]]&lt;0,0,Table1[[#This Row],[Claim_Amount]])</f>
        <v>0</v>
      </c>
      <c r="X758" t="str">
        <f>IF(Table1[[#This Row],[Column1]]=0,"",Table1[[#This Row],[Column1]])</f>
        <v/>
      </c>
      <c r="Y758" t="s">
        <v>1098</v>
      </c>
      <c r="Z758">
        <v>2481</v>
      </c>
      <c r="AA758">
        <v>832</v>
      </c>
      <c r="AB758" s="1" t="s">
        <v>17</v>
      </c>
      <c r="AC758" s="1" t="s">
        <v>26</v>
      </c>
      <c r="AD758">
        <v>9</v>
      </c>
      <c r="AE758" s="3" t="s">
        <v>19</v>
      </c>
    </row>
    <row r="759" spans="1:31" ht="15.75" customHeight="1" x14ac:dyDescent="0.35">
      <c r="A759" s="1" t="s">
        <v>168</v>
      </c>
      <c r="B759" t="s">
        <v>1083</v>
      </c>
      <c r="C759" s="1" t="s">
        <v>177</v>
      </c>
      <c r="D759" s="1" t="s">
        <v>915</v>
      </c>
      <c r="E759" s="5">
        <v>45233</v>
      </c>
      <c r="F759" s="4" t="str">
        <f>IF(ISNUMBER(Table13[[#This Row],[Claim_Date2]]),"",Table13[[#This Row],[Claim_Date2]])</f>
        <v/>
      </c>
      <c r="G759" s="4" t="s">
        <v>1098</v>
      </c>
      <c r="H759" s="4" t="str">
        <f>LEFT(Table13[[#This Row],[Values Col 1]],3)</f>
        <v/>
      </c>
      <c r="I759" s="4" t="s">
        <v>1098</v>
      </c>
      <c r="J759" s="4" t="str">
        <f>MID(Table13[[#This Row],[Function Col]],5,2)</f>
        <v/>
      </c>
      <c r="K759" s="4" t="s">
        <v>1098</v>
      </c>
      <c r="L759" s="4" t="str">
        <f>RIGHT(Table13[[#This Row],[Function Col]],4)</f>
        <v/>
      </c>
      <c r="M759" s="4" t="s">
        <v>1098</v>
      </c>
      <c r="N759" s="4" t="str">
        <f>IF(Table13[[#This Row],[Function Col5]]="","",_xlfn.CONCAT(Table13[[#This Row],[Day Col]],"/",Table13[[#This Row],[Month Col]],"/",Table13[[#This Row],[Year Col]]))</f>
        <v/>
      </c>
      <c r="O759" s="4" t="s">
        <v>1098</v>
      </c>
      <c r="P759" s="4">
        <f>IF(ISNUMBER(Table13[[#This Row],[Claim_Date2]]),Table13[[#This Row],[Claim_Date2]],Table13[[#This Row],[Function Col32]])</f>
        <v>45233</v>
      </c>
      <c r="Q759" s="4">
        <v>45233</v>
      </c>
      <c r="R759" s="1" t="s">
        <v>16</v>
      </c>
      <c r="S759" s="1" t="s">
        <v>93</v>
      </c>
      <c r="T759" s="1" t="s">
        <v>48</v>
      </c>
      <c r="U759" s="1"/>
      <c r="W759">
        <f>IF(Table1[[#This Row],[Claim_Amount]]&lt;0,0,Table1[[#This Row],[Claim_Amount]])</f>
        <v>0</v>
      </c>
      <c r="X759" t="str">
        <f>IF(Table1[[#This Row],[Column1]]=0,"",Table1[[#This Row],[Column1]])</f>
        <v/>
      </c>
      <c r="Y759" t="s">
        <v>1098</v>
      </c>
      <c r="Z759">
        <v>2481</v>
      </c>
      <c r="AA759">
        <v>832</v>
      </c>
      <c r="AB759" s="1" t="s">
        <v>42</v>
      </c>
      <c r="AC759" s="1" t="s">
        <v>32</v>
      </c>
      <c r="AD759">
        <v>9</v>
      </c>
      <c r="AE759" s="3" t="s">
        <v>1097</v>
      </c>
    </row>
    <row r="760" spans="1:31" ht="15.75" customHeight="1" x14ac:dyDescent="0.35">
      <c r="A760" s="1" t="s">
        <v>70</v>
      </c>
      <c r="B760" t="s">
        <v>1083</v>
      </c>
      <c r="C760" t="s">
        <v>1084</v>
      </c>
      <c r="D760" s="1" t="s">
        <v>452</v>
      </c>
      <c r="E760" s="5" t="s">
        <v>452</v>
      </c>
      <c r="F760" s="4" t="str">
        <f>IF(ISNUMBER(Table13[[#This Row],[Claim_Date2]]),"",Table13[[#This Row],[Claim_Date2]])</f>
        <v>Jan 28 2023</v>
      </c>
      <c r="G760" s="4" t="s">
        <v>452</v>
      </c>
      <c r="H760" s="4" t="str">
        <f>LEFT(Table13[[#This Row],[Values Col 1]],3)</f>
        <v>Jan</v>
      </c>
      <c r="I760" s="4" t="s">
        <v>1107</v>
      </c>
      <c r="J760" s="4" t="str">
        <f>MID(Table13[[#This Row],[Function Col]],5,2)</f>
        <v>28</v>
      </c>
      <c r="K760" s="4" t="s">
        <v>1134</v>
      </c>
      <c r="L760" s="4" t="str">
        <f>RIGHT(Table13[[#This Row],[Function Col]],4)</f>
        <v>2023</v>
      </c>
      <c r="M760" s="4" t="s">
        <v>1146</v>
      </c>
      <c r="N760" s="4" t="str">
        <f>IF(Table13[[#This Row],[Function Col5]]="","",_xlfn.CONCAT(Table13[[#This Row],[Day Col]],"/",Table13[[#This Row],[Month Col]],"/",Table13[[#This Row],[Year Col]]))</f>
        <v>28/Jan/2023</v>
      </c>
      <c r="O760" s="4" t="s">
        <v>1226</v>
      </c>
      <c r="P760" s="4" t="str">
        <f>IF(ISNUMBER(Table13[[#This Row],[Claim_Date2]]),Table13[[#This Row],[Claim_Date2]],Table13[[#This Row],[Function Col32]])</f>
        <v>28/Jan/2023</v>
      </c>
      <c r="Q760" s="4">
        <v>44954</v>
      </c>
      <c r="R760" s="1" t="s">
        <v>85</v>
      </c>
      <c r="S760" s="1" t="s">
        <v>31</v>
      </c>
      <c r="T760" s="1" t="s">
        <v>54</v>
      </c>
      <c r="U760" s="1"/>
      <c r="V760" s="1">
        <v>642.42999999999995</v>
      </c>
      <c r="W760" s="1">
        <f>IF(Table1[[#This Row],[Claim_Amount]]&lt;0,0,Table1[[#This Row],[Claim_Amount]])</f>
        <v>642.42999999999995</v>
      </c>
      <c r="X760" s="1">
        <f>IF(Table1[[#This Row],[Column1]]=0,"",Table1[[#This Row],[Column1]])</f>
        <v>642.42999999999995</v>
      </c>
      <c r="Y760" s="1">
        <v>642.42999999999995</v>
      </c>
      <c r="Z760" s="1">
        <v>642.42999999999995</v>
      </c>
      <c r="AA760">
        <v>832</v>
      </c>
      <c r="AB760" s="1" t="s">
        <v>17</v>
      </c>
      <c r="AC760" s="1" t="s">
        <v>18</v>
      </c>
      <c r="AD760">
        <v>9</v>
      </c>
      <c r="AE760" s="3" t="s">
        <v>65</v>
      </c>
    </row>
    <row r="761" spans="1:31" ht="15.75" customHeight="1" x14ac:dyDescent="0.35">
      <c r="A761" s="1" t="s">
        <v>102</v>
      </c>
      <c r="B761" t="s">
        <v>1083</v>
      </c>
      <c r="C761" s="1" t="s">
        <v>625</v>
      </c>
      <c r="D761" s="1" t="s">
        <v>681</v>
      </c>
      <c r="E761" s="5">
        <v>44972</v>
      </c>
      <c r="F761" s="4" t="str">
        <f>IF(ISNUMBER(Table13[[#This Row],[Claim_Date2]]),"",Table13[[#This Row],[Claim_Date2]])</f>
        <v/>
      </c>
      <c r="G761" s="4" t="s">
        <v>1098</v>
      </c>
      <c r="H761" s="4" t="str">
        <f>LEFT(Table13[[#This Row],[Values Col 1]],3)</f>
        <v/>
      </c>
      <c r="I761" s="4" t="s">
        <v>1098</v>
      </c>
      <c r="J761" s="4" t="str">
        <f>MID(Table13[[#This Row],[Function Col]],5,2)</f>
        <v/>
      </c>
      <c r="K761" s="4" t="s">
        <v>1098</v>
      </c>
      <c r="L761" s="4" t="str">
        <f>RIGHT(Table13[[#This Row],[Function Col]],4)</f>
        <v/>
      </c>
      <c r="M761" s="4" t="s">
        <v>1098</v>
      </c>
      <c r="N761" s="4" t="str">
        <f>IF(Table13[[#This Row],[Function Col5]]="","",_xlfn.CONCAT(Table13[[#This Row],[Day Col]],"/",Table13[[#This Row],[Month Col]],"/",Table13[[#This Row],[Year Col]]))</f>
        <v/>
      </c>
      <c r="O761" s="4" t="s">
        <v>1098</v>
      </c>
      <c r="P761" s="4">
        <f>IF(ISNUMBER(Table13[[#This Row],[Claim_Date2]]),Table13[[#This Row],[Claim_Date2]],Table13[[#This Row],[Function Col32]])</f>
        <v>44972</v>
      </c>
      <c r="Q761" s="4">
        <v>44972</v>
      </c>
      <c r="R761" s="1" t="s">
        <v>30</v>
      </c>
      <c r="S761" t="s">
        <v>1085</v>
      </c>
      <c r="T761" t="s">
        <v>1086</v>
      </c>
      <c r="V761" s="1">
        <v>-114</v>
      </c>
      <c r="W761" s="1">
        <f>IF(Table1[[#This Row],[Claim_Amount]]&lt;0,0,Table1[[#This Row],[Claim_Amount]])</f>
        <v>0</v>
      </c>
      <c r="X761" s="1" t="str">
        <f>IF(Table1[[#This Row],[Column1]]=0,"",Table1[[#This Row],[Column1]])</f>
        <v/>
      </c>
      <c r="Y761" s="1" t="s">
        <v>1098</v>
      </c>
      <c r="Z761" s="1">
        <v>2481</v>
      </c>
      <c r="AA761" s="1">
        <v>3497.25</v>
      </c>
      <c r="AB761" s="1" t="s">
        <v>42</v>
      </c>
      <c r="AC761" s="1" t="s">
        <v>18</v>
      </c>
      <c r="AD761">
        <v>9</v>
      </c>
      <c r="AE761" s="3" t="s">
        <v>27</v>
      </c>
    </row>
    <row r="762" spans="1:31" ht="15.75" customHeight="1" x14ac:dyDescent="0.35">
      <c r="A762" s="1" t="s">
        <v>102</v>
      </c>
      <c r="B762" t="s">
        <v>1083</v>
      </c>
      <c r="C762" t="s">
        <v>1084</v>
      </c>
      <c r="D762" s="1" t="s">
        <v>916</v>
      </c>
      <c r="E762" s="5">
        <v>45021</v>
      </c>
      <c r="F762" s="4" t="str">
        <f>IF(ISNUMBER(Table13[[#This Row],[Claim_Date2]]),"",Table13[[#This Row],[Claim_Date2]])</f>
        <v/>
      </c>
      <c r="G762" s="4" t="s">
        <v>1098</v>
      </c>
      <c r="H762" s="4" t="str">
        <f>LEFT(Table13[[#This Row],[Values Col 1]],3)</f>
        <v/>
      </c>
      <c r="I762" s="4" t="s">
        <v>1098</v>
      </c>
      <c r="J762" s="4" t="str">
        <f>MID(Table13[[#This Row],[Function Col]],5,2)</f>
        <v/>
      </c>
      <c r="K762" s="4" t="s">
        <v>1098</v>
      </c>
      <c r="L762" s="4" t="str">
        <f>RIGHT(Table13[[#This Row],[Function Col]],4)</f>
        <v/>
      </c>
      <c r="M762" s="4" t="s">
        <v>1098</v>
      </c>
      <c r="N762" s="4" t="str">
        <f>IF(Table13[[#This Row],[Function Col5]]="","",_xlfn.CONCAT(Table13[[#This Row],[Day Col]],"/",Table13[[#This Row],[Month Col]],"/",Table13[[#This Row],[Year Col]]))</f>
        <v/>
      </c>
      <c r="O762" s="4" t="s">
        <v>1098</v>
      </c>
      <c r="P762" s="4">
        <f>IF(ISNUMBER(Table13[[#This Row],[Claim_Date2]]),Table13[[#This Row],[Claim_Date2]],Table13[[#This Row],[Function Col32]])</f>
        <v>45021</v>
      </c>
      <c r="Q762" s="4">
        <v>45021</v>
      </c>
      <c r="R762" s="1" t="s">
        <v>85</v>
      </c>
      <c r="S762" s="1" t="s">
        <v>93</v>
      </c>
      <c r="T762" s="1" t="s">
        <v>41</v>
      </c>
      <c r="U762" s="1"/>
      <c r="V762" s="1">
        <v>4928.8999999999996</v>
      </c>
      <c r="W762" s="1">
        <f>IF(Table1[[#This Row],[Claim_Amount]]&lt;0,0,Table1[[#This Row],[Claim_Amount]])</f>
        <v>4928.8999999999996</v>
      </c>
      <c r="X762" s="1">
        <f>IF(Table1[[#This Row],[Column1]]=0,"",Table1[[#This Row],[Column1]])</f>
        <v>4928.8999999999996</v>
      </c>
      <c r="Y762" s="1">
        <v>4928.8999999999996</v>
      </c>
      <c r="Z762" s="1">
        <v>4928.8999999999996</v>
      </c>
      <c r="AA762" s="1">
        <v>1731.61</v>
      </c>
      <c r="AB762" s="1" t="s">
        <v>1091</v>
      </c>
      <c r="AC762" s="1" t="s">
        <v>32</v>
      </c>
      <c r="AD762">
        <v>9</v>
      </c>
      <c r="AE762" s="3" t="s">
        <v>19</v>
      </c>
    </row>
    <row r="763" spans="1:31" ht="15.75" customHeight="1" x14ac:dyDescent="0.35">
      <c r="A763" s="1" t="s">
        <v>20</v>
      </c>
      <c r="B763" t="s">
        <v>1083</v>
      </c>
      <c r="C763" s="1" t="s">
        <v>373</v>
      </c>
      <c r="D763" s="1" t="s">
        <v>728</v>
      </c>
      <c r="E763" s="5">
        <v>45013</v>
      </c>
      <c r="F763" s="4" t="str">
        <f>IF(ISNUMBER(Table13[[#This Row],[Claim_Date2]]),"",Table13[[#This Row],[Claim_Date2]])</f>
        <v/>
      </c>
      <c r="G763" s="4" t="s">
        <v>1098</v>
      </c>
      <c r="H763" s="4" t="str">
        <f>LEFT(Table13[[#This Row],[Values Col 1]],3)</f>
        <v/>
      </c>
      <c r="I763" s="4" t="s">
        <v>1098</v>
      </c>
      <c r="J763" s="4" t="str">
        <f>MID(Table13[[#This Row],[Function Col]],5,2)</f>
        <v/>
      </c>
      <c r="K763" s="4" t="s">
        <v>1098</v>
      </c>
      <c r="L763" s="4" t="str">
        <f>RIGHT(Table13[[#This Row],[Function Col]],4)</f>
        <v/>
      </c>
      <c r="M763" s="4" t="s">
        <v>1098</v>
      </c>
      <c r="N763" s="4" t="str">
        <f>IF(Table13[[#This Row],[Function Col5]]="","",_xlfn.CONCAT(Table13[[#This Row],[Day Col]],"/",Table13[[#This Row],[Month Col]],"/",Table13[[#This Row],[Year Col]]))</f>
        <v/>
      </c>
      <c r="O763" s="4" t="s">
        <v>1098</v>
      </c>
      <c r="P763" s="4">
        <f>IF(ISNUMBER(Table13[[#This Row],[Claim_Date2]]),Table13[[#This Row],[Claim_Date2]],Table13[[#This Row],[Function Col32]])</f>
        <v>45013</v>
      </c>
      <c r="Q763" s="4">
        <v>45013</v>
      </c>
      <c r="R763" s="1" t="s">
        <v>16</v>
      </c>
      <c r="S763" s="1" t="s">
        <v>31</v>
      </c>
      <c r="T763" s="1" t="s">
        <v>48</v>
      </c>
      <c r="U763" s="1"/>
      <c r="W763">
        <f>IF(Table1[[#This Row],[Claim_Amount]]&lt;0,0,Table1[[#This Row],[Claim_Amount]])</f>
        <v>0</v>
      </c>
      <c r="X763" t="str">
        <f>IF(Table1[[#This Row],[Column1]]=0,"",Table1[[#This Row],[Column1]])</f>
        <v/>
      </c>
      <c r="Y763" t="s">
        <v>1098</v>
      </c>
      <c r="Z763">
        <v>2481</v>
      </c>
      <c r="AA763" s="1">
        <v>4303.83</v>
      </c>
      <c r="AB763" s="1" t="s">
        <v>17</v>
      </c>
      <c r="AC763" s="1" t="s">
        <v>57</v>
      </c>
      <c r="AD763" s="1">
        <v>31</v>
      </c>
      <c r="AE763" s="3" t="s">
        <v>1097</v>
      </c>
    </row>
    <row r="764" spans="1:31" ht="15.75" customHeight="1" x14ac:dyDescent="0.35">
      <c r="A764" s="1" t="s">
        <v>187</v>
      </c>
      <c r="B764" s="1" t="s">
        <v>917</v>
      </c>
      <c r="C764" s="1" t="s">
        <v>135</v>
      </c>
      <c r="D764" s="1" t="s">
        <v>918</v>
      </c>
      <c r="E764" s="5">
        <v>45234</v>
      </c>
      <c r="F764" s="4" t="str">
        <f>IF(ISNUMBER(Table13[[#This Row],[Claim_Date2]]),"",Table13[[#This Row],[Claim_Date2]])</f>
        <v/>
      </c>
      <c r="G764" s="4" t="s">
        <v>1098</v>
      </c>
      <c r="H764" s="4" t="str">
        <f>LEFT(Table13[[#This Row],[Values Col 1]],3)</f>
        <v/>
      </c>
      <c r="I764" s="4" t="s">
        <v>1098</v>
      </c>
      <c r="J764" s="4" t="str">
        <f>MID(Table13[[#This Row],[Function Col]],5,2)</f>
        <v/>
      </c>
      <c r="K764" s="4" t="s">
        <v>1098</v>
      </c>
      <c r="L764" s="4" t="str">
        <f>RIGHT(Table13[[#This Row],[Function Col]],4)</f>
        <v/>
      </c>
      <c r="M764" s="4" t="s">
        <v>1098</v>
      </c>
      <c r="N764" s="4" t="str">
        <f>IF(Table13[[#This Row],[Function Col5]]="","",_xlfn.CONCAT(Table13[[#This Row],[Day Col]],"/",Table13[[#This Row],[Month Col]],"/",Table13[[#This Row],[Year Col]]))</f>
        <v/>
      </c>
      <c r="O764" s="4" t="s">
        <v>1098</v>
      </c>
      <c r="P764" s="4">
        <f>IF(ISNUMBER(Table13[[#This Row],[Claim_Date2]]),Table13[[#This Row],[Claim_Date2]],Table13[[#This Row],[Function Col32]])</f>
        <v>45234</v>
      </c>
      <c r="Q764" s="4">
        <v>45234</v>
      </c>
      <c r="R764" s="1" t="s">
        <v>77</v>
      </c>
      <c r="S764" t="s">
        <v>1085</v>
      </c>
      <c r="T764" s="1" t="s">
        <v>24</v>
      </c>
      <c r="U764" s="1"/>
      <c r="V764" s="1">
        <v>2561.2800000000002</v>
      </c>
      <c r="W764" s="1">
        <f>IF(Table1[[#This Row],[Claim_Amount]]&lt;0,0,Table1[[#This Row],[Claim_Amount]])</f>
        <v>2561.2800000000002</v>
      </c>
      <c r="X764" s="1">
        <f>IF(Table1[[#This Row],[Column1]]=0,"",Table1[[#This Row],[Column1]])</f>
        <v>2561.2800000000002</v>
      </c>
      <c r="Y764" s="1">
        <v>2561.2800000000002</v>
      </c>
      <c r="Z764" s="1">
        <v>2561.2800000000002</v>
      </c>
      <c r="AA764">
        <v>832</v>
      </c>
      <c r="AB764" s="1" t="s">
        <v>25</v>
      </c>
      <c r="AC764" s="1" t="s">
        <v>32</v>
      </c>
      <c r="AD764">
        <v>9</v>
      </c>
      <c r="AE764" s="3" t="s">
        <v>19</v>
      </c>
    </row>
    <row r="765" spans="1:31" ht="15.75" customHeight="1" x14ac:dyDescent="0.35">
      <c r="A765" s="1" t="s">
        <v>28</v>
      </c>
      <c r="B765" s="1" t="s">
        <v>919</v>
      </c>
      <c r="C765" s="1" t="s">
        <v>463</v>
      </c>
      <c r="D765" s="1" t="s">
        <v>701</v>
      </c>
      <c r="E765" s="5" t="s">
        <v>701</v>
      </c>
      <c r="F765" s="4" t="str">
        <f>IF(ISNUMBER(Table13[[#This Row],[Claim_Date2]]),"",Table13[[#This Row],[Claim_Date2]])</f>
        <v>Apr 09 2023</v>
      </c>
      <c r="G765" s="4" t="s">
        <v>701</v>
      </c>
      <c r="H765" s="4" t="str">
        <f>LEFT(Table13[[#This Row],[Values Col 1]],3)</f>
        <v>Apr</v>
      </c>
      <c r="I765" s="4" t="s">
        <v>1104</v>
      </c>
      <c r="J765" s="4" t="str">
        <f>MID(Table13[[#This Row],[Function Col]],5,2)</f>
        <v>09</v>
      </c>
      <c r="K765" s="4" t="s">
        <v>1127</v>
      </c>
      <c r="L765" s="4" t="str">
        <f>RIGHT(Table13[[#This Row],[Function Col]],4)</f>
        <v>2023</v>
      </c>
      <c r="M765" s="4" t="s">
        <v>1146</v>
      </c>
      <c r="N765" s="4" t="str">
        <f>IF(Table13[[#This Row],[Function Col5]]="","",_xlfn.CONCAT(Table13[[#This Row],[Day Col]],"/",Table13[[#This Row],[Month Col]],"/",Table13[[#This Row],[Year Col]]))</f>
        <v>09/Apr/2023</v>
      </c>
      <c r="O765" s="4" t="s">
        <v>1276</v>
      </c>
      <c r="P765" s="4" t="str">
        <f>IF(ISNUMBER(Table13[[#This Row],[Claim_Date2]]),Table13[[#This Row],[Claim_Date2]],Table13[[#This Row],[Function Col32]])</f>
        <v>09/Apr/2023</v>
      </c>
      <c r="Q765" s="4">
        <v>45025</v>
      </c>
      <c r="R765" s="1" t="s">
        <v>85</v>
      </c>
      <c r="S765" s="1" t="s">
        <v>47</v>
      </c>
      <c r="T765" s="1" t="s">
        <v>41</v>
      </c>
      <c r="U765" s="1"/>
      <c r="V765" s="1">
        <v>-178</v>
      </c>
      <c r="W765" s="1">
        <f>IF(Table1[[#This Row],[Claim_Amount]]&lt;0,0,Table1[[#This Row],[Claim_Amount]])</f>
        <v>0</v>
      </c>
      <c r="X765" s="1" t="str">
        <f>IF(Table1[[#This Row],[Column1]]=0,"",Table1[[#This Row],[Column1]])</f>
        <v/>
      </c>
      <c r="Y765" s="1" t="s">
        <v>1098</v>
      </c>
      <c r="Z765" s="1">
        <v>2481</v>
      </c>
      <c r="AA765" s="1">
        <v>3931.11</v>
      </c>
      <c r="AB765" s="1" t="s">
        <v>1091</v>
      </c>
      <c r="AC765" s="1" t="s">
        <v>26</v>
      </c>
      <c r="AD765" s="1">
        <v>21</v>
      </c>
      <c r="AE765" s="3" t="s">
        <v>27</v>
      </c>
    </row>
    <row r="766" spans="1:31" ht="15.75" customHeight="1" x14ac:dyDescent="0.35">
      <c r="A766" s="1" t="s">
        <v>50</v>
      </c>
      <c r="B766" t="s">
        <v>1083</v>
      </c>
      <c r="C766" t="s">
        <v>1084</v>
      </c>
      <c r="D766" s="1" t="s">
        <v>920</v>
      </c>
      <c r="E766" s="5">
        <v>45110</v>
      </c>
      <c r="F766" s="4" t="str">
        <f>IF(ISNUMBER(Table13[[#This Row],[Claim_Date2]]),"",Table13[[#This Row],[Claim_Date2]])</f>
        <v/>
      </c>
      <c r="G766" s="4" t="s">
        <v>1098</v>
      </c>
      <c r="H766" s="4" t="str">
        <f>LEFT(Table13[[#This Row],[Values Col 1]],3)</f>
        <v/>
      </c>
      <c r="I766" s="4" t="s">
        <v>1098</v>
      </c>
      <c r="J766" s="4" t="str">
        <f>MID(Table13[[#This Row],[Function Col]],5,2)</f>
        <v/>
      </c>
      <c r="K766" s="4" t="s">
        <v>1098</v>
      </c>
      <c r="L766" s="4" t="str">
        <f>RIGHT(Table13[[#This Row],[Function Col]],4)</f>
        <v/>
      </c>
      <c r="M766" s="4" t="s">
        <v>1098</v>
      </c>
      <c r="N766" s="4" t="str">
        <f>IF(Table13[[#This Row],[Function Col5]]="","",_xlfn.CONCAT(Table13[[#This Row],[Day Col]],"/",Table13[[#This Row],[Month Col]],"/",Table13[[#This Row],[Year Col]]))</f>
        <v/>
      </c>
      <c r="O766" s="4" t="s">
        <v>1098</v>
      </c>
      <c r="P766" s="4">
        <f>IF(ISNUMBER(Table13[[#This Row],[Claim_Date2]]),Table13[[#This Row],[Claim_Date2]],Table13[[#This Row],[Function Col32]])</f>
        <v>45110</v>
      </c>
      <c r="Q766" s="4">
        <v>45110</v>
      </c>
      <c r="R766" s="1" t="s">
        <v>85</v>
      </c>
      <c r="S766" t="s">
        <v>1085</v>
      </c>
      <c r="T766" t="s">
        <v>1086</v>
      </c>
      <c r="V766" s="1">
        <v>3785.33</v>
      </c>
      <c r="W766" s="1">
        <f>IF(Table1[[#This Row],[Claim_Amount]]&lt;0,0,Table1[[#This Row],[Claim_Amount]])</f>
        <v>3785.33</v>
      </c>
      <c r="X766" s="1">
        <f>IF(Table1[[#This Row],[Column1]]=0,"",Table1[[#This Row],[Column1]])</f>
        <v>3785.33</v>
      </c>
      <c r="Y766" s="1">
        <v>3785.33</v>
      </c>
      <c r="Z766" s="1">
        <v>3785.33</v>
      </c>
      <c r="AA766" s="1">
        <v>4246.4799999999996</v>
      </c>
      <c r="AB766" s="1" t="s">
        <v>42</v>
      </c>
      <c r="AC766" s="1" t="s">
        <v>57</v>
      </c>
      <c r="AD766">
        <v>9</v>
      </c>
      <c r="AE766" s="3" t="s">
        <v>1097</v>
      </c>
    </row>
    <row r="767" spans="1:31" ht="15.75" customHeight="1" x14ac:dyDescent="0.35">
      <c r="A767" s="1" t="s">
        <v>302</v>
      </c>
      <c r="B767" t="s">
        <v>1083</v>
      </c>
      <c r="C767" s="1" t="s">
        <v>336</v>
      </c>
      <c r="D767" s="1" t="s">
        <v>921</v>
      </c>
      <c r="E767" s="5">
        <v>45091</v>
      </c>
      <c r="F767" s="4" t="str">
        <f>IF(ISNUMBER(Table13[[#This Row],[Claim_Date2]]),"",Table13[[#This Row],[Claim_Date2]])</f>
        <v/>
      </c>
      <c r="G767" s="4" t="s">
        <v>1098</v>
      </c>
      <c r="H767" s="4" t="str">
        <f>LEFT(Table13[[#This Row],[Values Col 1]],3)</f>
        <v/>
      </c>
      <c r="I767" s="4" t="s">
        <v>1098</v>
      </c>
      <c r="J767" s="4" t="str">
        <f>MID(Table13[[#This Row],[Function Col]],5,2)</f>
        <v/>
      </c>
      <c r="K767" s="4" t="s">
        <v>1098</v>
      </c>
      <c r="L767" s="4" t="str">
        <f>RIGHT(Table13[[#This Row],[Function Col]],4)</f>
        <v/>
      </c>
      <c r="M767" s="4" t="s">
        <v>1098</v>
      </c>
      <c r="N767" s="4" t="str">
        <f>IF(Table13[[#This Row],[Function Col5]]="","",_xlfn.CONCAT(Table13[[#This Row],[Day Col]],"/",Table13[[#This Row],[Month Col]],"/",Table13[[#This Row],[Year Col]]))</f>
        <v/>
      </c>
      <c r="O767" s="4" t="s">
        <v>1098</v>
      </c>
      <c r="P767" s="4">
        <f>IF(ISNUMBER(Table13[[#This Row],[Claim_Date2]]),Table13[[#This Row],[Claim_Date2]],Table13[[#This Row],[Function Col32]])</f>
        <v>45091</v>
      </c>
      <c r="Q767" s="4">
        <v>45091</v>
      </c>
      <c r="R767" s="1" t="s">
        <v>85</v>
      </c>
      <c r="S767" s="1" t="s">
        <v>93</v>
      </c>
      <c r="T767" s="1" t="s">
        <v>41</v>
      </c>
      <c r="U767" s="1"/>
      <c r="V767" s="1">
        <v>-119</v>
      </c>
      <c r="W767" s="1">
        <f>IF(Table1[[#This Row],[Claim_Amount]]&lt;0,0,Table1[[#This Row],[Claim_Amount]])</f>
        <v>0</v>
      </c>
      <c r="X767" s="1" t="str">
        <f>IF(Table1[[#This Row],[Column1]]=0,"",Table1[[#This Row],[Column1]])</f>
        <v/>
      </c>
      <c r="Y767" s="1" t="s">
        <v>1098</v>
      </c>
      <c r="Z767" s="1">
        <v>2481</v>
      </c>
      <c r="AA767" s="1">
        <v>2203.94</v>
      </c>
      <c r="AB767" s="1" t="s">
        <v>25</v>
      </c>
      <c r="AC767" s="1" t="s">
        <v>26</v>
      </c>
      <c r="AD767" s="1">
        <v>31</v>
      </c>
      <c r="AE767" s="3" t="s">
        <v>27</v>
      </c>
    </row>
    <row r="768" spans="1:31" ht="15.75" customHeight="1" x14ac:dyDescent="0.35">
      <c r="A768" s="1" t="s">
        <v>20</v>
      </c>
      <c r="B768" t="s">
        <v>1083</v>
      </c>
      <c r="C768" t="s">
        <v>1084</v>
      </c>
      <c r="D768" s="1" t="s">
        <v>922</v>
      </c>
      <c r="E768" s="5" t="s">
        <v>922</v>
      </c>
      <c r="F768" s="4" t="str">
        <f>IF(ISNUMBER(Table13[[#This Row],[Claim_Date2]]),"",Table13[[#This Row],[Claim_Date2]])</f>
        <v>Dec 17 2023</v>
      </c>
      <c r="G768" s="4" t="s">
        <v>922</v>
      </c>
      <c r="H768" s="4" t="str">
        <f>LEFT(Table13[[#This Row],[Values Col 1]],3)</f>
        <v>Dec</v>
      </c>
      <c r="I768" s="4" t="s">
        <v>1111</v>
      </c>
      <c r="J768" s="4" t="str">
        <f>MID(Table13[[#This Row],[Function Col]],5,2)</f>
        <v>17</v>
      </c>
      <c r="K768" s="4" t="s">
        <v>1140</v>
      </c>
      <c r="L768" s="4" t="str">
        <f>RIGHT(Table13[[#This Row],[Function Col]],4)</f>
        <v>2023</v>
      </c>
      <c r="M768" s="4" t="s">
        <v>1146</v>
      </c>
      <c r="N768" s="4" t="str">
        <f>IF(Table13[[#This Row],[Function Col5]]="","",_xlfn.CONCAT(Table13[[#This Row],[Day Col]],"/",Table13[[#This Row],[Month Col]],"/",Table13[[#This Row],[Year Col]]))</f>
        <v>17/Dec/2023</v>
      </c>
      <c r="O768" s="4" t="s">
        <v>1332</v>
      </c>
      <c r="P768" s="4" t="str">
        <f>IF(ISNUMBER(Table13[[#This Row],[Claim_Date2]]),Table13[[#This Row],[Claim_Date2]],Table13[[#This Row],[Function Col32]])</f>
        <v>17/Dec/2023</v>
      </c>
      <c r="Q768" s="4">
        <v>45277</v>
      </c>
      <c r="R768" s="1" t="s">
        <v>16</v>
      </c>
      <c r="S768" s="1" t="s">
        <v>47</v>
      </c>
      <c r="T768" s="1" t="s">
        <v>61</v>
      </c>
      <c r="U768" s="1"/>
      <c r="W768">
        <f>IF(Table1[[#This Row],[Claim_Amount]]&lt;0,0,Table1[[#This Row],[Claim_Amount]])</f>
        <v>0</v>
      </c>
      <c r="X768" t="str">
        <f>IF(Table1[[#This Row],[Column1]]=0,"",Table1[[#This Row],[Column1]])</f>
        <v/>
      </c>
      <c r="Y768" t="s">
        <v>1098</v>
      </c>
      <c r="Z768">
        <v>2481</v>
      </c>
      <c r="AA768">
        <v>832</v>
      </c>
      <c r="AB768" s="1" t="s">
        <v>1091</v>
      </c>
      <c r="AC768" s="1" t="s">
        <v>57</v>
      </c>
      <c r="AD768">
        <v>9</v>
      </c>
      <c r="AE768" s="3" t="s">
        <v>27</v>
      </c>
    </row>
    <row r="769" spans="1:31" ht="15.75" customHeight="1" x14ac:dyDescent="0.35">
      <c r="A769" s="1" t="s">
        <v>148</v>
      </c>
      <c r="B769" t="s">
        <v>1083</v>
      </c>
      <c r="C769" s="1" t="s">
        <v>193</v>
      </c>
      <c r="D769" s="1" t="s">
        <v>230</v>
      </c>
      <c r="E769" s="5">
        <v>45124</v>
      </c>
      <c r="F769" s="4" t="str">
        <f>IF(ISNUMBER(Table13[[#This Row],[Claim_Date2]]),"",Table13[[#This Row],[Claim_Date2]])</f>
        <v/>
      </c>
      <c r="G769" s="4" t="s">
        <v>1098</v>
      </c>
      <c r="H769" s="4" t="str">
        <f>LEFT(Table13[[#This Row],[Values Col 1]],3)</f>
        <v/>
      </c>
      <c r="I769" s="4" t="s">
        <v>1098</v>
      </c>
      <c r="J769" s="4" t="str">
        <f>MID(Table13[[#This Row],[Function Col]],5,2)</f>
        <v/>
      </c>
      <c r="K769" s="4" t="s">
        <v>1098</v>
      </c>
      <c r="L769" s="4" t="str">
        <f>RIGHT(Table13[[#This Row],[Function Col]],4)</f>
        <v/>
      </c>
      <c r="M769" s="4" t="s">
        <v>1098</v>
      </c>
      <c r="N769" s="4" t="str">
        <f>IF(Table13[[#This Row],[Function Col5]]="","",_xlfn.CONCAT(Table13[[#This Row],[Day Col]],"/",Table13[[#This Row],[Month Col]],"/",Table13[[#This Row],[Year Col]]))</f>
        <v/>
      </c>
      <c r="O769" s="4" t="s">
        <v>1098</v>
      </c>
      <c r="P769" s="4">
        <f>IF(ISNUMBER(Table13[[#This Row],[Claim_Date2]]),Table13[[#This Row],[Claim_Date2]],Table13[[#This Row],[Function Col32]])</f>
        <v>45124</v>
      </c>
      <c r="Q769" s="4">
        <v>45124</v>
      </c>
      <c r="R769" s="1" t="s">
        <v>30</v>
      </c>
      <c r="S769" s="1" t="s">
        <v>23</v>
      </c>
      <c r="T769" t="s">
        <v>1086</v>
      </c>
      <c r="W769">
        <f>IF(Table1[[#This Row],[Claim_Amount]]&lt;0,0,Table1[[#This Row],[Claim_Amount]])</f>
        <v>0</v>
      </c>
      <c r="X769" t="str">
        <f>IF(Table1[[#This Row],[Column1]]=0,"",Table1[[#This Row],[Column1]])</f>
        <v/>
      </c>
      <c r="Y769" t="s">
        <v>1098</v>
      </c>
      <c r="Z769">
        <v>2481</v>
      </c>
      <c r="AA769">
        <v>832</v>
      </c>
      <c r="AB769" s="1" t="s">
        <v>25</v>
      </c>
      <c r="AC769" s="1" t="s">
        <v>18</v>
      </c>
      <c r="AD769">
        <v>9</v>
      </c>
      <c r="AE769" s="3" t="s">
        <v>65</v>
      </c>
    </row>
    <row r="770" spans="1:31" ht="15.75" customHeight="1" x14ac:dyDescent="0.35">
      <c r="A770" s="1" t="s">
        <v>198</v>
      </c>
      <c r="B770" t="s">
        <v>1083</v>
      </c>
      <c r="C770" s="1" t="s">
        <v>68</v>
      </c>
      <c r="D770" s="1" t="s">
        <v>923</v>
      </c>
      <c r="E770" s="5" t="s">
        <v>923</v>
      </c>
      <c r="F770" s="4" t="str">
        <f>IF(ISNUMBER(Table13[[#This Row],[Claim_Date2]]),"",Table13[[#This Row],[Claim_Date2]])</f>
        <v>Oct 20 2023</v>
      </c>
      <c r="G770" s="4" t="s">
        <v>923</v>
      </c>
      <c r="H770" s="4" t="str">
        <f>LEFT(Table13[[#This Row],[Values Col 1]],3)</f>
        <v>Oct</v>
      </c>
      <c r="I770" s="4" t="s">
        <v>1103</v>
      </c>
      <c r="J770" s="4" t="str">
        <f>MID(Table13[[#This Row],[Function Col]],5,2)</f>
        <v>20</v>
      </c>
      <c r="K770" s="4" t="s">
        <v>1118</v>
      </c>
      <c r="L770" s="4" t="str">
        <f>RIGHT(Table13[[#This Row],[Function Col]],4)</f>
        <v>2023</v>
      </c>
      <c r="M770" s="4" t="s">
        <v>1146</v>
      </c>
      <c r="N770" s="4" t="str">
        <f>IF(Table13[[#This Row],[Function Col5]]="","",_xlfn.CONCAT(Table13[[#This Row],[Day Col]],"/",Table13[[#This Row],[Month Col]],"/",Table13[[#This Row],[Year Col]]))</f>
        <v>20/Oct/2023</v>
      </c>
      <c r="O770" s="4" t="s">
        <v>1333</v>
      </c>
      <c r="P770" s="4" t="str">
        <f>IF(ISNUMBER(Table13[[#This Row],[Claim_Date2]]),Table13[[#This Row],[Claim_Date2]],Table13[[#This Row],[Function Col32]])</f>
        <v>20/Oct/2023</v>
      </c>
      <c r="Q770" s="4">
        <v>45219</v>
      </c>
      <c r="R770" s="1" t="s">
        <v>30</v>
      </c>
      <c r="S770" s="1" t="s">
        <v>23</v>
      </c>
      <c r="T770" s="1" t="s">
        <v>61</v>
      </c>
      <c r="U770" s="1"/>
      <c r="V770" s="1">
        <v>4614.33</v>
      </c>
      <c r="W770" s="1">
        <f>IF(Table1[[#This Row],[Claim_Amount]]&lt;0,0,Table1[[#This Row],[Claim_Amount]])</f>
        <v>4614.33</v>
      </c>
      <c r="X770" s="1">
        <f>IF(Table1[[#This Row],[Column1]]=0,"",Table1[[#This Row],[Column1]])</f>
        <v>4614.33</v>
      </c>
      <c r="Y770" s="1">
        <v>4614.33</v>
      </c>
      <c r="Z770" s="1">
        <v>4614.33</v>
      </c>
      <c r="AA770" s="1">
        <v>4625.3500000000004</v>
      </c>
      <c r="AB770" s="1" t="s">
        <v>17</v>
      </c>
      <c r="AC770" s="1" t="s">
        <v>32</v>
      </c>
      <c r="AD770">
        <v>9</v>
      </c>
      <c r="AE770" s="3" t="s">
        <v>65</v>
      </c>
    </row>
    <row r="771" spans="1:31" ht="15.75" customHeight="1" x14ac:dyDescent="0.35">
      <c r="A771" s="1" t="s">
        <v>242</v>
      </c>
      <c r="B771" s="1" t="s">
        <v>902</v>
      </c>
      <c r="C771" s="1" t="s">
        <v>213</v>
      </c>
      <c r="D771" s="1" t="s">
        <v>526</v>
      </c>
      <c r="E771" s="5" t="s">
        <v>526</v>
      </c>
      <c r="F771" s="4" t="str">
        <f>IF(ISNUMBER(Table13[[#This Row],[Claim_Date2]]),"",Table13[[#This Row],[Claim_Date2]])</f>
        <v>Nov 15 2023</v>
      </c>
      <c r="G771" s="4" t="s">
        <v>526</v>
      </c>
      <c r="H771" s="4" t="str">
        <f>LEFT(Table13[[#This Row],[Values Col 1]],3)</f>
        <v>Nov</v>
      </c>
      <c r="I771" s="4" t="s">
        <v>1105</v>
      </c>
      <c r="J771" s="4" t="str">
        <f>MID(Table13[[#This Row],[Function Col]],5,2)</f>
        <v>15</v>
      </c>
      <c r="K771" s="4" t="s">
        <v>1116</v>
      </c>
      <c r="L771" s="4" t="str">
        <f>RIGHT(Table13[[#This Row],[Function Col]],4)</f>
        <v>2023</v>
      </c>
      <c r="M771" s="4" t="s">
        <v>1146</v>
      </c>
      <c r="N771" s="4" t="str">
        <f>IF(Table13[[#This Row],[Function Col5]]="","",_xlfn.CONCAT(Table13[[#This Row],[Day Col]],"/",Table13[[#This Row],[Month Col]],"/",Table13[[#This Row],[Year Col]]))</f>
        <v>15/Nov/2023</v>
      </c>
      <c r="O771" s="4" t="s">
        <v>1240</v>
      </c>
      <c r="P771" s="4" t="str">
        <f>IF(ISNUMBER(Table13[[#This Row],[Claim_Date2]]),Table13[[#This Row],[Claim_Date2]],Table13[[#This Row],[Function Col32]])</f>
        <v>15/Nov/2023</v>
      </c>
      <c r="Q771" s="4">
        <v>45245</v>
      </c>
      <c r="R771" s="1" t="s">
        <v>92</v>
      </c>
      <c r="S771" s="1" t="s">
        <v>53</v>
      </c>
      <c r="T771" t="s">
        <v>1086</v>
      </c>
      <c r="W771">
        <f>IF(Table1[[#This Row],[Claim_Amount]]&lt;0,0,Table1[[#This Row],[Claim_Amount]])</f>
        <v>0</v>
      </c>
      <c r="X771" t="str">
        <f>IF(Table1[[#This Row],[Column1]]=0,"",Table1[[#This Row],[Column1]])</f>
        <v/>
      </c>
      <c r="Y771" t="s">
        <v>1098</v>
      </c>
      <c r="Z771">
        <v>2481</v>
      </c>
      <c r="AA771">
        <v>832</v>
      </c>
      <c r="AB771" s="1" t="s">
        <v>42</v>
      </c>
      <c r="AC771" s="1" t="s">
        <v>1093</v>
      </c>
      <c r="AD771" s="1">
        <v>44</v>
      </c>
      <c r="AE771" s="3" t="s">
        <v>37</v>
      </c>
    </row>
    <row r="772" spans="1:31" ht="15.75" customHeight="1" x14ac:dyDescent="0.35">
      <c r="A772" s="1" t="s">
        <v>70</v>
      </c>
      <c r="B772" t="s">
        <v>1083</v>
      </c>
      <c r="C772" t="s">
        <v>1084</v>
      </c>
      <c r="D772" s="1" t="s">
        <v>924</v>
      </c>
      <c r="E772" s="5" t="s">
        <v>924</v>
      </c>
      <c r="F772" s="4" t="str">
        <f>IF(ISNUMBER(Table13[[#This Row],[Claim_Date2]]),"",Table13[[#This Row],[Claim_Date2]])</f>
        <v>Jan 06 2023</v>
      </c>
      <c r="G772" s="4" t="s">
        <v>924</v>
      </c>
      <c r="H772" s="4" t="str">
        <f>LEFT(Table13[[#This Row],[Values Col 1]],3)</f>
        <v>Jan</v>
      </c>
      <c r="I772" s="4" t="s">
        <v>1107</v>
      </c>
      <c r="J772" s="4" t="str">
        <f>MID(Table13[[#This Row],[Function Col]],5,2)</f>
        <v>06</v>
      </c>
      <c r="K772" s="4" t="s">
        <v>1132</v>
      </c>
      <c r="L772" s="4" t="str">
        <f>RIGHT(Table13[[#This Row],[Function Col]],4)</f>
        <v>2023</v>
      </c>
      <c r="M772" s="4" t="s">
        <v>1146</v>
      </c>
      <c r="N772" s="4" t="str">
        <f>IF(Table13[[#This Row],[Function Col5]]="","",_xlfn.CONCAT(Table13[[#This Row],[Day Col]],"/",Table13[[#This Row],[Month Col]],"/",Table13[[#This Row],[Year Col]]))</f>
        <v>06/Jan/2023</v>
      </c>
      <c r="O772" s="4" t="s">
        <v>1334</v>
      </c>
      <c r="P772" s="4" t="str">
        <f>IF(ISNUMBER(Table13[[#This Row],[Claim_Date2]]),Table13[[#This Row],[Claim_Date2]],Table13[[#This Row],[Function Col32]])</f>
        <v>06/Jan/2023</v>
      </c>
      <c r="Q772" s="4">
        <v>44932</v>
      </c>
      <c r="R772" s="1" t="s">
        <v>16</v>
      </c>
      <c r="S772" s="1" t="s">
        <v>53</v>
      </c>
      <c r="T772" s="1" t="s">
        <v>61</v>
      </c>
      <c r="U772" s="1"/>
      <c r="W772">
        <f>IF(Table1[[#This Row],[Claim_Amount]]&lt;0,0,Table1[[#This Row],[Claim_Amount]])</f>
        <v>0</v>
      </c>
      <c r="X772" t="str">
        <f>IF(Table1[[#This Row],[Column1]]=0,"",Table1[[#This Row],[Column1]])</f>
        <v/>
      </c>
      <c r="Y772" t="s">
        <v>1098</v>
      </c>
      <c r="Z772">
        <v>2481</v>
      </c>
      <c r="AA772" s="1">
        <v>3331.67</v>
      </c>
      <c r="AB772" s="1" t="s">
        <v>25</v>
      </c>
      <c r="AC772" s="1" t="s">
        <v>26</v>
      </c>
      <c r="AD772" s="1">
        <v>7</v>
      </c>
      <c r="AE772" s="3" t="s">
        <v>37</v>
      </c>
    </row>
    <row r="773" spans="1:31" ht="15.75" customHeight="1" x14ac:dyDescent="0.35">
      <c r="A773" s="1" t="s">
        <v>430</v>
      </c>
      <c r="B773" t="s">
        <v>1083</v>
      </c>
      <c r="C773" s="1" t="s">
        <v>139</v>
      </c>
      <c r="D773" s="1" t="s">
        <v>925</v>
      </c>
      <c r="E773" s="5">
        <v>45275</v>
      </c>
      <c r="F773" s="4" t="str">
        <f>IF(ISNUMBER(Table13[[#This Row],[Claim_Date2]]),"",Table13[[#This Row],[Claim_Date2]])</f>
        <v/>
      </c>
      <c r="G773" s="4" t="s">
        <v>1098</v>
      </c>
      <c r="H773" s="4" t="str">
        <f>LEFT(Table13[[#This Row],[Values Col 1]],3)</f>
        <v/>
      </c>
      <c r="I773" s="4" t="s">
        <v>1098</v>
      </c>
      <c r="J773" s="4" t="str">
        <f>MID(Table13[[#This Row],[Function Col]],5,2)</f>
        <v/>
      </c>
      <c r="K773" s="4" t="s">
        <v>1098</v>
      </c>
      <c r="L773" s="4" t="str">
        <f>RIGHT(Table13[[#This Row],[Function Col]],4)</f>
        <v/>
      </c>
      <c r="M773" s="4" t="s">
        <v>1098</v>
      </c>
      <c r="N773" s="4" t="str">
        <f>IF(Table13[[#This Row],[Function Col5]]="","",_xlfn.CONCAT(Table13[[#This Row],[Day Col]],"/",Table13[[#This Row],[Month Col]],"/",Table13[[#This Row],[Year Col]]))</f>
        <v/>
      </c>
      <c r="O773" s="4" t="s">
        <v>1098</v>
      </c>
      <c r="P773" s="4">
        <f>IF(ISNUMBER(Table13[[#This Row],[Claim_Date2]]),Table13[[#This Row],[Claim_Date2]],Table13[[#This Row],[Function Col32]])</f>
        <v>45275</v>
      </c>
      <c r="Q773" s="4">
        <v>45275</v>
      </c>
      <c r="R773" s="1" t="s">
        <v>92</v>
      </c>
      <c r="S773" s="1" t="s">
        <v>47</v>
      </c>
      <c r="T773" s="1" t="s">
        <v>41</v>
      </c>
      <c r="U773" s="1"/>
      <c r="W773">
        <f>IF(Table1[[#This Row],[Claim_Amount]]&lt;0,0,Table1[[#This Row],[Claim_Amount]])</f>
        <v>0</v>
      </c>
      <c r="X773" t="str">
        <f>IF(Table1[[#This Row],[Column1]]=0,"",Table1[[#This Row],[Column1]])</f>
        <v/>
      </c>
      <c r="Y773" t="s">
        <v>1098</v>
      </c>
      <c r="Z773">
        <v>2481</v>
      </c>
      <c r="AA773" s="1">
        <v>587.04</v>
      </c>
      <c r="AB773" s="1" t="s">
        <v>25</v>
      </c>
      <c r="AC773" s="1" t="s">
        <v>18</v>
      </c>
      <c r="AD773" s="1">
        <v>60</v>
      </c>
      <c r="AE773" s="3" t="s">
        <v>1097</v>
      </c>
    </row>
    <row r="774" spans="1:31" ht="15.75" customHeight="1" x14ac:dyDescent="0.35">
      <c r="A774" s="1" t="s">
        <v>117</v>
      </c>
      <c r="B774" s="1" t="s">
        <v>389</v>
      </c>
      <c r="C774" s="1" t="s">
        <v>354</v>
      </c>
      <c r="D774" s="1" t="s">
        <v>556</v>
      </c>
      <c r="E774" s="5">
        <v>45167</v>
      </c>
      <c r="F774" s="4" t="str">
        <f>IF(ISNUMBER(Table13[[#This Row],[Claim_Date2]]),"",Table13[[#This Row],[Claim_Date2]])</f>
        <v/>
      </c>
      <c r="G774" s="4" t="s">
        <v>1098</v>
      </c>
      <c r="H774" s="4" t="str">
        <f>LEFT(Table13[[#This Row],[Values Col 1]],3)</f>
        <v/>
      </c>
      <c r="I774" s="4" t="s">
        <v>1098</v>
      </c>
      <c r="J774" s="4" t="str">
        <f>MID(Table13[[#This Row],[Function Col]],5,2)</f>
        <v/>
      </c>
      <c r="K774" s="4" t="s">
        <v>1098</v>
      </c>
      <c r="L774" s="4" t="str">
        <f>RIGHT(Table13[[#This Row],[Function Col]],4)</f>
        <v/>
      </c>
      <c r="M774" s="4" t="s">
        <v>1098</v>
      </c>
      <c r="N774" s="4" t="str">
        <f>IF(Table13[[#This Row],[Function Col5]]="","",_xlfn.CONCAT(Table13[[#This Row],[Day Col]],"/",Table13[[#This Row],[Month Col]],"/",Table13[[#This Row],[Year Col]]))</f>
        <v/>
      </c>
      <c r="O774" s="4" t="s">
        <v>1098</v>
      </c>
      <c r="P774" s="4">
        <f>IF(ISNUMBER(Table13[[#This Row],[Claim_Date2]]),Table13[[#This Row],[Claim_Date2]],Table13[[#This Row],[Function Col32]])</f>
        <v>45167</v>
      </c>
      <c r="Q774" s="4">
        <v>45167</v>
      </c>
      <c r="R774" s="1" t="s">
        <v>85</v>
      </c>
      <c r="S774" s="1" t="s">
        <v>23</v>
      </c>
      <c r="T774" s="1" t="s">
        <v>48</v>
      </c>
      <c r="U774" s="1"/>
      <c r="V774" s="1">
        <v>963.17</v>
      </c>
      <c r="W774" s="1">
        <f>IF(Table1[[#This Row],[Claim_Amount]]&lt;0,0,Table1[[#This Row],[Claim_Amount]])</f>
        <v>963.17</v>
      </c>
      <c r="X774" s="1">
        <f>IF(Table1[[#This Row],[Column1]]=0,"",Table1[[#This Row],[Column1]])</f>
        <v>963.17</v>
      </c>
      <c r="Y774" s="1">
        <v>963.17</v>
      </c>
      <c r="Z774" s="1">
        <v>963.17</v>
      </c>
      <c r="AA774">
        <v>832</v>
      </c>
      <c r="AB774" s="1" t="s">
        <v>42</v>
      </c>
      <c r="AC774" s="1" t="s">
        <v>1093</v>
      </c>
      <c r="AD774" s="1">
        <v>47</v>
      </c>
      <c r="AE774" s="3" t="s">
        <v>37</v>
      </c>
    </row>
    <row r="775" spans="1:31" ht="15.75" customHeight="1" x14ac:dyDescent="0.35">
      <c r="A775" s="1" t="s">
        <v>154</v>
      </c>
      <c r="B775" s="1" t="s">
        <v>926</v>
      </c>
      <c r="C775" s="1" t="s">
        <v>378</v>
      </c>
      <c r="D775" s="1" t="s">
        <v>927</v>
      </c>
      <c r="E775" s="5" t="s">
        <v>927</v>
      </c>
      <c r="F775" s="4" t="str">
        <f>IF(ISNUMBER(Table13[[#This Row],[Claim_Date2]]),"",Table13[[#This Row],[Claim_Date2]])</f>
        <v>Jan 23 2023</v>
      </c>
      <c r="G775" s="4" t="s">
        <v>927</v>
      </c>
      <c r="H775" s="4" t="str">
        <f>LEFT(Table13[[#This Row],[Values Col 1]],3)</f>
        <v>Jan</v>
      </c>
      <c r="I775" s="4" t="s">
        <v>1107</v>
      </c>
      <c r="J775" s="4" t="str">
        <f>MID(Table13[[#This Row],[Function Col]],5,2)</f>
        <v>23</v>
      </c>
      <c r="K775" s="4" t="s">
        <v>1143</v>
      </c>
      <c r="L775" s="4" t="str">
        <f>RIGHT(Table13[[#This Row],[Function Col]],4)</f>
        <v>2023</v>
      </c>
      <c r="M775" s="4" t="s">
        <v>1146</v>
      </c>
      <c r="N775" s="4" t="str">
        <f>IF(Table13[[#This Row],[Function Col5]]="","",_xlfn.CONCAT(Table13[[#This Row],[Day Col]],"/",Table13[[#This Row],[Month Col]],"/",Table13[[#This Row],[Year Col]]))</f>
        <v>23/Jan/2023</v>
      </c>
      <c r="O775" s="4" t="s">
        <v>1335</v>
      </c>
      <c r="P775" s="4" t="str">
        <f>IF(ISNUMBER(Table13[[#This Row],[Claim_Date2]]),Table13[[#This Row],[Claim_Date2]],Table13[[#This Row],[Function Col32]])</f>
        <v>23/Jan/2023</v>
      </c>
      <c r="Q775" s="4">
        <v>44949</v>
      </c>
      <c r="R775" s="1" t="s">
        <v>16</v>
      </c>
      <c r="S775" s="1" t="s">
        <v>93</v>
      </c>
      <c r="T775" s="1" t="s">
        <v>41</v>
      </c>
      <c r="U775" s="1"/>
      <c r="W775">
        <f>IF(Table1[[#This Row],[Claim_Amount]]&lt;0,0,Table1[[#This Row],[Claim_Amount]])</f>
        <v>0</v>
      </c>
      <c r="X775" t="str">
        <f>IF(Table1[[#This Row],[Column1]]=0,"",Table1[[#This Row],[Column1]])</f>
        <v/>
      </c>
      <c r="Y775" t="s">
        <v>1098</v>
      </c>
      <c r="Z775">
        <v>2481</v>
      </c>
      <c r="AA775" s="1">
        <v>1783.08</v>
      </c>
      <c r="AB775" s="1" t="s">
        <v>25</v>
      </c>
      <c r="AC775" s="1" t="s">
        <v>1093</v>
      </c>
      <c r="AD775" s="1">
        <v>24</v>
      </c>
      <c r="AE775" s="3" t="s">
        <v>27</v>
      </c>
    </row>
    <row r="776" spans="1:31" ht="15.75" customHeight="1" x14ac:dyDescent="0.35">
      <c r="A776" s="1" t="s">
        <v>163</v>
      </c>
      <c r="B776" s="1" t="s">
        <v>928</v>
      </c>
      <c r="C776" s="1" t="s">
        <v>200</v>
      </c>
      <c r="D776" s="1" t="s">
        <v>929</v>
      </c>
      <c r="E776" s="5">
        <v>45098</v>
      </c>
      <c r="F776" s="4" t="str">
        <f>IF(ISNUMBER(Table13[[#This Row],[Claim_Date2]]),"",Table13[[#This Row],[Claim_Date2]])</f>
        <v/>
      </c>
      <c r="G776" s="4" t="s">
        <v>1098</v>
      </c>
      <c r="H776" s="4" t="str">
        <f>LEFT(Table13[[#This Row],[Values Col 1]],3)</f>
        <v/>
      </c>
      <c r="I776" s="4" t="s">
        <v>1098</v>
      </c>
      <c r="J776" s="4" t="str">
        <f>MID(Table13[[#This Row],[Function Col]],5,2)</f>
        <v/>
      </c>
      <c r="K776" s="4" t="s">
        <v>1098</v>
      </c>
      <c r="L776" s="4" t="str">
        <f>RIGHT(Table13[[#This Row],[Function Col]],4)</f>
        <v/>
      </c>
      <c r="M776" s="4" t="s">
        <v>1098</v>
      </c>
      <c r="N776" s="4" t="str">
        <f>IF(Table13[[#This Row],[Function Col5]]="","",_xlfn.CONCAT(Table13[[#This Row],[Day Col]],"/",Table13[[#This Row],[Month Col]],"/",Table13[[#This Row],[Year Col]]))</f>
        <v/>
      </c>
      <c r="O776" s="4" t="s">
        <v>1098</v>
      </c>
      <c r="P776" s="4">
        <f>IF(ISNUMBER(Table13[[#This Row],[Claim_Date2]]),Table13[[#This Row],[Claim_Date2]],Table13[[#This Row],[Function Col32]])</f>
        <v>45098</v>
      </c>
      <c r="Q776" s="4">
        <v>45098</v>
      </c>
      <c r="R776" s="1" t="s">
        <v>85</v>
      </c>
      <c r="S776" s="1" t="s">
        <v>53</v>
      </c>
      <c r="T776" s="1" t="s">
        <v>61</v>
      </c>
      <c r="U776" s="1"/>
      <c r="W776">
        <f>IF(Table1[[#This Row],[Claim_Amount]]&lt;0,0,Table1[[#This Row],[Claim_Amount]])</f>
        <v>0</v>
      </c>
      <c r="X776" t="str">
        <f>IF(Table1[[#This Row],[Column1]]=0,"",Table1[[#This Row],[Column1]])</f>
        <v/>
      </c>
      <c r="Y776" t="s">
        <v>1098</v>
      </c>
      <c r="Z776">
        <v>2481</v>
      </c>
      <c r="AA776" s="1">
        <v>2806.42</v>
      </c>
      <c r="AB776" s="1" t="s">
        <v>1091</v>
      </c>
      <c r="AC776" s="1" t="s">
        <v>32</v>
      </c>
      <c r="AD776" s="1">
        <v>3</v>
      </c>
      <c r="AE776" s="3" t="s">
        <v>19</v>
      </c>
    </row>
    <row r="777" spans="1:31" ht="15.75" customHeight="1" x14ac:dyDescent="0.35">
      <c r="A777" s="1" t="s">
        <v>70</v>
      </c>
      <c r="B777" t="s">
        <v>1083</v>
      </c>
      <c r="C777" s="1" t="s">
        <v>792</v>
      </c>
      <c r="D777" s="1" t="s">
        <v>444</v>
      </c>
      <c r="E777" s="5">
        <v>45091</v>
      </c>
      <c r="F777" s="4" t="str">
        <f>IF(ISNUMBER(Table13[[#This Row],[Claim_Date2]]),"",Table13[[#This Row],[Claim_Date2]])</f>
        <v/>
      </c>
      <c r="G777" s="4" t="s">
        <v>1098</v>
      </c>
      <c r="H777" s="4" t="str">
        <f>LEFT(Table13[[#This Row],[Values Col 1]],3)</f>
        <v/>
      </c>
      <c r="I777" s="4" t="s">
        <v>1098</v>
      </c>
      <c r="J777" s="4" t="str">
        <f>MID(Table13[[#This Row],[Function Col]],5,2)</f>
        <v/>
      </c>
      <c r="K777" s="4" t="s">
        <v>1098</v>
      </c>
      <c r="L777" s="4" t="str">
        <f>RIGHT(Table13[[#This Row],[Function Col]],4)</f>
        <v/>
      </c>
      <c r="M777" s="4" t="s">
        <v>1098</v>
      </c>
      <c r="N777" s="4" t="str">
        <f>IF(Table13[[#This Row],[Function Col5]]="","",_xlfn.CONCAT(Table13[[#This Row],[Day Col]],"/",Table13[[#This Row],[Month Col]],"/",Table13[[#This Row],[Year Col]]))</f>
        <v/>
      </c>
      <c r="O777" s="4" t="s">
        <v>1098</v>
      </c>
      <c r="P777" s="4">
        <f>IF(ISNUMBER(Table13[[#This Row],[Claim_Date2]]),Table13[[#This Row],[Claim_Date2]],Table13[[#This Row],[Function Col32]])</f>
        <v>45091</v>
      </c>
      <c r="Q777" s="4">
        <v>45091</v>
      </c>
      <c r="R777" s="1" t="s">
        <v>16</v>
      </c>
      <c r="S777" t="s">
        <v>1085</v>
      </c>
      <c r="T777" s="1" t="s">
        <v>24</v>
      </c>
      <c r="U777" s="1"/>
      <c r="V777" s="1">
        <v>79.209999999999994</v>
      </c>
      <c r="W777" s="1">
        <f>IF(Table1[[#This Row],[Claim_Amount]]&lt;0,0,Table1[[#This Row],[Claim_Amount]])</f>
        <v>79.209999999999994</v>
      </c>
      <c r="X777" s="1">
        <f>IF(Table1[[#This Row],[Column1]]=0,"",Table1[[#This Row],[Column1]])</f>
        <v>79.209999999999994</v>
      </c>
      <c r="Y777" s="1">
        <v>79.209999999999994</v>
      </c>
      <c r="Z777" s="1">
        <v>79.209999999999994</v>
      </c>
      <c r="AA777">
        <v>832</v>
      </c>
      <c r="AB777" s="1" t="s">
        <v>25</v>
      </c>
      <c r="AC777" s="1" t="s">
        <v>18</v>
      </c>
      <c r="AD777">
        <v>9</v>
      </c>
      <c r="AE777" s="3" t="s">
        <v>19</v>
      </c>
    </row>
    <row r="778" spans="1:31" ht="15.75" customHeight="1" x14ac:dyDescent="0.35">
      <c r="A778" s="1" t="s">
        <v>209</v>
      </c>
      <c r="B778" s="1" t="s">
        <v>323</v>
      </c>
      <c r="C778" t="s">
        <v>1084</v>
      </c>
      <c r="D778" s="1" t="s">
        <v>547</v>
      </c>
      <c r="E778" s="5">
        <v>45257</v>
      </c>
      <c r="F778" s="4" t="str">
        <f>IF(ISNUMBER(Table13[[#This Row],[Claim_Date2]]),"",Table13[[#This Row],[Claim_Date2]])</f>
        <v/>
      </c>
      <c r="G778" s="4" t="s">
        <v>1098</v>
      </c>
      <c r="H778" s="4" t="str">
        <f>LEFT(Table13[[#This Row],[Values Col 1]],3)</f>
        <v/>
      </c>
      <c r="I778" s="4" t="s">
        <v>1098</v>
      </c>
      <c r="J778" s="4" t="str">
        <f>MID(Table13[[#This Row],[Function Col]],5,2)</f>
        <v/>
      </c>
      <c r="K778" s="4" t="s">
        <v>1098</v>
      </c>
      <c r="L778" s="4" t="str">
        <f>RIGHT(Table13[[#This Row],[Function Col]],4)</f>
        <v/>
      </c>
      <c r="M778" s="4" t="s">
        <v>1098</v>
      </c>
      <c r="N778" s="4" t="str">
        <f>IF(Table13[[#This Row],[Function Col5]]="","",_xlfn.CONCAT(Table13[[#This Row],[Day Col]],"/",Table13[[#This Row],[Month Col]],"/",Table13[[#This Row],[Year Col]]))</f>
        <v/>
      </c>
      <c r="O778" s="4" t="s">
        <v>1098</v>
      </c>
      <c r="P778" s="4">
        <f>IF(ISNUMBER(Table13[[#This Row],[Claim_Date2]]),Table13[[#This Row],[Claim_Date2]],Table13[[#This Row],[Function Col32]])</f>
        <v>45257</v>
      </c>
      <c r="Q778" s="4">
        <v>45257</v>
      </c>
      <c r="R778" s="1" t="s">
        <v>16</v>
      </c>
      <c r="S778" s="1" t="s">
        <v>47</v>
      </c>
      <c r="T778" s="1" t="s">
        <v>48</v>
      </c>
      <c r="U778" s="1"/>
      <c r="V778" s="1">
        <v>-70</v>
      </c>
      <c r="W778" s="1">
        <f>IF(Table1[[#This Row],[Claim_Amount]]&lt;0,0,Table1[[#This Row],[Claim_Amount]])</f>
        <v>0</v>
      </c>
      <c r="X778" s="1" t="str">
        <f>IF(Table1[[#This Row],[Column1]]=0,"",Table1[[#This Row],[Column1]])</f>
        <v/>
      </c>
      <c r="Y778" s="1" t="s">
        <v>1098</v>
      </c>
      <c r="Z778" s="1">
        <v>2481</v>
      </c>
      <c r="AA778">
        <v>832</v>
      </c>
      <c r="AB778" s="1" t="s">
        <v>25</v>
      </c>
      <c r="AC778" s="1" t="s">
        <v>1093</v>
      </c>
      <c r="AD778" s="1">
        <v>58</v>
      </c>
      <c r="AE778" s="3" t="s">
        <v>37</v>
      </c>
    </row>
    <row r="779" spans="1:31" ht="15.75" customHeight="1" x14ac:dyDescent="0.35">
      <c r="A779" s="1" t="s">
        <v>73</v>
      </c>
      <c r="B779" s="1" t="s">
        <v>930</v>
      </c>
      <c r="C779" t="s">
        <v>1084</v>
      </c>
      <c r="D779" s="1" t="s">
        <v>931</v>
      </c>
      <c r="E779" s="5">
        <v>45016</v>
      </c>
      <c r="F779" s="4" t="str">
        <f>IF(ISNUMBER(Table13[[#This Row],[Claim_Date2]]),"",Table13[[#This Row],[Claim_Date2]])</f>
        <v/>
      </c>
      <c r="G779" s="4" t="s">
        <v>1098</v>
      </c>
      <c r="H779" s="4" t="str">
        <f>LEFT(Table13[[#This Row],[Values Col 1]],3)</f>
        <v/>
      </c>
      <c r="I779" s="4" t="s">
        <v>1098</v>
      </c>
      <c r="J779" s="4" t="str">
        <f>MID(Table13[[#This Row],[Function Col]],5,2)</f>
        <v/>
      </c>
      <c r="K779" s="4" t="s">
        <v>1098</v>
      </c>
      <c r="L779" s="4" t="str">
        <f>RIGHT(Table13[[#This Row],[Function Col]],4)</f>
        <v/>
      </c>
      <c r="M779" s="4" t="s">
        <v>1098</v>
      </c>
      <c r="N779" s="4" t="str">
        <f>IF(Table13[[#This Row],[Function Col5]]="","",_xlfn.CONCAT(Table13[[#This Row],[Day Col]],"/",Table13[[#This Row],[Month Col]],"/",Table13[[#This Row],[Year Col]]))</f>
        <v/>
      </c>
      <c r="O779" s="4" t="s">
        <v>1098</v>
      </c>
      <c r="P779" s="4">
        <f>IF(ISNUMBER(Table13[[#This Row],[Claim_Date2]]),Table13[[#This Row],[Claim_Date2]],Table13[[#This Row],[Function Col32]])</f>
        <v>45016</v>
      </c>
      <c r="Q779" s="4">
        <v>45016</v>
      </c>
      <c r="R779" s="1" t="s">
        <v>85</v>
      </c>
      <c r="S779" s="1" t="s">
        <v>31</v>
      </c>
      <c r="T779" t="s">
        <v>1086</v>
      </c>
      <c r="W779">
        <f>IF(Table1[[#This Row],[Claim_Amount]]&lt;0,0,Table1[[#This Row],[Claim_Amount]])</f>
        <v>0</v>
      </c>
      <c r="X779" t="str">
        <f>IF(Table1[[#This Row],[Column1]]=0,"",Table1[[#This Row],[Column1]])</f>
        <v/>
      </c>
      <c r="Y779" t="s">
        <v>1098</v>
      </c>
      <c r="Z779">
        <v>2481</v>
      </c>
      <c r="AA779">
        <v>832</v>
      </c>
      <c r="AB779" s="1" t="s">
        <v>1091</v>
      </c>
      <c r="AC779" s="1" t="s">
        <v>18</v>
      </c>
      <c r="AD779" s="1">
        <v>25</v>
      </c>
      <c r="AE779" s="3" t="s">
        <v>27</v>
      </c>
    </row>
    <row r="780" spans="1:31" ht="15.75" customHeight="1" x14ac:dyDescent="0.35">
      <c r="A780" s="1" t="s">
        <v>187</v>
      </c>
      <c r="B780" t="s">
        <v>1083</v>
      </c>
      <c r="C780" t="s">
        <v>1084</v>
      </c>
      <c r="D780" s="1" t="s">
        <v>874</v>
      </c>
      <c r="E780" s="5">
        <v>45154</v>
      </c>
      <c r="F780" s="4" t="str">
        <f>IF(ISNUMBER(Table13[[#This Row],[Claim_Date2]]),"",Table13[[#This Row],[Claim_Date2]])</f>
        <v/>
      </c>
      <c r="G780" s="4" t="s">
        <v>1098</v>
      </c>
      <c r="H780" s="4" t="str">
        <f>LEFT(Table13[[#This Row],[Values Col 1]],3)</f>
        <v/>
      </c>
      <c r="I780" s="4" t="s">
        <v>1098</v>
      </c>
      <c r="J780" s="4" t="str">
        <f>MID(Table13[[#This Row],[Function Col]],5,2)</f>
        <v/>
      </c>
      <c r="K780" s="4" t="s">
        <v>1098</v>
      </c>
      <c r="L780" s="4" t="str">
        <f>RIGHT(Table13[[#This Row],[Function Col]],4)</f>
        <v/>
      </c>
      <c r="M780" s="4" t="s">
        <v>1098</v>
      </c>
      <c r="N780" s="4" t="str">
        <f>IF(Table13[[#This Row],[Function Col5]]="","",_xlfn.CONCAT(Table13[[#This Row],[Day Col]],"/",Table13[[#This Row],[Month Col]],"/",Table13[[#This Row],[Year Col]]))</f>
        <v/>
      </c>
      <c r="O780" s="4" t="s">
        <v>1098</v>
      </c>
      <c r="P780" s="4">
        <f>IF(ISNUMBER(Table13[[#This Row],[Claim_Date2]]),Table13[[#This Row],[Claim_Date2]],Table13[[#This Row],[Function Col32]])</f>
        <v>45154</v>
      </c>
      <c r="Q780" s="4">
        <v>45154</v>
      </c>
      <c r="R780" s="1" t="s">
        <v>92</v>
      </c>
      <c r="S780" s="1" t="s">
        <v>31</v>
      </c>
      <c r="T780" s="1" t="s">
        <v>41</v>
      </c>
      <c r="U780" s="1"/>
      <c r="W780">
        <f>IF(Table1[[#This Row],[Claim_Amount]]&lt;0,0,Table1[[#This Row],[Claim_Amount]])</f>
        <v>0</v>
      </c>
      <c r="X780" t="str">
        <f>IF(Table1[[#This Row],[Column1]]=0,"",Table1[[#This Row],[Column1]])</f>
        <v/>
      </c>
      <c r="Y780" t="s">
        <v>1098</v>
      </c>
      <c r="Z780">
        <v>2481</v>
      </c>
      <c r="AA780">
        <v>832</v>
      </c>
      <c r="AB780" s="1" t="s">
        <v>17</v>
      </c>
      <c r="AC780" s="1" t="s">
        <v>57</v>
      </c>
      <c r="AD780">
        <v>9</v>
      </c>
      <c r="AE780" s="3" t="s">
        <v>1097</v>
      </c>
    </row>
    <row r="781" spans="1:31" ht="15.75" customHeight="1" x14ac:dyDescent="0.35">
      <c r="A781" s="1" t="s">
        <v>242</v>
      </c>
      <c r="B781" t="s">
        <v>1083</v>
      </c>
      <c r="C781" t="s">
        <v>1084</v>
      </c>
      <c r="D781" s="1" t="s">
        <v>794</v>
      </c>
      <c r="E781" s="5">
        <v>45118</v>
      </c>
      <c r="F781" s="4" t="str">
        <f>IF(ISNUMBER(Table13[[#This Row],[Claim_Date2]]),"",Table13[[#This Row],[Claim_Date2]])</f>
        <v/>
      </c>
      <c r="G781" s="4" t="s">
        <v>1098</v>
      </c>
      <c r="H781" s="4" t="str">
        <f>LEFT(Table13[[#This Row],[Values Col 1]],3)</f>
        <v/>
      </c>
      <c r="I781" s="4" t="s">
        <v>1098</v>
      </c>
      <c r="J781" s="4" t="str">
        <f>MID(Table13[[#This Row],[Function Col]],5,2)</f>
        <v/>
      </c>
      <c r="K781" s="4" t="s">
        <v>1098</v>
      </c>
      <c r="L781" s="4" t="str">
        <f>RIGHT(Table13[[#This Row],[Function Col]],4)</f>
        <v/>
      </c>
      <c r="M781" s="4" t="s">
        <v>1098</v>
      </c>
      <c r="N781" s="4" t="str">
        <f>IF(Table13[[#This Row],[Function Col5]]="","",_xlfn.CONCAT(Table13[[#This Row],[Day Col]],"/",Table13[[#This Row],[Month Col]],"/",Table13[[#This Row],[Year Col]]))</f>
        <v/>
      </c>
      <c r="O781" s="4" t="s">
        <v>1098</v>
      </c>
      <c r="P781" s="4">
        <f>IF(ISNUMBER(Table13[[#This Row],[Claim_Date2]]),Table13[[#This Row],[Claim_Date2]],Table13[[#This Row],[Function Col32]])</f>
        <v>45118</v>
      </c>
      <c r="Q781" s="4">
        <v>45118</v>
      </c>
      <c r="R781" s="1" t="s">
        <v>77</v>
      </c>
      <c r="S781" s="1" t="s">
        <v>93</v>
      </c>
      <c r="T781" s="1" t="s">
        <v>48</v>
      </c>
      <c r="U781" s="1"/>
      <c r="V781" s="1">
        <v>-176</v>
      </c>
      <c r="W781" s="1">
        <f>IF(Table1[[#This Row],[Claim_Amount]]&lt;0,0,Table1[[#This Row],[Claim_Amount]])</f>
        <v>0</v>
      </c>
      <c r="X781" s="1" t="str">
        <f>IF(Table1[[#This Row],[Column1]]=0,"",Table1[[#This Row],[Column1]])</f>
        <v/>
      </c>
      <c r="Y781" s="1" t="s">
        <v>1098</v>
      </c>
      <c r="Z781" s="1">
        <v>2481</v>
      </c>
      <c r="AA781">
        <v>832</v>
      </c>
      <c r="AB781" s="1" t="s">
        <v>25</v>
      </c>
      <c r="AC781" s="1" t="s">
        <v>26</v>
      </c>
      <c r="AD781" s="1">
        <v>12</v>
      </c>
      <c r="AE781" s="3" t="s">
        <v>27</v>
      </c>
    </row>
    <row r="782" spans="1:31" ht="15.75" customHeight="1" x14ac:dyDescent="0.35">
      <c r="A782" s="1" t="s">
        <v>20</v>
      </c>
      <c r="B782" t="s">
        <v>1083</v>
      </c>
      <c r="C782" t="s">
        <v>1084</v>
      </c>
      <c r="D782" s="1" t="s">
        <v>777</v>
      </c>
      <c r="E782" s="5" t="s">
        <v>777</v>
      </c>
      <c r="F782" s="4" t="str">
        <f>IF(ISNUMBER(Table13[[#This Row],[Claim_Date2]]),"",Table13[[#This Row],[Claim_Date2]])</f>
        <v>Jan 13 2023</v>
      </c>
      <c r="G782" s="4" t="s">
        <v>777</v>
      </c>
      <c r="H782" s="4" t="str">
        <f>LEFT(Table13[[#This Row],[Values Col 1]],3)</f>
        <v>Jan</v>
      </c>
      <c r="I782" s="4" t="s">
        <v>1107</v>
      </c>
      <c r="J782" s="4" t="str">
        <f>MID(Table13[[#This Row],[Function Col]],5,2)</f>
        <v>13</v>
      </c>
      <c r="K782" s="4" t="s">
        <v>1114</v>
      </c>
      <c r="L782" s="4" t="str">
        <f>RIGHT(Table13[[#This Row],[Function Col]],4)</f>
        <v>2023</v>
      </c>
      <c r="M782" s="4" t="s">
        <v>1146</v>
      </c>
      <c r="N782" s="4" t="str">
        <f>IF(Table13[[#This Row],[Function Col5]]="","",_xlfn.CONCAT(Table13[[#This Row],[Day Col]],"/",Table13[[#This Row],[Month Col]],"/",Table13[[#This Row],[Year Col]]))</f>
        <v>13/Jan/2023</v>
      </c>
      <c r="O782" s="4" t="s">
        <v>1296</v>
      </c>
      <c r="P782" s="4" t="str">
        <f>IF(ISNUMBER(Table13[[#This Row],[Claim_Date2]]),Table13[[#This Row],[Claim_Date2]],Table13[[#This Row],[Function Col32]])</f>
        <v>13/Jan/2023</v>
      </c>
      <c r="Q782" s="4">
        <v>44939</v>
      </c>
      <c r="R782" s="1" t="s">
        <v>85</v>
      </c>
      <c r="S782" s="1" t="s">
        <v>53</v>
      </c>
      <c r="T782" s="1" t="s">
        <v>54</v>
      </c>
      <c r="U782" s="1"/>
      <c r="W782">
        <f>IF(Table1[[#This Row],[Claim_Amount]]&lt;0,0,Table1[[#This Row],[Claim_Amount]])</f>
        <v>0</v>
      </c>
      <c r="X782" t="str">
        <f>IF(Table1[[#This Row],[Column1]]=0,"",Table1[[#This Row],[Column1]])</f>
        <v/>
      </c>
      <c r="Y782" t="s">
        <v>1098</v>
      </c>
      <c r="Z782">
        <v>2481</v>
      </c>
      <c r="AA782">
        <v>832</v>
      </c>
      <c r="AB782" s="1" t="s">
        <v>17</v>
      </c>
      <c r="AC782" s="1" t="s">
        <v>18</v>
      </c>
      <c r="AD782">
        <v>9</v>
      </c>
      <c r="AE782" s="3" t="s">
        <v>37</v>
      </c>
    </row>
    <row r="783" spans="1:31" ht="15.75" customHeight="1" x14ac:dyDescent="0.35">
      <c r="A783" s="1" t="s">
        <v>170</v>
      </c>
      <c r="B783" s="1" t="s">
        <v>932</v>
      </c>
      <c r="C783" t="s">
        <v>1084</v>
      </c>
      <c r="D783" s="1" t="s">
        <v>854</v>
      </c>
      <c r="E783" s="5" t="s">
        <v>854</v>
      </c>
      <c r="F783" s="4" t="str">
        <f>IF(ISNUMBER(Table13[[#This Row],[Claim_Date2]]),"",Table13[[#This Row],[Claim_Date2]])</f>
        <v>Nov 10 2023</v>
      </c>
      <c r="G783" s="4" t="s">
        <v>854</v>
      </c>
      <c r="H783" s="4" t="str">
        <f>LEFT(Table13[[#This Row],[Values Col 1]],3)</f>
        <v>Nov</v>
      </c>
      <c r="I783" s="4" t="s">
        <v>1105</v>
      </c>
      <c r="J783" s="4" t="str">
        <f>MID(Table13[[#This Row],[Function Col]],5,2)</f>
        <v>10</v>
      </c>
      <c r="K783" s="4" t="s">
        <v>1128</v>
      </c>
      <c r="L783" s="4" t="str">
        <f>RIGHT(Table13[[#This Row],[Function Col]],4)</f>
        <v>2023</v>
      </c>
      <c r="M783" s="4" t="s">
        <v>1146</v>
      </c>
      <c r="N783" s="4" t="str">
        <f>IF(Table13[[#This Row],[Function Col5]]="","",_xlfn.CONCAT(Table13[[#This Row],[Day Col]],"/",Table13[[#This Row],[Month Col]],"/",Table13[[#This Row],[Year Col]]))</f>
        <v>10/Nov/2023</v>
      </c>
      <c r="O783" s="4" t="s">
        <v>1311</v>
      </c>
      <c r="P783" s="4" t="str">
        <f>IF(ISNUMBER(Table13[[#This Row],[Claim_Date2]]),Table13[[#This Row],[Claim_Date2]],Table13[[#This Row],[Function Col32]])</f>
        <v>10/Nov/2023</v>
      </c>
      <c r="Q783" s="4">
        <v>45240</v>
      </c>
      <c r="R783" s="1" t="s">
        <v>16</v>
      </c>
      <c r="S783" t="s">
        <v>1085</v>
      </c>
      <c r="T783" s="1" t="s">
        <v>61</v>
      </c>
      <c r="U783" s="1"/>
      <c r="V783" s="1">
        <v>3397.14</v>
      </c>
      <c r="W783" s="1">
        <f>IF(Table1[[#This Row],[Claim_Amount]]&lt;0,0,Table1[[#This Row],[Claim_Amount]])</f>
        <v>3397.14</v>
      </c>
      <c r="X783" s="1">
        <f>IF(Table1[[#This Row],[Column1]]=0,"",Table1[[#This Row],[Column1]])</f>
        <v>3397.14</v>
      </c>
      <c r="Y783" s="1">
        <v>3397.14</v>
      </c>
      <c r="Z783" s="1">
        <v>3397.14</v>
      </c>
      <c r="AA783" s="1">
        <v>156.26</v>
      </c>
      <c r="AB783" s="1" t="s">
        <v>42</v>
      </c>
      <c r="AC783" s="1" t="s">
        <v>26</v>
      </c>
      <c r="AD783">
        <v>9</v>
      </c>
      <c r="AE783" s="3" t="s">
        <v>65</v>
      </c>
    </row>
    <row r="784" spans="1:31" ht="15.75" customHeight="1" x14ac:dyDescent="0.35">
      <c r="A784" s="1" t="s">
        <v>148</v>
      </c>
      <c r="B784" s="1" t="s">
        <v>933</v>
      </c>
      <c r="C784" s="1" t="s">
        <v>414</v>
      </c>
      <c r="D784" s="1" t="s">
        <v>934</v>
      </c>
      <c r="E784" s="5" t="s">
        <v>934</v>
      </c>
      <c r="F784" s="4" t="str">
        <f>IF(ISNUMBER(Table13[[#This Row],[Claim_Date2]]),"",Table13[[#This Row],[Claim_Date2]])</f>
        <v>Jun 11 2023</v>
      </c>
      <c r="G784" s="4" t="s">
        <v>934</v>
      </c>
      <c r="H784" s="4" t="str">
        <f>LEFT(Table13[[#This Row],[Values Col 1]],3)</f>
        <v>Jun</v>
      </c>
      <c r="I784" s="4" t="s">
        <v>1108</v>
      </c>
      <c r="J784" s="4" t="str">
        <f>MID(Table13[[#This Row],[Function Col]],5,2)</f>
        <v>11</v>
      </c>
      <c r="K784" s="4" t="s">
        <v>1121</v>
      </c>
      <c r="L784" s="4" t="str">
        <f>RIGHT(Table13[[#This Row],[Function Col]],4)</f>
        <v>2023</v>
      </c>
      <c r="M784" s="4" t="s">
        <v>1146</v>
      </c>
      <c r="N784" s="4" t="str">
        <f>IF(Table13[[#This Row],[Function Col5]]="","",_xlfn.CONCAT(Table13[[#This Row],[Day Col]],"/",Table13[[#This Row],[Month Col]],"/",Table13[[#This Row],[Year Col]]))</f>
        <v>11/Jun/2023</v>
      </c>
      <c r="O784" s="4" t="s">
        <v>1336</v>
      </c>
      <c r="P784" s="4" t="str">
        <f>IF(ISNUMBER(Table13[[#This Row],[Claim_Date2]]),Table13[[#This Row],[Claim_Date2]],Table13[[#This Row],[Function Col32]])</f>
        <v>11/Jun/2023</v>
      </c>
      <c r="Q784" s="4">
        <v>45088</v>
      </c>
      <c r="R784" s="1" t="s">
        <v>85</v>
      </c>
      <c r="S784" s="1" t="s">
        <v>53</v>
      </c>
      <c r="T784" s="1" t="s">
        <v>48</v>
      </c>
      <c r="U784" s="1"/>
      <c r="W784">
        <f>IF(Table1[[#This Row],[Claim_Amount]]&lt;0,0,Table1[[#This Row],[Claim_Amount]])</f>
        <v>0</v>
      </c>
      <c r="X784" t="str">
        <f>IF(Table1[[#This Row],[Column1]]=0,"",Table1[[#This Row],[Column1]])</f>
        <v/>
      </c>
      <c r="Y784" t="s">
        <v>1098</v>
      </c>
      <c r="Z784">
        <v>2481</v>
      </c>
      <c r="AA784">
        <v>832</v>
      </c>
      <c r="AB784" s="1" t="s">
        <v>17</v>
      </c>
      <c r="AC784" s="1" t="s">
        <v>18</v>
      </c>
      <c r="AD784">
        <v>9</v>
      </c>
      <c r="AE784" s="3" t="s">
        <v>19</v>
      </c>
    </row>
    <row r="785" spans="1:31" ht="15.75" customHeight="1" x14ac:dyDescent="0.35">
      <c r="A785" s="1" t="s">
        <v>73</v>
      </c>
      <c r="B785" t="s">
        <v>1083</v>
      </c>
      <c r="C785" t="s">
        <v>1084</v>
      </c>
      <c r="D785" s="1" t="s">
        <v>569</v>
      </c>
      <c r="E785" s="5">
        <v>45285</v>
      </c>
      <c r="F785" s="4" t="str">
        <f>IF(ISNUMBER(Table13[[#This Row],[Claim_Date2]]),"",Table13[[#This Row],[Claim_Date2]])</f>
        <v/>
      </c>
      <c r="G785" s="4" t="s">
        <v>1098</v>
      </c>
      <c r="H785" s="4" t="str">
        <f>LEFT(Table13[[#This Row],[Values Col 1]],3)</f>
        <v/>
      </c>
      <c r="I785" s="4" t="s">
        <v>1098</v>
      </c>
      <c r="J785" s="4" t="str">
        <f>MID(Table13[[#This Row],[Function Col]],5,2)</f>
        <v/>
      </c>
      <c r="K785" s="4" t="s">
        <v>1098</v>
      </c>
      <c r="L785" s="4" t="str">
        <f>RIGHT(Table13[[#This Row],[Function Col]],4)</f>
        <v/>
      </c>
      <c r="M785" s="4" t="s">
        <v>1098</v>
      </c>
      <c r="N785" s="4" t="str">
        <f>IF(Table13[[#This Row],[Function Col5]]="","",_xlfn.CONCAT(Table13[[#This Row],[Day Col]],"/",Table13[[#This Row],[Month Col]],"/",Table13[[#This Row],[Year Col]]))</f>
        <v/>
      </c>
      <c r="O785" s="4" t="s">
        <v>1098</v>
      </c>
      <c r="P785" s="4">
        <f>IF(ISNUMBER(Table13[[#This Row],[Claim_Date2]]),Table13[[#This Row],[Claim_Date2]],Table13[[#This Row],[Function Col32]])</f>
        <v>45285</v>
      </c>
      <c r="Q785" s="4">
        <v>45285</v>
      </c>
      <c r="R785" s="1" t="s">
        <v>16</v>
      </c>
      <c r="S785" t="s">
        <v>1085</v>
      </c>
      <c r="T785" s="1" t="s">
        <v>24</v>
      </c>
      <c r="U785" s="1"/>
      <c r="V785" s="1">
        <v>4550.46</v>
      </c>
      <c r="W785" s="1">
        <f>IF(Table1[[#This Row],[Claim_Amount]]&lt;0,0,Table1[[#This Row],[Claim_Amount]])</f>
        <v>4550.46</v>
      </c>
      <c r="X785" s="1">
        <f>IF(Table1[[#This Row],[Column1]]=0,"",Table1[[#This Row],[Column1]])</f>
        <v>4550.46</v>
      </c>
      <c r="Y785" s="1">
        <v>4550.46</v>
      </c>
      <c r="Z785" s="1">
        <v>4550.46</v>
      </c>
      <c r="AA785">
        <v>832</v>
      </c>
      <c r="AB785" s="1" t="s">
        <v>25</v>
      </c>
      <c r="AC785" s="1" t="s">
        <v>1093</v>
      </c>
      <c r="AD785" s="1">
        <v>30</v>
      </c>
      <c r="AE785" s="3" t="s">
        <v>19</v>
      </c>
    </row>
    <row r="786" spans="1:31" ht="15.75" customHeight="1" x14ac:dyDescent="0.35">
      <c r="A786" s="1" t="s">
        <v>66</v>
      </c>
      <c r="B786" t="s">
        <v>1083</v>
      </c>
      <c r="C786" s="1" t="s">
        <v>218</v>
      </c>
      <c r="D786" s="1" t="s">
        <v>935</v>
      </c>
      <c r="E786" s="5" t="s">
        <v>935</v>
      </c>
      <c r="F786" s="4" t="str">
        <f>IF(ISNUMBER(Table13[[#This Row],[Claim_Date2]]),"",Table13[[#This Row],[Claim_Date2]])</f>
        <v>Sep 09 2023</v>
      </c>
      <c r="G786" s="4" t="s">
        <v>935</v>
      </c>
      <c r="H786" s="4" t="str">
        <f>LEFT(Table13[[#This Row],[Values Col 1]],3)</f>
        <v>Sep</v>
      </c>
      <c r="I786" s="4" t="s">
        <v>1102</v>
      </c>
      <c r="J786" s="4" t="str">
        <f>MID(Table13[[#This Row],[Function Col]],5,2)</f>
        <v>09</v>
      </c>
      <c r="K786" s="4" t="s">
        <v>1127</v>
      </c>
      <c r="L786" s="4" t="str">
        <f>RIGHT(Table13[[#This Row],[Function Col]],4)</f>
        <v>2023</v>
      </c>
      <c r="M786" s="4" t="s">
        <v>1146</v>
      </c>
      <c r="N786" s="4" t="str">
        <f>IF(Table13[[#This Row],[Function Col5]]="","",_xlfn.CONCAT(Table13[[#This Row],[Day Col]],"/",Table13[[#This Row],[Month Col]],"/",Table13[[#This Row],[Year Col]]))</f>
        <v>09/Sep/2023</v>
      </c>
      <c r="O786" s="4" t="s">
        <v>1337</v>
      </c>
      <c r="P786" s="4" t="str">
        <f>IF(ISNUMBER(Table13[[#This Row],[Claim_Date2]]),Table13[[#This Row],[Claim_Date2]],Table13[[#This Row],[Function Col32]])</f>
        <v>09/Sep/2023</v>
      </c>
      <c r="Q786" s="4">
        <v>45178</v>
      </c>
      <c r="R786" s="1" t="s">
        <v>30</v>
      </c>
      <c r="S786" s="1" t="s">
        <v>31</v>
      </c>
      <c r="T786" s="1" t="s">
        <v>41</v>
      </c>
      <c r="U786" s="1"/>
      <c r="V786" s="1">
        <v>4939.6899999999996</v>
      </c>
      <c r="W786" s="1">
        <f>IF(Table1[[#This Row],[Claim_Amount]]&lt;0,0,Table1[[#This Row],[Claim_Amount]])</f>
        <v>4939.6899999999996</v>
      </c>
      <c r="X786" s="1">
        <f>IF(Table1[[#This Row],[Column1]]=0,"",Table1[[#This Row],[Column1]])</f>
        <v>4939.6899999999996</v>
      </c>
      <c r="Y786" s="1">
        <v>4939.6899999999996</v>
      </c>
      <c r="Z786" s="1">
        <v>4939.6899999999996</v>
      </c>
      <c r="AA786">
        <v>832</v>
      </c>
      <c r="AB786" s="1" t="s">
        <v>42</v>
      </c>
      <c r="AC786" s="1" t="s">
        <v>1093</v>
      </c>
      <c r="AD786" s="1">
        <v>58</v>
      </c>
      <c r="AE786" s="3" t="s">
        <v>19</v>
      </c>
    </row>
    <row r="787" spans="1:31" ht="15.75" customHeight="1" x14ac:dyDescent="0.35">
      <c r="A787" s="1" t="s">
        <v>179</v>
      </c>
      <c r="B787" s="1" t="s">
        <v>462</v>
      </c>
      <c r="C787" t="s">
        <v>1084</v>
      </c>
      <c r="D787" s="1" t="s">
        <v>142</v>
      </c>
      <c r="E787" s="5">
        <v>45291</v>
      </c>
      <c r="F787" s="4" t="str">
        <f>IF(ISNUMBER(Table13[[#This Row],[Claim_Date2]]),"",Table13[[#This Row],[Claim_Date2]])</f>
        <v/>
      </c>
      <c r="G787" s="4" t="s">
        <v>1098</v>
      </c>
      <c r="H787" s="4" t="str">
        <f>LEFT(Table13[[#This Row],[Values Col 1]],3)</f>
        <v/>
      </c>
      <c r="I787" s="4" t="s">
        <v>1098</v>
      </c>
      <c r="J787" s="4" t="str">
        <f>MID(Table13[[#This Row],[Function Col]],5,2)</f>
        <v/>
      </c>
      <c r="K787" s="4" t="s">
        <v>1098</v>
      </c>
      <c r="L787" s="4" t="str">
        <f>RIGHT(Table13[[#This Row],[Function Col]],4)</f>
        <v/>
      </c>
      <c r="M787" s="4" t="s">
        <v>1098</v>
      </c>
      <c r="N787" s="4" t="str">
        <f>IF(Table13[[#This Row],[Function Col5]]="","",_xlfn.CONCAT(Table13[[#This Row],[Day Col]],"/",Table13[[#This Row],[Month Col]],"/",Table13[[#This Row],[Year Col]]))</f>
        <v/>
      </c>
      <c r="O787" s="4" t="s">
        <v>1098</v>
      </c>
      <c r="P787" s="4">
        <f>IF(ISNUMBER(Table13[[#This Row],[Claim_Date2]]),Table13[[#This Row],[Claim_Date2]],Table13[[#This Row],[Function Col32]])</f>
        <v>45291</v>
      </c>
      <c r="Q787" s="4">
        <v>45291</v>
      </c>
      <c r="R787" s="1" t="s">
        <v>30</v>
      </c>
      <c r="S787" s="1" t="s">
        <v>53</v>
      </c>
      <c r="T787" s="1" t="s">
        <v>61</v>
      </c>
      <c r="U787" s="1"/>
      <c r="V787" s="1">
        <v>-161</v>
      </c>
      <c r="W787" s="1">
        <f>IF(Table1[[#This Row],[Claim_Amount]]&lt;0,0,Table1[[#This Row],[Claim_Amount]])</f>
        <v>0</v>
      </c>
      <c r="X787" s="1" t="str">
        <f>IF(Table1[[#This Row],[Column1]]=0,"",Table1[[#This Row],[Column1]])</f>
        <v/>
      </c>
      <c r="Y787" s="1" t="s">
        <v>1098</v>
      </c>
      <c r="Z787" s="1">
        <v>2481</v>
      </c>
      <c r="AA787">
        <v>832</v>
      </c>
      <c r="AB787" s="1" t="s">
        <v>42</v>
      </c>
      <c r="AC787" s="1" t="s">
        <v>18</v>
      </c>
      <c r="AD787">
        <v>9</v>
      </c>
      <c r="AE787" s="3" t="s">
        <v>1097</v>
      </c>
    </row>
    <row r="788" spans="1:31" ht="15.75" customHeight="1" x14ac:dyDescent="0.35">
      <c r="A788" s="1" t="s">
        <v>105</v>
      </c>
      <c r="B788" t="s">
        <v>1083</v>
      </c>
      <c r="C788" s="1" t="s">
        <v>632</v>
      </c>
      <c r="D788" s="1" t="s">
        <v>298</v>
      </c>
      <c r="E788" s="5">
        <v>45049</v>
      </c>
      <c r="F788" s="4" t="str">
        <f>IF(ISNUMBER(Table13[[#This Row],[Claim_Date2]]),"",Table13[[#This Row],[Claim_Date2]])</f>
        <v/>
      </c>
      <c r="G788" s="4" t="s">
        <v>1098</v>
      </c>
      <c r="H788" s="4" t="str">
        <f>LEFT(Table13[[#This Row],[Values Col 1]],3)</f>
        <v/>
      </c>
      <c r="I788" s="4" t="s">
        <v>1098</v>
      </c>
      <c r="J788" s="4" t="str">
        <f>MID(Table13[[#This Row],[Function Col]],5,2)</f>
        <v/>
      </c>
      <c r="K788" s="4" t="s">
        <v>1098</v>
      </c>
      <c r="L788" s="4" t="str">
        <f>RIGHT(Table13[[#This Row],[Function Col]],4)</f>
        <v/>
      </c>
      <c r="M788" s="4" t="s">
        <v>1098</v>
      </c>
      <c r="N788" s="4" t="str">
        <f>IF(Table13[[#This Row],[Function Col5]]="","",_xlfn.CONCAT(Table13[[#This Row],[Day Col]],"/",Table13[[#This Row],[Month Col]],"/",Table13[[#This Row],[Year Col]]))</f>
        <v/>
      </c>
      <c r="O788" s="4" t="s">
        <v>1098</v>
      </c>
      <c r="P788" s="4">
        <f>IF(ISNUMBER(Table13[[#This Row],[Claim_Date2]]),Table13[[#This Row],[Claim_Date2]],Table13[[#This Row],[Function Col32]])</f>
        <v>45049</v>
      </c>
      <c r="Q788" s="4">
        <v>45049</v>
      </c>
      <c r="R788" s="1" t="s">
        <v>92</v>
      </c>
      <c r="S788" s="1" t="s">
        <v>53</v>
      </c>
      <c r="T788" s="1" t="s">
        <v>48</v>
      </c>
      <c r="U788" s="1"/>
      <c r="V788" s="1">
        <v>-79</v>
      </c>
      <c r="W788" s="1">
        <f>IF(Table1[[#This Row],[Claim_Amount]]&lt;0,0,Table1[[#This Row],[Claim_Amount]])</f>
        <v>0</v>
      </c>
      <c r="X788" s="1" t="str">
        <f>IF(Table1[[#This Row],[Column1]]=0,"",Table1[[#This Row],[Column1]])</f>
        <v/>
      </c>
      <c r="Y788" s="1" t="s">
        <v>1098</v>
      </c>
      <c r="Z788" s="1">
        <v>2481</v>
      </c>
      <c r="AA788">
        <v>832</v>
      </c>
      <c r="AB788" s="1" t="s">
        <v>1091</v>
      </c>
      <c r="AC788" s="1" t="s">
        <v>26</v>
      </c>
      <c r="AD788">
        <v>9</v>
      </c>
      <c r="AE788" s="3" t="s">
        <v>19</v>
      </c>
    </row>
    <row r="789" spans="1:31" ht="15.75" customHeight="1" x14ac:dyDescent="0.35">
      <c r="A789" s="1" t="s">
        <v>148</v>
      </c>
      <c r="B789" s="1" t="s">
        <v>936</v>
      </c>
      <c r="C789" t="s">
        <v>1084</v>
      </c>
      <c r="D789" s="1" t="s">
        <v>169</v>
      </c>
      <c r="E789" s="5">
        <v>45167</v>
      </c>
      <c r="F789" s="4" t="str">
        <f>IF(ISNUMBER(Table13[[#This Row],[Claim_Date2]]),"",Table13[[#This Row],[Claim_Date2]])</f>
        <v/>
      </c>
      <c r="G789" s="4" t="s">
        <v>1098</v>
      </c>
      <c r="H789" s="4" t="str">
        <f>LEFT(Table13[[#This Row],[Values Col 1]],3)</f>
        <v/>
      </c>
      <c r="I789" s="4" t="s">
        <v>1098</v>
      </c>
      <c r="J789" s="4" t="str">
        <f>MID(Table13[[#This Row],[Function Col]],5,2)</f>
        <v/>
      </c>
      <c r="K789" s="4" t="s">
        <v>1098</v>
      </c>
      <c r="L789" s="4" t="str">
        <f>RIGHT(Table13[[#This Row],[Function Col]],4)</f>
        <v/>
      </c>
      <c r="M789" s="4" t="s">
        <v>1098</v>
      </c>
      <c r="N789" s="4" t="str">
        <f>IF(Table13[[#This Row],[Function Col5]]="","",_xlfn.CONCAT(Table13[[#This Row],[Day Col]],"/",Table13[[#This Row],[Month Col]],"/",Table13[[#This Row],[Year Col]]))</f>
        <v/>
      </c>
      <c r="O789" s="4" t="s">
        <v>1098</v>
      </c>
      <c r="P789" s="4">
        <f>IF(ISNUMBER(Table13[[#This Row],[Claim_Date2]]),Table13[[#This Row],[Claim_Date2]],Table13[[#This Row],[Function Col32]])</f>
        <v>45167</v>
      </c>
      <c r="Q789" s="4">
        <v>45167</v>
      </c>
      <c r="R789" s="1" t="s">
        <v>16</v>
      </c>
      <c r="S789" t="s">
        <v>1085</v>
      </c>
      <c r="T789" t="s">
        <v>1086</v>
      </c>
      <c r="W789">
        <f>IF(Table1[[#This Row],[Claim_Amount]]&lt;0,0,Table1[[#This Row],[Claim_Amount]])</f>
        <v>0</v>
      </c>
      <c r="X789" t="str">
        <f>IF(Table1[[#This Row],[Column1]]=0,"",Table1[[#This Row],[Column1]])</f>
        <v/>
      </c>
      <c r="Y789" t="s">
        <v>1098</v>
      </c>
      <c r="Z789">
        <v>2481</v>
      </c>
      <c r="AA789">
        <v>832</v>
      </c>
      <c r="AB789" s="1" t="s">
        <v>25</v>
      </c>
      <c r="AC789" s="1" t="s">
        <v>1093</v>
      </c>
      <c r="AD789">
        <v>9</v>
      </c>
      <c r="AE789" s="3" t="s">
        <v>65</v>
      </c>
    </row>
    <row r="790" spans="1:31" ht="15.75" customHeight="1" x14ac:dyDescent="0.35">
      <c r="A790" s="1" t="s">
        <v>28</v>
      </c>
      <c r="B790" t="s">
        <v>1083</v>
      </c>
      <c r="C790" s="1" t="s">
        <v>228</v>
      </c>
      <c r="D790" s="1" t="s">
        <v>937</v>
      </c>
      <c r="E790" s="5">
        <v>45177</v>
      </c>
      <c r="F790" s="4" t="str">
        <f>IF(ISNUMBER(Table13[[#This Row],[Claim_Date2]]),"",Table13[[#This Row],[Claim_Date2]])</f>
        <v/>
      </c>
      <c r="G790" s="4" t="s">
        <v>1098</v>
      </c>
      <c r="H790" s="4" t="str">
        <f>LEFT(Table13[[#This Row],[Values Col 1]],3)</f>
        <v/>
      </c>
      <c r="I790" s="4" t="s">
        <v>1098</v>
      </c>
      <c r="J790" s="4" t="str">
        <f>MID(Table13[[#This Row],[Function Col]],5,2)</f>
        <v/>
      </c>
      <c r="K790" s="4" t="s">
        <v>1098</v>
      </c>
      <c r="L790" s="4" t="str">
        <f>RIGHT(Table13[[#This Row],[Function Col]],4)</f>
        <v/>
      </c>
      <c r="M790" s="4" t="s">
        <v>1098</v>
      </c>
      <c r="N790" s="4" t="str">
        <f>IF(Table13[[#This Row],[Function Col5]]="","",_xlfn.CONCAT(Table13[[#This Row],[Day Col]],"/",Table13[[#This Row],[Month Col]],"/",Table13[[#This Row],[Year Col]]))</f>
        <v/>
      </c>
      <c r="O790" s="4" t="s">
        <v>1098</v>
      </c>
      <c r="P790" s="4">
        <f>IF(ISNUMBER(Table13[[#This Row],[Claim_Date2]]),Table13[[#This Row],[Claim_Date2]],Table13[[#This Row],[Function Col32]])</f>
        <v>45177</v>
      </c>
      <c r="Q790" s="4">
        <v>45177</v>
      </c>
      <c r="R790" s="1" t="s">
        <v>77</v>
      </c>
      <c r="S790" t="s">
        <v>1085</v>
      </c>
      <c r="T790" s="1" t="s">
        <v>61</v>
      </c>
      <c r="U790" s="1"/>
      <c r="V790" s="1">
        <v>4037.1</v>
      </c>
      <c r="W790" s="1">
        <f>IF(Table1[[#This Row],[Claim_Amount]]&lt;0,0,Table1[[#This Row],[Claim_Amount]])</f>
        <v>4037.1</v>
      </c>
      <c r="X790" s="1">
        <f>IF(Table1[[#This Row],[Column1]]=0,"",Table1[[#This Row],[Column1]])</f>
        <v>4037.1</v>
      </c>
      <c r="Y790" s="1">
        <v>4037.1</v>
      </c>
      <c r="Z790" s="1">
        <v>4037.1</v>
      </c>
      <c r="AA790" s="1">
        <v>163.89</v>
      </c>
      <c r="AB790" s="1" t="s">
        <v>25</v>
      </c>
      <c r="AC790" s="1" t="s">
        <v>18</v>
      </c>
      <c r="AD790" s="1">
        <v>4</v>
      </c>
      <c r="AE790" s="3" t="s">
        <v>27</v>
      </c>
    </row>
    <row r="791" spans="1:31" ht="15.75" customHeight="1" x14ac:dyDescent="0.35">
      <c r="A791" s="1" t="s">
        <v>430</v>
      </c>
      <c r="B791" t="s">
        <v>1083</v>
      </c>
      <c r="C791" s="1" t="s">
        <v>453</v>
      </c>
      <c r="D791" s="1" t="s">
        <v>938</v>
      </c>
      <c r="E791" s="5" t="s">
        <v>938</v>
      </c>
      <c r="F791" s="4" t="str">
        <f>IF(ISNUMBER(Table13[[#This Row],[Claim_Date2]]),"",Table13[[#This Row],[Claim_Date2]])</f>
        <v>Jan 07 2023</v>
      </c>
      <c r="G791" s="4" t="s">
        <v>938</v>
      </c>
      <c r="H791" s="4" t="str">
        <f>LEFT(Table13[[#This Row],[Values Col 1]],3)</f>
        <v>Jan</v>
      </c>
      <c r="I791" s="4" t="s">
        <v>1107</v>
      </c>
      <c r="J791" s="4" t="str">
        <f>MID(Table13[[#This Row],[Function Col]],5,2)</f>
        <v>07</v>
      </c>
      <c r="K791" s="4" t="s">
        <v>1120</v>
      </c>
      <c r="L791" s="4" t="str">
        <f>RIGHT(Table13[[#This Row],[Function Col]],4)</f>
        <v>2023</v>
      </c>
      <c r="M791" s="4" t="s">
        <v>1146</v>
      </c>
      <c r="N791" s="4" t="str">
        <f>IF(Table13[[#This Row],[Function Col5]]="","",_xlfn.CONCAT(Table13[[#This Row],[Day Col]],"/",Table13[[#This Row],[Month Col]],"/",Table13[[#This Row],[Year Col]]))</f>
        <v>07/Jan/2023</v>
      </c>
      <c r="O791" s="4" t="s">
        <v>1338</v>
      </c>
      <c r="P791" s="4" t="str">
        <f>IF(ISNUMBER(Table13[[#This Row],[Claim_Date2]]),Table13[[#This Row],[Claim_Date2]],Table13[[#This Row],[Function Col32]])</f>
        <v>07/Jan/2023</v>
      </c>
      <c r="Q791" s="4">
        <v>44933</v>
      </c>
      <c r="R791" s="1" t="s">
        <v>85</v>
      </c>
      <c r="S791" s="1" t="s">
        <v>31</v>
      </c>
      <c r="T791" s="1" t="s">
        <v>54</v>
      </c>
      <c r="U791" s="1"/>
      <c r="V791" s="1">
        <v>-159</v>
      </c>
      <c r="W791" s="1">
        <f>IF(Table1[[#This Row],[Claim_Amount]]&lt;0,0,Table1[[#This Row],[Claim_Amount]])</f>
        <v>0</v>
      </c>
      <c r="X791" s="1" t="str">
        <f>IF(Table1[[#This Row],[Column1]]=0,"",Table1[[#This Row],[Column1]])</f>
        <v/>
      </c>
      <c r="Y791" s="1" t="s">
        <v>1098</v>
      </c>
      <c r="Z791" s="1">
        <v>2481</v>
      </c>
      <c r="AA791">
        <v>832</v>
      </c>
      <c r="AB791" s="1" t="s">
        <v>25</v>
      </c>
      <c r="AC791" s="1" t="s">
        <v>57</v>
      </c>
      <c r="AD791" s="1">
        <v>7</v>
      </c>
      <c r="AE791" s="3" t="s">
        <v>65</v>
      </c>
    </row>
    <row r="792" spans="1:31" ht="15.75" customHeight="1" x14ac:dyDescent="0.35">
      <c r="A792" s="1" t="s">
        <v>212</v>
      </c>
      <c r="B792" s="1" t="s">
        <v>939</v>
      </c>
      <c r="C792" s="1" t="s">
        <v>200</v>
      </c>
      <c r="D792" s="1" t="s">
        <v>634</v>
      </c>
      <c r="E792" s="5" t="s">
        <v>634</v>
      </c>
      <c r="F792" s="4" t="str">
        <f>IF(ISNUMBER(Table13[[#This Row],[Claim_Date2]]),"",Table13[[#This Row],[Claim_Date2]])</f>
        <v>Aug 10 2023</v>
      </c>
      <c r="G792" s="4" t="s">
        <v>634</v>
      </c>
      <c r="H792" s="4" t="str">
        <f>LEFT(Table13[[#This Row],[Values Col 1]],3)</f>
        <v>Aug</v>
      </c>
      <c r="I792" s="4" t="s">
        <v>1106</v>
      </c>
      <c r="J792" s="4" t="str">
        <f>MID(Table13[[#This Row],[Function Col]],5,2)</f>
        <v>10</v>
      </c>
      <c r="K792" s="4" t="s">
        <v>1128</v>
      </c>
      <c r="L792" s="4" t="str">
        <f>RIGHT(Table13[[#This Row],[Function Col]],4)</f>
        <v>2023</v>
      </c>
      <c r="M792" s="4" t="s">
        <v>1146</v>
      </c>
      <c r="N792" s="4" t="str">
        <f>IF(Table13[[#This Row],[Function Col5]]="","",_xlfn.CONCAT(Table13[[#This Row],[Day Col]],"/",Table13[[#This Row],[Month Col]],"/",Table13[[#This Row],[Year Col]]))</f>
        <v>10/Aug/2023</v>
      </c>
      <c r="O792" s="4" t="s">
        <v>1260</v>
      </c>
      <c r="P792" s="4" t="str">
        <f>IF(ISNUMBER(Table13[[#This Row],[Claim_Date2]]),Table13[[#This Row],[Claim_Date2]],Table13[[#This Row],[Function Col32]])</f>
        <v>10/Aug/2023</v>
      </c>
      <c r="Q792" s="4">
        <v>45148</v>
      </c>
      <c r="R792" s="1" t="s">
        <v>85</v>
      </c>
      <c r="S792" s="1" t="s">
        <v>93</v>
      </c>
      <c r="T792" s="1" t="s">
        <v>61</v>
      </c>
      <c r="U792" s="1"/>
      <c r="W792">
        <f>IF(Table1[[#This Row],[Claim_Amount]]&lt;0,0,Table1[[#This Row],[Claim_Amount]])</f>
        <v>0</v>
      </c>
      <c r="X792" t="str">
        <f>IF(Table1[[#This Row],[Column1]]=0,"",Table1[[#This Row],[Column1]])</f>
        <v/>
      </c>
      <c r="Y792" t="s">
        <v>1098</v>
      </c>
      <c r="Z792">
        <v>2481</v>
      </c>
      <c r="AA792" s="1">
        <v>3145.99</v>
      </c>
      <c r="AB792" s="1" t="s">
        <v>25</v>
      </c>
      <c r="AC792" s="1" t="s">
        <v>18</v>
      </c>
      <c r="AD792">
        <v>9</v>
      </c>
      <c r="AE792" s="3" t="s">
        <v>1097</v>
      </c>
    </row>
    <row r="793" spans="1:31" ht="15.75" customHeight="1" x14ac:dyDescent="0.35">
      <c r="A793" s="1" t="s">
        <v>137</v>
      </c>
      <c r="B793" t="s">
        <v>1083</v>
      </c>
      <c r="C793" s="1" t="s">
        <v>112</v>
      </c>
      <c r="D793" s="1" t="s">
        <v>940</v>
      </c>
      <c r="E793" s="5">
        <v>45153</v>
      </c>
      <c r="F793" s="4" t="str">
        <f>IF(ISNUMBER(Table13[[#This Row],[Claim_Date2]]),"",Table13[[#This Row],[Claim_Date2]])</f>
        <v/>
      </c>
      <c r="G793" s="4" t="s">
        <v>1098</v>
      </c>
      <c r="H793" s="4" t="str">
        <f>LEFT(Table13[[#This Row],[Values Col 1]],3)</f>
        <v/>
      </c>
      <c r="I793" s="4" t="s">
        <v>1098</v>
      </c>
      <c r="J793" s="4" t="str">
        <f>MID(Table13[[#This Row],[Function Col]],5,2)</f>
        <v/>
      </c>
      <c r="K793" s="4" t="s">
        <v>1098</v>
      </c>
      <c r="L793" s="4" t="str">
        <f>RIGHT(Table13[[#This Row],[Function Col]],4)</f>
        <v/>
      </c>
      <c r="M793" s="4" t="s">
        <v>1098</v>
      </c>
      <c r="N793" s="4" t="str">
        <f>IF(Table13[[#This Row],[Function Col5]]="","",_xlfn.CONCAT(Table13[[#This Row],[Day Col]],"/",Table13[[#This Row],[Month Col]],"/",Table13[[#This Row],[Year Col]]))</f>
        <v/>
      </c>
      <c r="O793" s="4" t="s">
        <v>1098</v>
      </c>
      <c r="P793" s="4">
        <f>IF(ISNUMBER(Table13[[#This Row],[Claim_Date2]]),Table13[[#This Row],[Claim_Date2]],Table13[[#This Row],[Function Col32]])</f>
        <v>45153</v>
      </c>
      <c r="Q793" s="4">
        <v>45153</v>
      </c>
      <c r="R793" s="1" t="s">
        <v>16</v>
      </c>
      <c r="S793" s="1" t="s">
        <v>93</v>
      </c>
      <c r="T793" s="1" t="s">
        <v>24</v>
      </c>
      <c r="U793" s="1"/>
      <c r="W793">
        <f>IF(Table1[[#This Row],[Claim_Amount]]&lt;0,0,Table1[[#This Row],[Claim_Amount]])</f>
        <v>0</v>
      </c>
      <c r="X793" t="str">
        <f>IF(Table1[[#This Row],[Column1]]=0,"",Table1[[#This Row],[Column1]])</f>
        <v/>
      </c>
      <c r="Y793" t="s">
        <v>1098</v>
      </c>
      <c r="Z793">
        <v>2481</v>
      </c>
      <c r="AA793">
        <v>832</v>
      </c>
      <c r="AB793" s="1" t="s">
        <v>25</v>
      </c>
      <c r="AC793" s="1" t="s">
        <v>18</v>
      </c>
      <c r="AD793">
        <v>9</v>
      </c>
      <c r="AE793" s="3" t="s">
        <v>65</v>
      </c>
    </row>
    <row r="794" spans="1:31" ht="15.75" customHeight="1" x14ac:dyDescent="0.35">
      <c r="A794" s="1" t="s">
        <v>132</v>
      </c>
      <c r="B794" t="s">
        <v>1083</v>
      </c>
      <c r="C794" t="s">
        <v>1084</v>
      </c>
      <c r="D794" s="1" t="s">
        <v>813</v>
      </c>
      <c r="E794" s="5" t="s">
        <v>813</v>
      </c>
      <c r="F794" s="4" t="str">
        <f>IF(ISNUMBER(Table13[[#This Row],[Claim_Date2]]),"",Table13[[#This Row],[Claim_Date2]])</f>
        <v>Sep 17 2023</v>
      </c>
      <c r="G794" s="4" t="s">
        <v>813</v>
      </c>
      <c r="H794" s="4" t="str">
        <f>LEFT(Table13[[#This Row],[Values Col 1]],3)</f>
        <v>Sep</v>
      </c>
      <c r="I794" s="4" t="s">
        <v>1102</v>
      </c>
      <c r="J794" s="4" t="str">
        <f>MID(Table13[[#This Row],[Function Col]],5,2)</f>
        <v>17</v>
      </c>
      <c r="K794" s="4" t="s">
        <v>1140</v>
      </c>
      <c r="L794" s="4" t="str">
        <f>RIGHT(Table13[[#This Row],[Function Col]],4)</f>
        <v>2023</v>
      </c>
      <c r="M794" s="4" t="s">
        <v>1146</v>
      </c>
      <c r="N794" s="4" t="str">
        <f>IF(Table13[[#This Row],[Function Col5]]="","",_xlfn.CONCAT(Table13[[#This Row],[Day Col]],"/",Table13[[#This Row],[Month Col]],"/",Table13[[#This Row],[Year Col]]))</f>
        <v>17/Sep/2023</v>
      </c>
      <c r="O794" s="4" t="s">
        <v>1305</v>
      </c>
      <c r="P794" s="4" t="str">
        <f>IF(ISNUMBER(Table13[[#This Row],[Claim_Date2]]),Table13[[#This Row],[Claim_Date2]],Table13[[#This Row],[Function Col32]])</f>
        <v>17/Sep/2023</v>
      </c>
      <c r="Q794" s="4">
        <v>45186</v>
      </c>
      <c r="R794" s="1" t="s">
        <v>92</v>
      </c>
      <c r="S794" s="1" t="s">
        <v>93</v>
      </c>
      <c r="T794" s="1" t="s">
        <v>48</v>
      </c>
      <c r="U794" s="1"/>
      <c r="W794">
        <f>IF(Table1[[#This Row],[Claim_Amount]]&lt;0,0,Table1[[#This Row],[Claim_Amount]])</f>
        <v>0</v>
      </c>
      <c r="X794" t="str">
        <f>IF(Table1[[#This Row],[Column1]]=0,"",Table1[[#This Row],[Column1]])</f>
        <v/>
      </c>
      <c r="Y794" t="s">
        <v>1098</v>
      </c>
      <c r="Z794">
        <v>2481</v>
      </c>
      <c r="AA794">
        <v>832</v>
      </c>
      <c r="AB794" s="1" t="s">
        <v>42</v>
      </c>
      <c r="AC794" s="1" t="s">
        <v>32</v>
      </c>
      <c r="AD794" s="1">
        <v>48</v>
      </c>
      <c r="AE794" s="3" t="s">
        <v>19</v>
      </c>
    </row>
    <row r="795" spans="1:31" ht="15.75" customHeight="1" x14ac:dyDescent="0.35">
      <c r="A795" s="1" t="s">
        <v>82</v>
      </c>
      <c r="B795" t="s">
        <v>1083</v>
      </c>
      <c r="C795" s="1" t="s">
        <v>471</v>
      </c>
      <c r="D795" s="1" t="s">
        <v>172</v>
      </c>
      <c r="E795" s="5" t="s">
        <v>172</v>
      </c>
      <c r="F795" s="4" t="str">
        <f>IF(ISNUMBER(Table13[[#This Row],[Claim_Date2]]),"",Table13[[#This Row],[Claim_Date2]])</f>
        <v>Feb 10 2023</v>
      </c>
      <c r="G795" s="4" t="s">
        <v>172</v>
      </c>
      <c r="H795" s="4" t="str">
        <f>LEFT(Table13[[#This Row],[Values Col 1]],3)</f>
        <v>Feb</v>
      </c>
      <c r="I795" s="4" t="s">
        <v>1109</v>
      </c>
      <c r="J795" s="4" t="str">
        <f>MID(Table13[[#This Row],[Function Col]],5,2)</f>
        <v>10</v>
      </c>
      <c r="K795" s="4" t="s">
        <v>1128</v>
      </c>
      <c r="L795" s="4" t="str">
        <f>RIGHT(Table13[[#This Row],[Function Col]],4)</f>
        <v>2023</v>
      </c>
      <c r="M795" s="4" t="s">
        <v>1146</v>
      </c>
      <c r="N795" s="4" t="str">
        <f>IF(Table13[[#This Row],[Function Col5]]="","",_xlfn.CONCAT(Table13[[#This Row],[Day Col]],"/",Table13[[#This Row],[Month Col]],"/",Table13[[#This Row],[Year Col]]))</f>
        <v>10/Feb/2023</v>
      </c>
      <c r="O795" s="4" t="s">
        <v>1170</v>
      </c>
      <c r="P795" s="4" t="str">
        <f>IF(ISNUMBER(Table13[[#This Row],[Claim_Date2]]),Table13[[#This Row],[Claim_Date2]],Table13[[#This Row],[Function Col32]])</f>
        <v>10/Feb/2023</v>
      </c>
      <c r="Q795" s="4">
        <v>44967</v>
      </c>
      <c r="R795" s="1" t="s">
        <v>85</v>
      </c>
      <c r="S795" t="s">
        <v>1085</v>
      </c>
      <c r="T795" s="1" t="s">
        <v>48</v>
      </c>
      <c r="U795" s="1"/>
      <c r="V795" s="1">
        <v>109.39</v>
      </c>
      <c r="W795" s="1">
        <f>IF(Table1[[#This Row],[Claim_Amount]]&lt;0,0,Table1[[#This Row],[Claim_Amount]])</f>
        <v>109.39</v>
      </c>
      <c r="X795" s="1">
        <f>IF(Table1[[#This Row],[Column1]]=0,"",Table1[[#This Row],[Column1]])</f>
        <v>109.39</v>
      </c>
      <c r="Y795" s="1">
        <v>109.39</v>
      </c>
      <c r="Z795" s="1">
        <v>109.39</v>
      </c>
      <c r="AA795">
        <v>832</v>
      </c>
      <c r="AB795" s="1" t="s">
        <v>1091</v>
      </c>
      <c r="AC795" s="1" t="s">
        <v>26</v>
      </c>
      <c r="AD795">
        <v>9</v>
      </c>
      <c r="AE795" s="3" t="s">
        <v>27</v>
      </c>
    </row>
    <row r="796" spans="1:31" ht="15.75" customHeight="1" x14ac:dyDescent="0.35">
      <c r="A796" s="1" t="s">
        <v>215</v>
      </c>
      <c r="B796" t="s">
        <v>1083</v>
      </c>
      <c r="C796" t="s">
        <v>1084</v>
      </c>
      <c r="D796" s="1" t="s">
        <v>941</v>
      </c>
      <c r="E796" s="5">
        <v>45080</v>
      </c>
      <c r="F796" s="4" t="str">
        <f>IF(ISNUMBER(Table13[[#This Row],[Claim_Date2]]),"",Table13[[#This Row],[Claim_Date2]])</f>
        <v/>
      </c>
      <c r="G796" s="4" t="s">
        <v>1098</v>
      </c>
      <c r="H796" s="4" t="str">
        <f>LEFT(Table13[[#This Row],[Values Col 1]],3)</f>
        <v/>
      </c>
      <c r="I796" s="4" t="s">
        <v>1098</v>
      </c>
      <c r="J796" s="4" t="str">
        <f>MID(Table13[[#This Row],[Function Col]],5,2)</f>
        <v/>
      </c>
      <c r="K796" s="4" t="s">
        <v>1098</v>
      </c>
      <c r="L796" s="4" t="str">
        <f>RIGHT(Table13[[#This Row],[Function Col]],4)</f>
        <v/>
      </c>
      <c r="M796" s="4" t="s">
        <v>1098</v>
      </c>
      <c r="N796" s="4" t="str">
        <f>IF(Table13[[#This Row],[Function Col5]]="","",_xlfn.CONCAT(Table13[[#This Row],[Day Col]],"/",Table13[[#This Row],[Month Col]],"/",Table13[[#This Row],[Year Col]]))</f>
        <v/>
      </c>
      <c r="O796" s="4" t="s">
        <v>1098</v>
      </c>
      <c r="P796" s="4">
        <f>IF(ISNUMBER(Table13[[#This Row],[Claim_Date2]]),Table13[[#This Row],[Claim_Date2]],Table13[[#This Row],[Function Col32]])</f>
        <v>45080</v>
      </c>
      <c r="Q796" s="4">
        <v>45080</v>
      </c>
      <c r="R796" s="1" t="s">
        <v>30</v>
      </c>
      <c r="S796" t="s">
        <v>1085</v>
      </c>
      <c r="T796" s="1" t="s">
        <v>24</v>
      </c>
      <c r="U796" s="1"/>
      <c r="V796" s="1">
        <v>1179.1500000000001</v>
      </c>
      <c r="W796" s="1">
        <f>IF(Table1[[#This Row],[Claim_Amount]]&lt;0,0,Table1[[#This Row],[Claim_Amount]])</f>
        <v>1179.1500000000001</v>
      </c>
      <c r="X796" s="1">
        <f>IF(Table1[[#This Row],[Column1]]=0,"",Table1[[#This Row],[Column1]])</f>
        <v>1179.1500000000001</v>
      </c>
      <c r="Y796" s="1">
        <v>1179.1500000000001</v>
      </c>
      <c r="Z796" s="1">
        <v>1179.1500000000001</v>
      </c>
      <c r="AA796">
        <v>832</v>
      </c>
      <c r="AB796" s="1" t="s">
        <v>25</v>
      </c>
      <c r="AC796" s="1" t="s">
        <v>1093</v>
      </c>
      <c r="AD796">
        <v>9</v>
      </c>
      <c r="AE796" s="3" t="s">
        <v>37</v>
      </c>
    </row>
    <row r="797" spans="1:31" ht="15.75" customHeight="1" x14ac:dyDescent="0.35">
      <c r="A797" s="1" t="s">
        <v>173</v>
      </c>
      <c r="B797" s="1" t="s">
        <v>942</v>
      </c>
      <c r="C797" t="s">
        <v>1084</v>
      </c>
      <c r="D797" s="1" t="s">
        <v>603</v>
      </c>
      <c r="E797" s="5">
        <v>44939</v>
      </c>
      <c r="F797" s="4" t="str">
        <f>IF(ISNUMBER(Table13[[#This Row],[Claim_Date2]]),"",Table13[[#This Row],[Claim_Date2]])</f>
        <v/>
      </c>
      <c r="G797" s="4" t="s">
        <v>1098</v>
      </c>
      <c r="H797" s="4" t="str">
        <f>LEFT(Table13[[#This Row],[Values Col 1]],3)</f>
        <v/>
      </c>
      <c r="I797" s="4" t="s">
        <v>1098</v>
      </c>
      <c r="J797" s="4" t="str">
        <f>MID(Table13[[#This Row],[Function Col]],5,2)</f>
        <v/>
      </c>
      <c r="K797" s="4" t="s">
        <v>1098</v>
      </c>
      <c r="L797" s="4" t="str">
        <f>RIGHT(Table13[[#This Row],[Function Col]],4)</f>
        <v/>
      </c>
      <c r="M797" s="4" t="s">
        <v>1098</v>
      </c>
      <c r="N797" s="4" t="str">
        <f>IF(Table13[[#This Row],[Function Col5]]="","",_xlfn.CONCAT(Table13[[#This Row],[Day Col]],"/",Table13[[#This Row],[Month Col]],"/",Table13[[#This Row],[Year Col]]))</f>
        <v/>
      </c>
      <c r="O797" s="4" t="s">
        <v>1098</v>
      </c>
      <c r="P797" s="4">
        <f>IF(ISNUMBER(Table13[[#This Row],[Claim_Date2]]),Table13[[#This Row],[Claim_Date2]],Table13[[#This Row],[Function Col32]])</f>
        <v>44939</v>
      </c>
      <c r="Q797" s="4">
        <v>44939</v>
      </c>
      <c r="R797" s="1" t="s">
        <v>77</v>
      </c>
      <c r="S797" t="s">
        <v>1085</v>
      </c>
      <c r="T797" s="1" t="s">
        <v>24</v>
      </c>
      <c r="U797" s="1"/>
      <c r="V797" s="1">
        <v>-13</v>
      </c>
      <c r="W797" s="1">
        <f>IF(Table1[[#This Row],[Claim_Amount]]&lt;0,0,Table1[[#This Row],[Claim_Amount]])</f>
        <v>0</v>
      </c>
      <c r="X797" s="1" t="str">
        <f>IF(Table1[[#This Row],[Column1]]=0,"",Table1[[#This Row],[Column1]])</f>
        <v/>
      </c>
      <c r="Y797" s="1" t="s">
        <v>1098</v>
      </c>
      <c r="Z797" s="1">
        <v>2481</v>
      </c>
      <c r="AA797">
        <v>832</v>
      </c>
      <c r="AB797" s="1" t="s">
        <v>17</v>
      </c>
      <c r="AC797" s="1" t="s">
        <v>18</v>
      </c>
      <c r="AD797" s="1">
        <v>37</v>
      </c>
      <c r="AE797" s="3" t="s">
        <v>65</v>
      </c>
    </row>
    <row r="798" spans="1:31" ht="15.75" customHeight="1" x14ac:dyDescent="0.35">
      <c r="A798" s="1" t="s">
        <v>108</v>
      </c>
      <c r="B798" t="s">
        <v>1083</v>
      </c>
      <c r="C798" s="1" t="s">
        <v>458</v>
      </c>
      <c r="D798" s="1" t="s">
        <v>845</v>
      </c>
      <c r="E798" s="5">
        <v>45065</v>
      </c>
      <c r="F798" s="4" t="str">
        <f>IF(ISNUMBER(Table13[[#This Row],[Claim_Date2]]),"",Table13[[#This Row],[Claim_Date2]])</f>
        <v/>
      </c>
      <c r="G798" s="4" t="s">
        <v>1098</v>
      </c>
      <c r="H798" s="4" t="str">
        <f>LEFT(Table13[[#This Row],[Values Col 1]],3)</f>
        <v/>
      </c>
      <c r="I798" s="4" t="s">
        <v>1098</v>
      </c>
      <c r="J798" s="4" t="str">
        <f>MID(Table13[[#This Row],[Function Col]],5,2)</f>
        <v/>
      </c>
      <c r="K798" s="4" t="s">
        <v>1098</v>
      </c>
      <c r="L798" s="4" t="str">
        <f>RIGHT(Table13[[#This Row],[Function Col]],4)</f>
        <v/>
      </c>
      <c r="M798" s="4" t="s">
        <v>1098</v>
      </c>
      <c r="N798" s="4" t="str">
        <f>IF(Table13[[#This Row],[Function Col5]]="","",_xlfn.CONCAT(Table13[[#This Row],[Day Col]],"/",Table13[[#This Row],[Month Col]],"/",Table13[[#This Row],[Year Col]]))</f>
        <v/>
      </c>
      <c r="O798" s="4" t="s">
        <v>1098</v>
      </c>
      <c r="P798" s="4">
        <f>IF(ISNUMBER(Table13[[#This Row],[Claim_Date2]]),Table13[[#This Row],[Claim_Date2]],Table13[[#This Row],[Function Col32]])</f>
        <v>45065</v>
      </c>
      <c r="Q798" s="4">
        <v>45065</v>
      </c>
      <c r="R798" s="1" t="s">
        <v>77</v>
      </c>
      <c r="S798" s="1" t="s">
        <v>53</v>
      </c>
      <c r="T798" s="1" t="s">
        <v>24</v>
      </c>
      <c r="U798" s="1"/>
      <c r="W798">
        <f>IF(Table1[[#This Row],[Claim_Amount]]&lt;0,0,Table1[[#This Row],[Claim_Amount]])</f>
        <v>0</v>
      </c>
      <c r="X798" t="str">
        <f>IF(Table1[[#This Row],[Column1]]=0,"",Table1[[#This Row],[Column1]])</f>
        <v/>
      </c>
      <c r="Y798" t="s">
        <v>1098</v>
      </c>
      <c r="Z798">
        <v>2481</v>
      </c>
      <c r="AA798">
        <v>832</v>
      </c>
      <c r="AB798" s="1" t="s">
        <v>1091</v>
      </c>
      <c r="AC798" s="1" t="s">
        <v>1093</v>
      </c>
      <c r="AD798">
        <v>9</v>
      </c>
      <c r="AE798" s="3" t="s">
        <v>65</v>
      </c>
    </row>
    <row r="799" spans="1:31" ht="15.75" customHeight="1" x14ac:dyDescent="0.35">
      <c r="A799" s="1" t="s">
        <v>117</v>
      </c>
      <c r="B799" s="1" t="s">
        <v>943</v>
      </c>
      <c r="C799" s="1" t="s">
        <v>518</v>
      </c>
      <c r="D799" s="1" t="s">
        <v>835</v>
      </c>
      <c r="E799" s="5">
        <v>45092</v>
      </c>
      <c r="F799" s="4" t="str">
        <f>IF(ISNUMBER(Table13[[#This Row],[Claim_Date2]]),"",Table13[[#This Row],[Claim_Date2]])</f>
        <v/>
      </c>
      <c r="G799" s="4" t="s">
        <v>1098</v>
      </c>
      <c r="H799" s="4" t="str">
        <f>LEFT(Table13[[#This Row],[Values Col 1]],3)</f>
        <v/>
      </c>
      <c r="I799" s="4" t="s">
        <v>1098</v>
      </c>
      <c r="J799" s="4" t="str">
        <f>MID(Table13[[#This Row],[Function Col]],5,2)</f>
        <v/>
      </c>
      <c r="K799" s="4" t="s">
        <v>1098</v>
      </c>
      <c r="L799" s="4" t="str">
        <f>RIGHT(Table13[[#This Row],[Function Col]],4)</f>
        <v/>
      </c>
      <c r="M799" s="4" t="s">
        <v>1098</v>
      </c>
      <c r="N799" s="4" t="str">
        <f>IF(Table13[[#This Row],[Function Col5]]="","",_xlfn.CONCAT(Table13[[#This Row],[Day Col]],"/",Table13[[#This Row],[Month Col]],"/",Table13[[#This Row],[Year Col]]))</f>
        <v/>
      </c>
      <c r="O799" s="4" t="s">
        <v>1098</v>
      </c>
      <c r="P799" s="4">
        <f>IF(ISNUMBER(Table13[[#This Row],[Claim_Date2]]),Table13[[#This Row],[Claim_Date2]],Table13[[#This Row],[Function Col32]])</f>
        <v>45092</v>
      </c>
      <c r="Q799" s="4">
        <v>45092</v>
      </c>
      <c r="R799" s="1" t="s">
        <v>30</v>
      </c>
      <c r="S799" s="1" t="s">
        <v>31</v>
      </c>
      <c r="T799" s="1" t="s">
        <v>24</v>
      </c>
      <c r="U799" s="1"/>
      <c r="W799">
        <f>IF(Table1[[#This Row],[Claim_Amount]]&lt;0,0,Table1[[#This Row],[Claim_Amount]])</f>
        <v>0</v>
      </c>
      <c r="X799" t="str">
        <f>IF(Table1[[#This Row],[Column1]]=0,"",Table1[[#This Row],[Column1]])</f>
        <v/>
      </c>
      <c r="Y799" t="s">
        <v>1098</v>
      </c>
      <c r="Z799">
        <v>2481</v>
      </c>
      <c r="AA799" s="1">
        <v>2110.91</v>
      </c>
      <c r="AB799" s="1" t="s">
        <v>42</v>
      </c>
      <c r="AC799" s="1" t="s">
        <v>18</v>
      </c>
      <c r="AD799">
        <v>9</v>
      </c>
      <c r="AE799" s="3" t="s">
        <v>27</v>
      </c>
    </row>
    <row r="800" spans="1:31" ht="15.75" customHeight="1" x14ac:dyDescent="0.35">
      <c r="A800" s="1" t="s">
        <v>275</v>
      </c>
      <c r="B800" t="s">
        <v>1083</v>
      </c>
      <c r="C800" s="1" t="s">
        <v>263</v>
      </c>
      <c r="D800" s="1" t="s">
        <v>944</v>
      </c>
      <c r="E800" s="5">
        <v>44993</v>
      </c>
      <c r="F800" s="4" t="str">
        <f>IF(ISNUMBER(Table13[[#This Row],[Claim_Date2]]),"",Table13[[#This Row],[Claim_Date2]])</f>
        <v/>
      </c>
      <c r="G800" s="4" t="s">
        <v>1098</v>
      </c>
      <c r="H800" s="4" t="str">
        <f>LEFT(Table13[[#This Row],[Values Col 1]],3)</f>
        <v/>
      </c>
      <c r="I800" s="4" t="s">
        <v>1098</v>
      </c>
      <c r="J800" s="4" t="str">
        <f>MID(Table13[[#This Row],[Function Col]],5,2)</f>
        <v/>
      </c>
      <c r="K800" s="4" t="s">
        <v>1098</v>
      </c>
      <c r="L800" s="4" t="str">
        <f>RIGHT(Table13[[#This Row],[Function Col]],4)</f>
        <v/>
      </c>
      <c r="M800" s="4" t="s">
        <v>1098</v>
      </c>
      <c r="N800" s="4" t="str">
        <f>IF(Table13[[#This Row],[Function Col5]]="","",_xlfn.CONCAT(Table13[[#This Row],[Day Col]],"/",Table13[[#This Row],[Month Col]],"/",Table13[[#This Row],[Year Col]]))</f>
        <v/>
      </c>
      <c r="O800" s="4" t="s">
        <v>1098</v>
      </c>
      <c r="P800" s="4">
        <f>IF(ISNUMBER(Table13[[#This Row],[Claim_Date2]]),Table13[[#This Row],[Claim_Date2]],Table13[[#This Row],[Function Col32]])</f>
        <v>44993</v>
      </c>
      <c r="Q800" s="4">
        <v>44993</v>
      </c>
      <c r="R800" s="1" t="s">
        <v>92</v>
      </c>
      <c r="S800" t="s">
        <v>1085</v>
      </c>
      <c r="T800" s="1" t="s">
        <v>41</v>
      </c>
      <c r="U800" s="1"/>
      <c r="W800">
        <f>IF(Table1[[#This Row],[Claim_Amount]]&lt;0,0,Table1[[#This Row],[Claim_Amount]])</f>
        <v>0</v>
      </c>
      <c r="X800" t="str">
        <f>IF(Table1[[#This Row],[Column1]]=0,"",Table1[[#This Row],[Column1]])</f>
        <v/>
      </c>
      <c r="Y800" t="s">
        <v>1098</v>
      </c>
      <c r="Z800">
        <v>2481</v>
      </c>
      <c r="AA800">
        <v>832</v>
      </c>
      <c r="AB800" s="1" t="s">
        <v>25</v>
      </c>
      <c r="AC800" s="1" t="s">
        <v>26</v>
      </c>
      <c r="AD800">
        <v>9</v>
      </c>
      <c r="AE800" s="3" t="s">
        <v>37</v>
      </c>
    </row>
    <row r="801" spans="1:31" ht="15.75" customHeight="1" x14ac:dyDescent="0.35">
      <c r="A801" s="1" t="s">
        <v>170</v>
      </c>
      <c r="B801" t="s">
        <v>1083</v>
      </c>
      <c r="C801" s="1" t="s">
        <v>614</v>
      </c>
      <c r="D801" s="1" t="s">
        <v>875</v>
      </c>
      <c r="E801" s="5">
        <v>45251</v>
      </c>
      <c r="F801" s="4" t="str">
        <f>IF(ISNUMBER(Table13[[#This Row],[Claim_Date2]]),"",Table13[[#This Row],[Claim_Date2]])</f>
        <v/>
      </c>
      <c r="G801" s="4" t="s">
        <v>1098</v>
      </c>
      <c r="H801" s="4" t="str">
        <f>LEFT(Table13[[#This Row],[Values Col 1]],3)</f>
        <v/>
      </c>
      <c r="I801" s="4" t="s">
        <v>1098</v>
      </c>
      <c r="J801" s="4" t="str">
        <f>MID(Table13[[#This Row],[Function Col]],5,2)</f>
        <v/>
      </c>
      <c r="K801" s="4" t="s">
        <v>1098</v>
      </c>
      <c r="L801" s="4" t="str">
        <f>RIGHT(Table13[[#This Row],[Function Col]],4)</f>
        <v/>
      </c>
      <c r="M801" s="4" t="s">
        <v>1098</v>
      </c>
      <c r="N801" s="4" t="str">
        <f>IF(Table13[[#This Row],[Function Col5]]="","",_xlfn.CONCAT(Table13[[#This Row],[Day Col]],"/",Table13[[#This Row],[Month Col]],"/",Table13[[#This Row],[Year Col]]))</f>
        <v/>
      </c>
      <c r="O801" s="4" t="s">
        <v>1098</v>
      </c>
      <c r="P801" s="4">
        <f>IF(ISNUMBER(Table13[[#This Row],[Claim_Date2]]),Table13[[#This Row],[Claim_Date2]],Table13[[#This Row],[Function Col32]])</f>
        <v>45251</v>
      </c>
      <c r="Q801" s="4">
        <v>45251</v>
      </c>
      <c r="R801" s="1" t="s">
        <v>30</v>
      </c>
      <c r="S801" s="1" t="s">
        <v>31</v>
      </c>
      <c r="T801" s="1" t="s">
        <v>54</v>
      </c>
      <c r="U801" s="1"/>
      <c r="W801">
        <f>IF(Table1[[#This Row],[Claim_Amount]]&lt;0,0,Table1[[#This Row],[Claim_Amount]])</f>
        <v>0</v>
      </c>
      <c r="X801" t="str">
        <f>IF(Table1[[#This Row],[Column1]]=0,"",Table1[[#This Row],[Column1]])</f>
        <v/>
      </c>
      <c r="Y801" t="s">
        <v>1098</v>
      </c>
      <c r="Z801">
        <v>2481</v>
      </c>
      <c r="AA801">
        <v>832</v>
      </c>
      <c r="AB801" s="1" t="s">
        <v>1091</v>
      </c>
      <c r="AC801" s="1" t="s">
        <v>18</v>
      </c>
      <c r="AD801">
        <v>9</v>
      </c>
      <c r="AE801" s="3" t="s">
        <v>1097</v>
      </c>
    </row>
    <row r="802" spans="1:31" ht="15.75" customHeight="1" x14ac:dyDescent="0.35">
      <c r="A802" s="1" t="s">
        <v>170</v>
      </c>
      <c r="B802" t="s">
        <v>1083</v>
      </c>
      <c r="C802" t="s">
        <v>1084</v>
      </c>
      <c r="D802" s="1" t="s">
        <v>223</v>
      </c>
      <c r="E802" s="5">
        <v>44936</v>
      </c>
      <c r="F802" s="4" t="str">
        <f>IF(ISNUMBER(Table13[[#This Row],[Claim_Date2]]),"",Table13[[#This Row],[Claim_Date2]])</f>
        <v/>
      </c>
      <c r="G802" s="4" t="s">
        <v>1098</v>
      </c>
      <c r="H802" s="4" t="str">
        <f>LEFT(Table13[[#This Row],[Values Col 1]],3)</f>
        <v/>
      </c>
      <c r="I802" s="4" t="s">
        <v>1098</v>
      </c>
      <c r="J802" s="4" t="str">
        <f>MID(Table13[[#This Row],[Function Col]],5,2)</f>
        <v/>
      </c>
      <c r="K802" s="4" t="s">
        <v>1098</v>
      </c>
      <c r="L802" s="4" t="str">
        <f>RIGHT(Table13[[#This Row],[Function Col]],4)</f>
        <v/>
      </c>
      <c r="M802" s="4" t="s">
        <v>1098</v>
      </c>
      <c r="N802" s="4" t="str">
        <f>IF(Table13[[#This Row],[Function Col5]]="","",_xlfn.CONCAT(Table13[[#This Row],[Day Col]],"/",Table13[[#This Row],[Month Col]],"/",Table13[[#This Row],[Year Col]]))</f>
        <v/>
      </c>
      <c r="O802" s="4" t="s">
        <v>1098</v>
      </c>
      <c r="P802" s="4">
        <f>IF(ISNUMBER(Table13[[#This Row],[Claim_Date2]]),Table13[[#This Row],[Claim_Date2]],Table13[[#This Row],[Function Col32]])</f>
        <v>44936</v>
      </c>
      <c r="Q802" s="4">
        <v>44936</v>
      </c>
      <c r="R802" s="1" t="s">
        <v>77</v>
      </c>
      <c r="S802" s="1" t="s">
        <v>93</v>
      </c>
      <c r="T802" s="1" t="s">
        <v>54</v>
      </c>
      <c r="U802" s="1"/>
      <c r="V802" s="1">
        <v>-145</v>
      </c>
      <c r="W802" s="1">
        <f>IF(Table1[[#This Row],[Claim_Amount]]&lt;0,0,Table1[[#This Row],[Claim_Amount]])</f>
        <v>0</v>
      </c>
      <c r="X802" s="1" t="str">
        <f>IF(Table1[[#This Row],[Column1]]=0,"",Table1[[#This Row],[Column1]])</f>
        <v/>
      </c>
      <c r="Y802" s="1" t="s">
        <v>1098</v>
      </c>
      <c r="Z802" s="1">
        <v>2481</v>
      </c>
      <c r="AA802">
        <v>832</v>
      </c>
      <c r="AB802" s="1" t="s">
        <v>42</v>
      </c>
      <c r="AC802" s="1" t="s">
        <v>26</v>
      </c>
      <c r="AD802">
        <v>9</v>
      </c>
      <c r="AE802" s="3" t="s">
        <v>65</v>
      </c>
    </row>
    <row r="803" spans="1:31" ht="15.75" customHeight="1" x14ac:dyDescent="0.35">
      <c r="A803" s="1" t="s">
        <v>179</v>
      </c>
      <c r="B803" t="s">
        <v>1083</v>
      </c>
      <c r="C803" s="1" t="s">
        <v>314</v>
      </c>
      <c r="D803" s="1" t="s">
        <v>945</v>
      </c>
      <c r="E803" s="5">
        <v>45113</v>
      </c>
      <c r="F803" s="4" t="str">
        <f>IF(ISNUMBER(Table13[[#This Row],[Claim_Date2]]),"",Table13[[#This Row],[Claim_Date2]])</f>
        <v/>
      </c>
      <c r="G803" s="4" t="s">
        <v>1098</v>
      </c>
      <c r="H803" s="4" t="str">
        <f>LEFT(Table13[[#This Row],[Values Col 1]],3)</f>
        <v/>
      </c>
      <c r="I803" s="4" t="s">
        <v>1098</v>
      </c>
      <c r="J803" s="4" t="str">
        <f>MID(Table13[[#This Row],[Function Col]],5,2)</f>
        <v/>
      </c>
      <c r="K803" s="4" t="s">
        <v>1098</v>
      </c>
      <c r="L803" s="4" t="str">
        <f>RIGHT(Table13[[#This Row],[Function Col]],4)</f>
        <v/>
      </c>
      <c r="M803" s="4" t="s">
        <v>1098</v>
      </c>
      <c r="N803" s="4" t="str">
        <f>IF(Table13[[#This Row],[Function Col5]]="","",_xlfn.CONCAT(Table13[[#This Row],[Day Col]],"/",Table13[[#This Row],[Month Col]],"/",Table13[[#This Row],[Year Col]]))</f>
        <v/>
      </c>
      <c r="O803" s="4" t="s">
        <v>1098</v>
      </c>
      <c r="P803" s="4">
        <f>IF(ISNUMBER(Table13[[#This Row],[Claim_Date2]]),Table13[[#This Row],[Claim_Date2]],Table13[[#This Row],[Function Col32]])</f>
        <v>45113</v>
      </c>
      <c r="Q803" s="4">
        <v>45113</v>
      </c>
      <c r="R803" s="1" t="s">
        <v>85</v>
      </c>
      <c r="S803" t="s">
        <v>1085</v>
      </c>
      <c r="T803" s="1" t="s">
        <v>61</v>
      </c>
      <c r="U803" s="1"/>
      <c r="V803" s="1">
        <v>-168</v>
      </c>
      <c r="W803" s="1">
        <f>IF(Table1[[#This Row],[Claim_Amount]]&lt;0,0,Table1[[#This Row],[Claim_Amount]])</f>
        <v>0</v>
      </c>
      <c r="X803" s="1" t="str">
        <f>IF(Table1[[#This Row],[Column1]]=0,"",Table1[[#This Row],[Column1]])</f>
        <v/>
      </c>
      <c r="Y803" s="1" t="s">
        <v>1098</v>
      </c>
      <c r="Z803" s="1">
        <v>2481</v>
      </c>
      <c r="AA803">
        <v>832</v>
      </c>
      <c r="AB803" s="1" t="s">
        <v>42</v>
      </c>
      <c r="AC803" s="1" t="s">
        <v>1093</v>
      </c>
      <c r="AD803">
        <v>9</v>
      </c>
      <c r="AE803" s="3" t="s">
        <v>1097</v>
      </c>
    </row>
    <row r="804" spans="1:31" ht="15.75" customHeight="1" x14ac:dyDescent="0.35">
      <c r="A804" s="1" t="s">
        <v>212</v>
      </c>
      <c r="B804" s="1" t="s">
        <v>946</v>
      </c>
      <c r="C804" s="1" t="s">
        <v>440</v>
      </c>
      <c r="D804" s="1" t="s">
        <v>947</v>
      </c>
      <c r="E804" s="5" t="s">
        <v>947</v>
      </c>
      <c r="F804" s="4" t="str">
        <f>IF(ISNUMBER(Table13[[#This Row],[Claim_Date2]]),"",Table13[[#This Row],[Claim_Date2]])</f>
        <v>Apr 10 2023</v>
      </c>
      <c r="G804" s="4" t="s">
        <v>947</v>
      </c>
      <c r="H804" s="4" t="str">
        <f>LEFT(Table13[[#This Row],[Values Col 1]],3)</f>
        <v>Apr</v>
      </c>
      <c r="I804" s="4" t="s">
        <v>1104</v>
      </c>
      <c r="J804" s="4" t="str">
        <f>MID(Table13[[#This Row],[Function Col]],5,2)</f>
        <v>10</v>
      </c>
      <c r="K804" s="4" t="s">
        <v>1128</v>
      </c>
      <c r="L804" s="4" t="str">
        <f>RIGHT(Table13[[#This Row],[Function Col]],4)</f>
        <v>2023</v>
      </c>
      <c r="M804" s="4" t="s">
        <v>1146</v>
      </c>
      <c r="N804" s="4" t="str">
        <f>IF(Table13[[#This Row],[Function Col5]]="","",_xlfn.CONCAT(Table13[[#This Row],[Day Col]],"/",Table13[[#This Row],[Month Col]],"/",Table13[[#This Row],[Year Col]]))</f>
        <v>10/Apr/2023</v>
      </c>
      <c r="O804" s="4" t="s">
        <v>1339</v>
      </c>
      <c r="P804" s="4" t="str">
        <f>IF(ISNUMBER(Table13[[#This Row],[Claim_Date2]]),Table13[[#This Row],[Claim_Date2]],Table13[[#This Row],[Function Col32]])</f>
        <v>10/Apr/2023</v>
      </c>
      <c r="Q804" s="4">
        <v>45026</v>
      </c>
      <c r="R804" s="1" t="s">
        <v>85</v>
      </c>
      <c r="S804" s="1" t="s">
        <v>47</v>
      </c>
      <c r="T804" s="1" t="s">
        <v>41</v>
      </c>
      <c r="U804" s="1"/>
      <c r="V804" s="1">
        <v>-106</v>
      </c>
      <c r="W804" s="1">
        <f>IF(Table1[[#This Row],[Claim_Amount]]&lt;0,0,Table1[[#This Row],[Claim_Amount]])</f>
        <v>0</v>
      </c>
      <c r="X804" s="1" t="str">
        <f>IF(Table1[[#This Row],[Column1]]=0,"",Table1[[#This Row],[Column1]])</f>
        <v/>
      </c>
      <c r="Y804" s="1" t="s">
        <v>1098</v>
      </c>
      <c r="Z804" s="1">
        <v>2481</v>
      </c>
      <c r="AA804" s="1">
        <v>3518.2</v>
      </c>
      <c r="AB804" s="1" t="s">
        <v>42</v>
      </c>
      <c r="AC804" s="1" t="s">
        <v>32</v>
      </c>
      <c r="AD804" s="1">
        <v>13</v>
      </c>
      <c r="AE804" s="3" t="s">
        <v>27</v>
      </c>
    </row>
    <row r="805" spans="1:31" ht="15.75" customHeight="1" x14ac:dyDescent="0.35">
      <c r="A805" s="1" t="s">
        <v>105</v>
      </c>
      <c r="B805" t="s">
        <v>1083</v>
      </c>
      <c r="C805" t="s">
        <v>1084</v>
      </c>
      <c r="D805" s="1" t="s">
        <v>233</v>
      </c>
      <c r="E805" s="5">
        <v>44967</v>
      </c>
      <c r="F805" s="4" t="str">
        <f>IF(ISNUMBER(Table13[[#This Row],[Claim_Date2]]),"",Table13[[#This Row],[Claim_Date2]])</f>
        <v/>
      </c>
      <c r="G805" s="4" t="s">
        <v>1098</v>
      </c>
      <c r="H805" s="4" t="str">
        <f>LEFT(Table13[[#This Row],[Values Col 1]],3)</f>
        <v/>
      </c>
      <c r="I805" s="4" t="s">
        <v>1098</v>
      </c>
      <c r="J805" s="4" t="str">
        <f>MID(Table13[[#This Row],[Function Col]],5,2)</f>
        <v/>
      </c>
      <c r="K805" s="4" t="s">
        <v>1098</v>
      </c>
      <c r="L805" s="4" t="str">
        <f>RIGHT(Table13[[#This Row],[Function Col]],4)</f>
        <v/>
      </c>
      <c r="M805" s="4" t="s">
        <v>1098</v>
      </c>
      <c r="N805" s="4" t="str">
        <f>IF(Table13[[#This Row],[Function Col5]]="","",_xlfn.CONCAT(Table13[[#This Row],[Day Col]],"/",Table13[[#This Row],[Month Col]],"/",Table13[[#This Row],[Year Col]]))</f>
        <v/>
      </c>
      <c r="O805" s="4" t="s">
        <v>1098</v>
      </c>
      <c r="P805" s="4">
        <f>IF(ISNUMBER(Table13[[#This Row],[Claim_Date2]]),Table13[[#This Row],[Claim_Date2]],Table13[[#This Row],[Function Col32]])</f>
        <v>44967</v>
      </c>
      <c r="Q805" s="4">
        <v>44967</v>
      </c>
      <c r="R805" s="1" t="s">
        <v>77</v>
      </c>
      <c r="S805" t="s">
        <v>1085</v>
      </c>
      <c r="T805" s="1" t="s">
        <v>48</v>
      </c>
      <c r="U805" s="1"/>
      <c r="V805" s="1">
        <v>-162</v>
      </c>
      <c r="W805" s="1">
        <f>IF(Table1[[#This Row],[Claim_Amount]]&lt;0,0,Table1[[#This Row],[Claim_Amount]])</f>
        <v>0</v>
      </c>
      <c r="X805" s="1" t="str">
        <f>IF(Table1[[#This Row],[Column1]]=0,"",Table1[[#This Row],[Column1]])</f>
        <v/>
      </c>
      <c r="Y805" s="1" t="s">
        <v>1098</v>
      </c>
      <c r="Z805" s="1">
        <v>2481</v>
      </c>
      <c r="AA805" s="1">
        <v>3804.38</v>
      </c>
      <c r="AB805" s="1" t="s">
        <v>42</v>
      </c>
      <c r="AC805" s="1" t="s">
        <v>1093</v>
      </c>
      <c r="AD805" s="1">
        <v>17</v>
      </c>
      <c r="AE805" s="3" t="s">
        <v>1097</v>
      </c>
    </row>
    <row r="806" spans="1:31" ht="15.75" customHeight="1" x14ac:dyDescent="0.35">
      <c r="A806" s="1" t="s">
        <v>173</v>
      </c>
      <c r="B806" s="1" t="s">
        <v>948</v>
      </c>
      <c r="C806" s="1" t="s">
        <v>463</v>
      </c>
      <c r="D806" s="1" t="s">
        <v>783</v>
      </c>
      <c r="E806" s="5">
        <v>45092</v>
      </c>
      <c r="F806" s="4" t="str">
        <f>IF(ISNUMBER(Table13[[#This Row],[Claim_Date2]]),"",Table13[[#This Row],[Claim_Date2]])</f>
        <v/>
      </c>
      <c r="G806" s="4" t="s">
        <v>1098</v>
      </c>
      <c r="H806" s="4" t="str">
        <f>LEFT(Table13[[#This Row],[Values Col 1]],3)</f>
        <v/>
      </c>
      <c r="I806" s="4" t="s">
        <v>1098</v>
      </c>
      <c r="J806" s="4" t="str">
        <f>MID(Table13[[#This Row],[Function Col]],5,2)</f>
        <v/>
      </c>
      <c r="K806" s="4" t="s">
        <v>1098</v>
      </c>
      <c r="L806" s="4" t="str">
        <f>RIGHT(Table13[[#This Row],[Function Col]],4)</f>
        <v/>
      </c>
      <c r="M806" s="4" t="s">
        <v>1098</v>
      </c>
      <c r="N806" s="4" t="str">
        <f>IF(Table13[[#This Row],[Function Col5]]="","",_xlfn.CONCAT(Table13[[#This Row],[Day Col]],"/",Table13[[#This Row],[Month Col]],"/",Table13[[#This Row],[Year Col]]))</f>
        <v/>
      </c>
      <c r="O806" s="4" t="s">
        <v>1098</v>
      </c>
      <c r="P806" s="4">
        <f>IF(ISNUMBER(Table13[[#This Row],[Claim_Date2]]),Table13[[#This Row],[Claim_Date2]],Table13[[#This Row],[Function Col32]])</f>
        <v>45092</v>
      </c>
      <c r="Q806" s="4">
        <v>45092</v>
      </c>
      <c r="R806" s="1" t="s">
        <v>85</v>
      </c>
      <c r="S806" s="1" t="s">
        <v>31</v>
      </c>
      <c r="T806" s="1" t="s">
        <v>54</v>
      </c>
      <c r="U806" s="1"/>
      <c r="W806">
        <f>IF(Table1[[#This Row],[Claim_Amount]]&lt;0,0,Table1[[#This Row],[Claim_Amount]])</f>
        <v>0</v>
      </c>
      <c r="X806" t="str">
        <f>IF(Table1[[#This Row],[Column1]]=0,"",Table1[[#This Row],[Column1]])</f>
        <v/>
      </c>
      <c r="Y806" t="s">
        <v>1098</v>
      </c>
      <c r="Z806">
        <v>2481</v>
      </c>
      <c r="AA806">
        <v>832</v>
      </c>
      <c r="AB806" s="1" t="s">
        <v>1091</v>
      </c>
      <c r="AC806" s="1" t="s">
        <v>26</v>
      </c>
      <c r="AD806">
        <v>9</v>
      </c>
      <c r="AE806" s="3" t="s">
        <v>27</v>
      </c>
    </row>
    <row r="807" spans="1:31" ht="15.75" customHeight="1" x14ac:dyDescent="0.35">
      <c r="A807" s="1" t="s">
        <v>78</v>
      </c>
      <c r="B807" t="s">
        <v>1083</v>
      </c>
      <c r="C807" s="1" t="s">
        <v>263</v>
      </c>
      <c r="D807" s="1" t="s">
        <v>736</v>
      </c>
      <c r="E807" s="5" t="s">
        <v>736</v>
      </c>
      <c r="F807" s="4" t="str">
        <f>IF(ISNUMBER(Table13[[#This Row],[Claim_Date2]]),"",Table13[[#This Row],[Claim_Date2]])</f>
        <v>Jun 15 2023</v>
      </c>
      <c r="G807" s="4" t="s">
        <v>736</v>
      </c>
      <c r="H807" s="4" t="str">
        <f>LEFT(Table13[[#This Row],[Values Col 1]],3)</f>
        <v>Jun</v>
      </c>
      <c r="I807" s="4" t="s">
        <v>1108</v>
      </c>
      <c r="J807" s="4" t="str">
        <f>MID(Table13[[#This Row],[Function Col]],5,2)</f>
        <v>15</v>
      </c>
      <c r="K807" s="4" t="s">
        <v>1116</v>
      </c>
      <c r="L807" s="4" t="str">
        <f>RIGHT(Table13[[#This Row],[Function Col]],4)</f>
        <v>2023</v>
      </c>
      <c r="M807" s="4" t="s">
        <v>1146</v>
      </c>
      <c r="N807" s="4" t="str">
        <f>IF(Table13[[#This Row],[Function Col5]]="","",_xlfn.CONCAT(Table13[[#This Row],[Day Col]],"/",Table13[[#This Row],[Month Col]],"/",Table13[[#This Row],[Year Col]]))</f>
        <v>15/Jun/2023</v>
      </c>
      <c r="O807" s="4" t="s">
        <v>1286</v>
      </c>
      <c r="P807" s="4" t="str">
        <f>IF(ISNUMBER(Table13[[#This Row],[Claim_Date2]]),Table13[[#This Row],[Claim_Date2]],Table13[[#This Row],[Function Col32]])</f>
        <v>15/Jun/2023</v>
      </c>
      <c r="Q807" s="4">
        <v>45092</v>
      </c>
      <c r="R807" s="1" t="s">
        <v>85</v>
      </c>
      <c r="S807" s="1" t="s">
        <v>47</v>
      </c>
      <c r="T807" s="1" t="s">
        <v>61</v>
      </c>
      <c r="U807" s="1"/>
      <c r="W807">
        <f>IF(Table1[[#This Row],[Claim_Amount]]&lt;0,0,Table1[[#This Row],[Claim_Amount]])</f>
        <v>0</v>
      </c>
      <c r="X807" t="str">
        <f>IF(Table1[[#This Row],[Column1]]=0,"",Table1[[#This Row],[Column1]])</f>
        <v/>
      </c>
      <c r="Y807" t="s">
        <v>1098</v>
      </c>
      <c r="Z807">
        <v>2481</v>
      </c>
      <c r="AA807" s="1">
        <v>2508.5500000000002</v>
      </c>
      <c r="AB807" s="1" t="s">
        <v>17</v>
      </c>
      <c r="AC807" s="1" t="s">
        <v>18</v>
      </c>
      <c r="AD807">
        <v>9</v>
      </c>
      <c r="AE807" s="3" t="s">
        <v>65</v>
      </c>
    </row>
    <row r="808" spans="1:31" ht="15.75" customHeight="1" x14ac:dyDescent="0.35">
      <c r="A808" s="1" t="s">
        <v>137</v>
      </c>
      <c r="B808" s="1" t="s">
        <v>949</v>
      </c>
      <c r="C808" t="s">
        <v>1084</v>
      </c>
      <c r="D808" s="1" t="s">
        <v>554</v>
      </c>
      <c r="E808" s="5">
        <v>45100</v>
      </c>
      <c r="F808" s="4" t="str">
        <f>IF(ISNUMBER(Table13[[#This Row],[Claim_Date2]]),"",Table13[[#This Row],[Claim_Date2]])</f>
        <v/>
      </c>
      <c r="G808" s="4" t="s">
        <v>1098</v>
      </c>
      <c r="H808" s="4" t="str">
        <f>LEFT(Table13[[#This Row],[Values Col 1]],3)</f>
        <v/>
      </c>
      <c r="I808" s="4" t="s">
        <v>1098</v>
      </c>
      <c r="J808" s="4" t="str">
        <f>MID(Table13[[#This Row],[Function Col]],5,2)</f>
        <v/>
      </c>
      <c r="K808" s="4" t="s">
        <v>1098</v>
      </c>
      <c r="L808" s="4" t="str">
        <f>RIGHT(Table13[[#This Row],[Function Col]],4)</f>
        <v/>
      </c>
      <c r="M808" s="4" t="s">
        <v>1098</v>
      </c>
      <c r="N808" s="4" t="str">
        <f>IF(Table13[[#This Row],[Function Col5]]="","",_xlfn.CONCAT(Table13[[#This Row],[Day Col]],"/",Table13[[#This Row],[Month Col]],"/",Table13[[#This Row],[Year Col]]))</f>
        <v/>
      </c>
      <c r="O808" s="4" t="s">
        <v>1098</v>
      </c>
      <c r="P808" s="4">
        <f>IF(ISNUMBER(Table13[[#This Row],[Claim_Date2]]),Table13[[#This Row],[Claim_Date2]],Table13[[#This Row],[Function Col32]])</f>
        <v>45100</v>
      </c>
      <c r="Q808" s="4">
        <v>45100</v>
      </c>
      <c r="R808" s="1" t="s">
        <v>92</v>
      </c>
      <c r="S808" s="1" t="s">
        <v>23</v>
      </c>
      <c r="T808" s="1" t="s">
        <v>48</v>
      </c>
      <c r="U808" s="1"/>
      <c r="V808" s="1">
        <v>-25</v>
      </c>
      <c r="W808" s="1">
        <f>IF(Table1[[#This Row],[Claim_Amount]]&lt;0,0,Table1[[#This Row],[Claim_Amount]])</f>
        <v>0</v>
      </c>
      <c r="X808" s="1" t="str">
        <f>IF(Table1[[#This Row],[Column1]]=0,"",Table1[[#This Row],[Column1]])</f>
        <v/>
      </c>
      <c r="Y808" s="1" t="s">
        <v>1098</v>
      </c>
      <c r="Z808" s="1">
        <v>2481</v>
      </c>
      <c r="AA808">
        <v>832</v>
      </c>
      <c r="AB808" s="1" t="s">
        <v>17</v>
      </c>
      <c r="AC808" s="1" t="s">
        <v>57</v>
      </c>
      <c r="AD808" s="1">
        <v>52</v>
      </c>
      <c r="AE808" s="3" t="s">
        <v>65</v>
      </c>
    </row>
    <row r="809" spans="1:31" ht="15.75" customHeight="1" x14ac:dyDescent="0.35">
      <c r="A809" s="1" t="s">
        <v>215</v>
      </c>
      <c r="B809" s="1" t="s">
        <v>950</v>
      </c>
      <c r="C809" t="s">
        <v>1084</v>
      </c>
      <c r="D809" s="1" t="s">
        <v>400</v>
      </c>
      <c r="E809" s="5" t="s">
        <v>400</v>
      </c>
      <c r="F809" s="4" t="str">
        <f>IF(ISNUMBER(Table13[[#This Row],[Claim_Date2]]),"",Table13[[#This Row],[Claim_Date2]])</f>
        <v>Jan 29 2023</v>
      </c>
      <c r="G809" s="4" t="s">
        <v>400</v>
      </c>
      <c r="H809" s="4" t="str">
        <f>LEFT(Table13[[#This Row],[Values Col 1]],3)</f>
        <v>Jan</v>
      </c>
      <c r="I809" s="4" t="s">
        <v>1107</v>
      </c>
      <c r="J809" s="4" t="str">
        <f>MID(Table13[[#This Row],[Function Col]],5,2)</f>
        <v>29</v>
      </c>
      <c r="K809" s="4" t="s">
        <v>1139</v>
      </c>
      <c r="L809" s="4" t="str">
        <f>RIGHT(Table13[[#This Row],[Function Col]],4)</f>
        <v>2023</v>
      </c>
      <c r="M809" s="4" t="s">
        <v>1146</v>
      </c>
      <c r="N809" s="4" t="str">
        <f>IF(Table13[[#This Row],[Function Col5]]="","",_xlfn.CONCAT(Table13[[#This Row],[Day Col]],"/",Table13[[#This Row],[Month Col]],"/",Table13[[#This Row],[Year Col]]))</f>
        <v>29/Jan/2023</v>
      </c>
      <c r="O809" s="4" t="s">
        <v>1211</v>
      </c>
      <c r="P809" s="4" t="str">
        <f>IF(ISNUMBER(Table13[[#This Row],[Claim_Date2]]),Table13[[#This Row],[Claim_Date2]],Table13[[#This Row],[Function Col32]])</f>
        <v>29/Jan/2023</v>
      </c>
      <c r="Q809" s="4">
        <v>44955</v>
      </c>
      <c r="R809" s="1" t="s">
        <v>16</v>
      </c>
      <c r="S809" s="1" t="s">
        <v>47</v>
      </c>
      <c r="T809" s="1" t="s">
        <v>61</v>
      </c>
      <c r="U809" s="1"/>
      <c r="W809">
        <f>IF(Table1[[#This Row],[Claim_Amount]]&lt;0,0,Table1[[#This Row],[Claim_Amount]])</f>
        <v>0</v>
      </c>
      <c r="X809" t="str">
        <f>IF(Table1[[#This Row],[Column1]]=0,"",Table1[[#This Row],[Column1]])</f>
        <v/>
      </c>
      <c r="Y809" t="s">
        <v>1098</v>
      </c>
      <c r="Z809">
        <v>2481</v>
      </c>
      <c r="AA809" s="1">
        <v>2419.5300000000002</v>
      </c>
      <c r="AB809" s="1" t="s">
        <v>17</v>
      </c>
      <c r="AC809" s="1" t="s">
        <v>18</v>
      </c>
      <c r="AD809" s="1">
        <v>60</v>
      </c>
      <c r="AE809" s="3" t="s">
        <v>65</v>
      </c>
    </row>
    <row r="810" spans="1:31" ht="15.75" customHeight="1" x14ac:dyDescent="0.35">
      <c r="A810" s="1" t="s">
        <v>163</v>
      </c>
      <c r="B810" t="s">
        <v>1083</v>
      </c>
      <c r="C810" t="s">
        <v>1084</v>
      </c>
      <c r="D810" s="1" t="s">
        <v>951</v>
      </c>
      <c r="E810" s="5">
        <v>45188</v>
      </c>
      <c r="F810" s="4" t="str">
        <f>IF(ISNUMBER(Table13[[#This Row],[Claim_Date2]]),"",Table13[[#This Row],[Claim_Date2]])</f>
        <v/>
      </c>
      <c r="G810" s="4" t="s">
        <v>1098</v>
      </c>
      <c r="H810" s="4" t="str">
        <f>LEFT(Table13[[#This Row],[Values Col 1]],3)</f>
        <v/>
      </c>
      <c r="I810" s="4" t="s">
        <v>1098</v>
      </c>
      <c r="J810" s="4" t="str">
        <f>MID(Table13[[#This Row],[Function Col]],5,2)</f>
        <v/>
      </c>
      <c r="K810" s="4" t="s">
        <v>1098</v>
      </c>
      <c r="L810" s="4" t="str">
        <f>RIGHT(Table13[[#This Row],[Function Col]],4)</f>
        <v/>
      </c>
      <c r="M810" s="4" t="s">
        <v>1098</v>
      </c>
      <c r="N810" s="4" t="str">
        <f>IF(Table13[[#This Row],[Function Col5]]="","",_xlfn.CONCAT(Table13[[#This Row],[Day Col]],"/",Table13[[#This Row],[Month Col]],"/",Table13[[#This Row],[Year Col]]))</f>
        <v/>
      </c>
      <c r="O810" s="4" t="s">
        <v>1098</v>
      </c>
      <c r="P810" s="4">
        <f>IF(ISNUMBER(Table13[[#This Row],[Claim_Date2]]),Table13[[#This Row],[Claim_Date2]],Table13[[#This Row],[Function Col32]])</f>
        <v>45188</v>
      </c>
      <c r="Q810" s="4">
        <v>45188</v>
      </c>
      <c r="R810" s="1" t="s">
        <v>16</v>
      </c>
      <c r="S810" t="s">
        <v>1085</v>
      </c>
      <c r="T810" t="s">
        <v>1086</v>
      </c>
      <c r="V810" s="1">
        <v>3500.77</v>
      </c>
      <c r="W810" s="1">
        <f>IF(Table1[[#This Row],[Claim_Amount]]&lt;0,0,Table1[[#This Row],[Claim_Amount]])</f>
        <v>3500.77</v>
      </c>
      <c r="X810" s="1">
        <f>IF(Table1[[#This Row],[Column1]]=0,"",Table1[[#This Row],[Column1]])</f>
        <v>3500.77</v>
      </c>
      <c r="Y810" s="1">
        <v>3500.77</v>
      </c>
      <c r="Z810" s="1">
        <v>3500.77</v>
      </c>
      <c r="AA810">
        <v>832</v>
      </c>
      <c r="AB810" s="1" t="s">
        <v>25</v>
      </c>
      <c r="AC810" s="1" t="s">
        <v>18</v>
      </c>
      <c r="AD810">
        <v>9</v>
      </c>
      <c r="AE810" s="3" t="s">
        <v>37</v>
      </c>
    </row>
    <row r="811" spans="1:31" ht="15.75" customHeight="1" x14ac:dyDescent="0.35">
      <c r="A811" s="1" t="s">
        <v>89</v>
      </c>
      <c r="B811" t="s">
        <v>1083</v>
      </c>
      <c r="C811" t="s">
        <v>1084</v>
      </c>
      <c r="D811" s="1" t="s">
        <v>952</v>
      </c>
      <c r="E811" s="5">
        <v>45187</v>
      </c>
      <c r="F811" s="4" t="str">
        <f>IF(ISNUMBER(Table13[[#This Row],[Claim_Date2]]),"",Table13[[#This Row],[Claim_Date2]])</f>
        <v/>
      </c>
      <c r="G811" s="4" t="s">
        <v>1098</v>
      </c>
      <c r="H811" s="4" t="str">
        <f>LEFT(Table13[[#This Row],[Values Col 1]],3)</f>
        <v/>
      </c>
      <c r="I811" s="4" t="s">
        <v>1098</v>
      </c>
      <c r="J811" s="4" t="str">
        <f>MID(Table13[[#This Row],[Function Col]],5,2)</f>
        <v/>
      </c>
      <c r="K811" s="4" t="s">
        <v>1098</v>
      </c>
      <c r="L811" s="4" t="str">
        <f>RIGHT(Table13[[#This Row],[Function Col]],4)</f>
        <v/>
      </c>
      <c r="M811" s="4" t="s">
        <v>1098</v>
      </c>
      <c r="N811" s="4" t="str">
        <f>IF(Table13[[#This Row],[Function Col5]]="","",_xlfn.CONCAT(Table13[[#This Row],[Day Col]],"/",Table13[[#This Row],[Month Col]],"/",Table13[[#This Row],[Year Col]]))</f>
        <v/>
      </c>
      <c r="O811" s="4" t="s">
        <v>1098</v>
      </c>
      <c r="P811" s="4">
        <f>IF(ISNUMBER(Table13[[#This Row],[Claim_Date2]]),Table13[[#This Row],[Claim_Date2]],Table13[[#This Row],[Function Col32]])</f>
        <v>45187</v>
      </c>
      <c r="Q811" s="4">
        <v>45187</v>
      </c>
      <c r="R811" s="1" t="s">
        <v>85</v>
      </c>
      <c r="S811" s="1" t="s">
        <v>47</v>
      </c>
      <c r="T811" s="1" t="s">
        <v>61</v>
      </c>
      <c r="U811" s="1"/>
      <c r="W811">
        <f>IF(Table1[[#This Row],[Claim_Amount]]&lt;0,0,Table1[[#This Row],[Claim_Amount]])</f>
        <v>0</v>
      </c>
      <c r="X811" t="str">
        <f>IF(Table1[[#This Row],[Column1]]=0,"",Table1[[#This Row],[Column1]])</f>
        <v/>
      </c>
      <c r="Y811" t="s">
        <v>1098</v>
      </c>
      <c r="Z811">
        <v>2481</v>
      </c>
      <c r="AA811">
        <v>832</v>
      </c>
      <c r="AB811" s="1" t="s">
        <v>1091</v>
      </c>
      <c r="AC811" s="1" t="s">
        <v>1093</v>
      </c>
      <c r="AD811" s="1">
        <v>10</v>
      </c>
      <c r="AE811" s="3" t="s">
        <v>1097</v>
      </c>
    </row>
    <row r="812" spans="1:31" ht="15.75" customHeight="1" x14ac:dyDescent="0.35">
      <c r="A812" s="1" t="s">
        <v>247</v>
      </c>
      <c r="B812" s="1" t="s">
        <v>953</v>
      </c>
      <c r="C812" t="s">
        <v>1084</v>
      </c>
      <c r="D812" s="1" t="s">
        <v>954</v>
      </c>
      <c r="E812" s="5">
        <v>44988</v>
      </c>
      <c r="F812" s="4" t="str">
        <f>IF(ISNUMBER(Table13[[#This Row],[Claim_Date2]]),"",Table13[[#This Row],[Claim_Date2]])</f>
        <v/>
      </c>
      <c r="G812" s="4" t="s">
        <v>1098</v>
      </c>
      <c r="H812" s="4" t="str">
        <f>LEFT(Table13[[#This Row],[Values Col 1]],3)</f>
        <v/>
      </c>
      <c r="I812" s="4" t="s">
        <v>1098</v>
      </c>
      <c r="J812" s="4" t="str">
        <f>MID(Table13[[#This Row],[Function Col]],5,2)</f>
        <v/>
      </c>
      <c r="K812" s="4" t="s">
        <v>1098</v>
      </c>
      <c r="L812" s="4" t="str">
        <f>RIGHT(Table13[[#This Row],[Function Col]],4)</f>
        <v/>
      </c>
      <c r="M812" s="4" t="s">
        <v>1098</v>
      </c>
      <c r="N812" s="4" t="str">
        <f>IF(Table13[[#This Row],[Function Col5]]="","",_xlfn.CONCAT(Table13[[#This Row],[Day Col]],"/",Table13[[#This Row],[Month Col]],"/",Table13[[#This Row],[Year Col]]))</f>
        <v/>
      </c>
      <c r="O812" s="4" t="s">
        <v>1098</v>
      </c>
      <c r="P812" s="4">
        <f>IF(ISNUMBER(Table13[[#This Row],[Claim_Date2]]),Table13[[#This Row],[Claim_Date2]],Table13[[#This Row],[Function Col32]])</f>
        <v>44988</v>
      </c>
      <c r="Q812" s="4">
        <v>44988</v>
      </c>
      <c r="R812" s="1" t="s">
        <v>77</v>
      </c>
      <c r="S812" s="1" t="s">
        <v>23</v>
      </c>
      <c r="T812" s="1" t="s">
        <v>48</v>
      </c>
      <c r="U812" s="1"/>
      <c r="V812" s="1">
        <v>-176</v>
      </c>
      <c r="W812" s="1">
        <f>IF(Table1[[#This Row],[Claim_Amount]]&lt;0,0,Table1[[#This Row],[Claim_Amount]])</f>
        <v>0</v>
      </c>
      <c r="X812" s="1" t="str">
        <f>IF(Table1[[#This Row],[Column1]]=0,"",Table1[[#This Row],[Column1]])</f>
        <v/>
      </c>
      <c r="Y812" s="1" t="s">
        <v>1098</v>
      </c>
      <c r="Z812" s="1">
        <v>2481</v>
      </c>
      <c r="AA812" s="1">
        <v>1062.72</v>
      </c>
      <c r="AB812" s="1" t="s">
        <v>25</v>
      </c>
      <c r="AC812" s="1" t="s">
        <v>1093</v>
      </c>
      <c r="AD812" s="1">
        <v>51</v>
      </c>
      <c r="AE812" s="3" t="s">
        <v>65</v>
      </c>
    </row>
    <row r="813" spans="1:31" ht="15.75" customHeight="1" x14ac:dyDescent="0.35">
      <c r="A813" s="1" t="s">
        <v>212</v>
      </c>
      <c r="B813" t="s">
        <v>1083</v>
      </c>
      <c r="C813" t="s">
        <v>1084</v>
      </c>
      <c r="D813" s="1" t="s">
        <v>91</v>
      </c>
      <c r="E813" s="5" t="s">
        <v>91</v>
      </c>
      <c r="F813" s="4" t="str">
        <f>IF(ISNUMBER(Table13[[#This Row],[Claim_Date2]]),"",Table13[[#This Row],[Claim_Date2]])</f>
        <v>Apr 20 2023</v>
      </c>
      <c r="G813" s="4" t="s">
        <v>91</v>
      </c>
      <c r="H813" s="4" t="str">
        <f>LEFT(Table13[[#This Row],[Values Col 1]],3)</f>
        <v>Apr</v>
      </c>
      <c r="I813" s="4" t="s">
        <v>1104</v>
      </c>
      <c r="J813" s="4" t="str">
        <f>MID(Table13[[#This Row],[Function Col]],5,2)</f>
        <v>20</v>
      </c>
      <c r="K813" s="4" t="s">
        <v>1118</v>
      </c>
      <c r="L813" s="4" t="str">
        <f>RIGHT(Table13[[#This Row],[Function Col]],4)</f>
        <v>2023</v>
      </c>
      <c r="M813" s="4" t="s">
        <v>1146</v>
      </c>
      <c r="N813" s="4" t="str">
        <f>IF(Table13[[#This Row],[Function Col5]]="","",_xlfn.CONCAT(Table13[[#This Row],[Day Col]],"/",Table13[[#This Row],[Month Col]],"/",Table13[[#This Row],[Year Col]]))</f>
        <v>20/Apr/2023</v>
      </c>
      <c r="O813" s="4" t="s">
        <v>1157</v>
      </c>
      <c r="P813" s="4" t="str">
        <f>IF(ISNUMBER(Table13[[#This Row],[Claim_Date2]]),Table13[[#This Row],[Claim_Date2]],Table13[[#This Row],[Function Col32]])</f>
        <v>20/Apr/2023</v>
      </c>
      <c r="Q813" s="4">
        <v>45036</v>
      </c>
      <c r="R813" s="1" t="s">
        <v>85</v>
      </c>
      <c r="S813" s="1" t="s">
        <v>31</v>
      </c>
      <c r="T813" s="1" t="s">
        <v>41</v>
      </c>
      <c r="U813" s="1"/>
      <c r="W813">
        <f>IF(Table1[[#This Row],[Claim_Amount]]&lt;0,0,Table1[[#This Row],[Claim_Amount]])</f>
        <v>0</v>
      </c>
      <c r="X813" t="str">
        <f>IF(Table1[[#This Row],[Column1]]=0,"",Table1[[#This Row],[Column1]])</f>
        <v/>
      </c>
      <c r="Y813" t="s">
        <v>1098</v>
      </c>
      <c r="Z813">
        <v>2481</v>
      </c>
      <c r="AA813">
        <v>832</v>
      </c>
      <c r="AB813" s="1" t="s">
        <v>17</v>
      </c>
      <c r="AC813" s="1" t="s">
        <v>57</v>
      </c>
      <c r="AD813">
        <v>9</v>
      </c>
      <c r="AE813" s="3" t="s">
        <v>19</v>
      </c>
    </row>
    <row r="814" spans="1:31" ht="15.75" customHeight="1" x14ac:dyDescent="0.35">
      <c r="A814" s="1" t="s">
        <v>187</v>
      </c>
      <c r="B814" t="s">
        <v>1083</v>
      </c>
      <c r="C814" t="s">
        <v>1084</v>
      </c>
      <c r="D814" s="1" t="s">
        <v>955</v>
      </c>
      <c r="E814" s="5">
        <v>45094</v>
      </c>
      <c r="F814" s="4" t="str">
        <f>IF(ISNUMBER(Table13[[#This Row],[Claim_Date2]]),"",Table13[[#This Row],[Claim_Date2]])</f>
        <v/>
      </c>
      <c r="G814" s="4" t="s">
        <v>1098</v>
      </c>
      <c r="H814" s="4" t="str">
        <f>LEFT(Table13[[#This Row],[Values Col 1]],3)</f>
        <v/>
      </c>
      <c r="I814" s="4" t="s">
        <v>1098</v>
      </c>
      <c r="J814" s="4" t="str">
        <f>MID(Table13[[#This Row],[Function Col]],5,2)</f>
        <v/>
      </c>
      <c r="K814" s="4" t="s">
        <v>1098</v>
      </c>
      <c r="L814" s="4" t="str">
        <f>RIGHT(Table13[[#This Row],[Function Col]],4)</f>
        <v/>
      </c>
      <c r="M814" s="4" t="s">
        <v>1098</v>
      </c>
      <c r="N814" s="4" t="str">
        <f>IF(Table13[[#This Row],[Function Col5]]="","",_xlfn.CONCAT(Table13[[#This Row],[Day Col]],"/",Table13[[#This Row],[Month Col]],"/",Table13[[#This Row],[Year Col]]))</f>
        <v/>
      </c>
      <c r="O814" s="4" t="s">
        <v>1098</v>
      </c>
      <c r="P814" s="4">
        <f>IF(ISNUMBER(Table13[[#This Row],[Claim_Date2]]),Table13[[#This Row],[Claim_Date2]],Table13[[#This Row],[Function Col32]])</f>
        <v>45094</v>
      </c>
      <c r="Q814" s="4">
        <v>45094</v>
      </c>
      <c r="R814" s="1" t="s">
        <v>30</v>
      </c>
      <c r="S814" s="1" t="s">
        <v>93</v>
      </c>
      <c r="T814" s="1" t="s">
        <v>48</v>
      </c>
      <c r="U814" s="1"/>
      <c r="W814">
        <f>IF(Table1[[#This Row],[Claim_Amount]]&lt;0,0,Table1[[#This Row],[Claim_Amount]])</f>
        <v>0</v>
      </c>
      <c r="X814" t="str">
        <f>IF(Table1[[#This Row],[Column1]]=0,"",Table1[[#This Row],[Column1]])</f>
        <v/>
      </c>
      <c r="Y814" t="s">
        <v>1098</v>
      </c>
      <c r="Z814">
        <v>2481</v>
      </c>
      <c r="AA814">
        <v>832</v>
      </c>
      <c r="AB814" s="1" t="s">
        <v>17</v>
      </c>
      <c r="AC814" s="1" t="s">
        <v>26</v>
      </c>
      <c r="AD814" s="1">
        <v>39</v>
      </c>
      <c r="AE814" s="3" t="s">
        <v>19</v>
      </c>
    </row>
    <row r="815" spans="1:31" ht="15.75" customHeight="1" x14ac:dyDescent="0.35">
      <c r="A815" s="1" t="s">
        <v>105</v>
      </c>
      <c r="B815" s="1" t="s">
        <v>956</v>
      </c>
      <c r="C815" t="s">
        <v>1084</v>
      </c>
      <c r="D815" s="1" t="s">
        <v>320</v>
      </c>
      <c r="E815" s="5">
        <v>45082</v>
      </c>
      <c r="F815" s="4" t="str">
        <f>IF(ISNUMBER(Table13[[#This Row],[Claim_Date2]]),"",Table13[[#This Row],[Claim_Date2]])</f>
        <v/>
      </c>
      <c r="G815" s="4" t="s">
        <v>1098</v>
      </c>
      <c r="H815" s="4" t="str">
        <f>LEFT(Table13[[#This Row],[Values Col 1]],3)</f>
        <v/>
      </c>
      <c r="I815" s="4" t="s">
        <v>1098</v>
      </c>
      <c r="J815" s="4" t="str">
        <f>MID(Table13[[#This Row],[Function Col]],5,2)</f>
        <v/>
      </c>
      <c r="K815" s="4" t="s">
        <v>1098</v>
      </c>
      <c r="L815" s="4" t="str">
        <f>RIGHT(Table13[[#This Row],[Function Col]],4)</f>
        <v/>
      </c>
      <c r="M815" s="4" t="s">
        <v>1098</v>
      </c>
      <c r="N815" s="4" t="str">
        <f>IF(Table13[[#This Row],[Function Col5]]="","",_xlfn.CONCAT(Table13[[#This Row],[Day Col]],"/",Table13[[#This Row],[Month Col]],"/",Table13[[#This Row],[Year Col]]))</f>
        <v/>
      </c>
      <c r="O815" s="4" t="s">
        <v>1098</v>
      </c>
      <c r="P815" s="4">
        <f>IF(ISNUMBER(Table13[[#This Row],[Claim_Date2]]),Table13[[#This Row],[Claim_Date2]],Table13[[#This Row],[Function Col32]])</f>
        <v>45082</v>
      </c>
      <c r="Q815" s="4">
        <v>45082</v>
      </c>
      <c r="R815" s="1" t="s">
        <v>16</v>
      </c>
      <c r="S815" s="1" t="s">
        <v>47</v>
      </c>
      <c r="T815" s="1" t="s">
        <v>24</v>
      </c>
      <c r="U815" s="1"/>
      <c r="W815">
        <f>IF(Table1[[#This Row],[Claim_Amount]]&lt;0,0,Table1[[#This Row],[Claim_Amount]])</f>
        <v>0</v>
      </c>
      <c r="X815" t="str">
        <f>IF(Table1[[#This Row],[Column1]]=0,"",Table1[[#This Row],[Column1]])</f>
        <v/>
      </c>
      <c r="Y815" t="s">
        <v>1098</v>
      </c>
      <c r="Z815">
        <v>2481</v>
      </c>
      <c r="AA815">
        <v>832</v>
      </c>
      <c r="AB815" s="1" t="s">
        <v>42</v>
      </c>
      <c r="AC815" s="1" t="s">
        <v>26</v>
      </c>
      <c r="AD815">
        <v>9</v>
      </c>
      <c r="AE815" s="3" t="s">
        <v>19</v>
      </c>
    </row>
    <row r="816" spans="1:31" ht="15.75" customHeight="1" x14ac:dyDescent="0.35">
      <c r="A816" s="1" t="s">
        <v>192</v>
      </c>
      <c r="B816" s="1" t="s">
        <v>847</v>
      </c>
      <c r="C816" t="s">
        <v>1084</v>
      </c>
      <c r="D816" s="1" t="s">
        <v>957</v>
      </c>
      <c r="E816" s="5">
        <v>44999</v>
      </c>
      <c r="F816" s="4" t="str">
        <f>IF(ISNUMBER(Table13[[#This Row],[Claim_Date2]]),"",Table13[[#This Row],[Claim_Date2]])</f>
        <v/>
      </c>
      <c r="G816" s="4" t="s">
        <v>1098</v>
      </c>
      <c r="H816" s="4" t="str">
        <f>LEFT(Table13[[#This Row],[Values Col 1]],3)</f>
        <v/>
      </c>
      <c r="I816" s="4" t="s">
        <v>1098</v>
      </c>
      <c r="J816" s="4" t="str">
        <f>MID(Table13[[#This Row],[Function Col]],5,2)</f>
        <v/>
      </c>
      <c r="K816" s="4" t="s">
        <v>1098</v>
      </c>
      <c r="L816" s="4" t="str">
        <f>RIGHT(Table13[[#This Row],[Function Col]],4)</f>
        <v/>
      </c>
      <c r="M816" s="4" t="s">
        <v>1098</v>
      </c>
      <c r="N816" s="4" t="str">
        <f>IF(Table13[[#This Row],[Function Col5]]="","",_xlfn.CONCAT(Table13[[#This Row],[Day Col]],"/",Table13[[#This Row],[Month Col]],"/",Table13[[#This Row],[Year Col]]))</f>
        <v/>
      </c>
      <c r="O816" s="4" t="s">
        <v>1098</v>
      </c>
      <c r="P816" s="4">
        <f>IF(ISNUMBER(Table13[[#This Row],[Claim_Date2]]),Table13[[#This Row],[Claim_Date2]],Table13[[#This Row],[Function Col32]])</f>
        <v>44999</v>
      </c>
      <c r="Q816" s="4">
        <v>44999</v>
      </c>
      <c r="R816" s="1" t="s">
        <v>16</v>
      </c>
      <c r="S816" t="s">
        <v>1085</v>
      </c>
      <c r="T816" t="s">
        <v>1086</v>
      </c>
      <c r="V816" s="1">
        <v>-17</v>
      </c>
      <c r="W816" s="1">
        <f>IF(Table1[[#This Row],[Claim_Amount]]&lt;0,0,Table1[[#This Row],[Claim_Amount]])</f>
        <v>0</v>
      </c>
      <c r="X816" s="1" t="str">
        <f>IF(Table1[[#This Row],[Column1]]=0,"",Table1[[#This Row],[Column1]])</f>
        <v/>
      </c>
      <c r="Y816" s="1" t="s">
        <v>1098</v>
      </c>
      <c r="Z816" s="1">
        <v>2481</v>
      </c>
      <c r="AA816" s="1">
        <v>914.18</v>
      </c>
      <c r="AB816" s="1" t="s">
        <v>25</v>
      </c>
      <c r="AC816" s="1" t="s">
        <v>18</v>
      </c>
      <c r="AD816">
        <v>9</v>
      </c>
      <c r="AE816" s="3" t="s">
        <v>1097</v>
      </c>
    </row>
    <row r="817" spans="1:31" ht="15.75" customHeight="1" x14ac:dyDescent="0.35">
      <c r="A817" s="1" t="s">
        <v>38</v>
      </c>
      <c r="B817" s="1" t="s">
        <v>310</v>
      </c>
      <c r="C817" t="s">
        <v>1084</v>
      </c>
      <c r="D817" s="1" t="s">
        <v>690</v>
      </c>
      <c r="E817" s="5">
        <v>44959</v>
      </c>
      <c r="F817" s="4" t="str">
        <f>IF(ISNUMBER(Table13[[#This Row],[Claim_Date2]]),"",Table13[[#This Row],[Claim_Date2]])</f>
        <v/>
      </c>
      <c r="G817" s="4" t="s">
        <v>1098</v>
      </c>
      <c r="H817" s="4" t="str">
        <f>LEFT(Table13[[#This Row],[Values Col 1]],3)</f>
        <v/>
      </c>
      <c r="I817" s="4" t="s">
        <v>1098</v>
      </c>
      <c r="J817" s="4" t="str">
        <f>MID(Table13[[#This Row],[Function Col]],5,2)</f>
        <v/>
      </c>
      <c r="K817" s="4" t="s">
        <v>1098</v>
      </c>
      <c r="L817" s="4" t="str">
        <f>RIGHT(Table13[[#This Row],[Function Col]],4)</f>
        <v/>
      </c>
      <c r="M817" s="4" t="s">
        <v>1098</v>
      </c>
      <c r="N817" s="4" t="str">
        <f>IF(Table13[[#This Row],[Function Col5]]="","",_xlfn.CONCAT(Table13[[#This Row],[Day Col]],"/",Table13[[#This Row],[Month Col]],"/",Table13[[#This Row],[Year Col]]))</f>
        <v/>
      </c>
      <c r="O817" s="4" t="s">
        <v>1098</v>
      </c>
      <c r="P817" s="4">
        <f>IF(ISNUMBER(Table13[[#This Row],[Claim_Date2]]),Table13[[#This Row],[Claim_Date2]],Table13[[#This Row],[Function Col32]])</f>
        <v>44959</v>
      </c>
      <c r="Q817" s="4">
        <v>44959</v>
      </c>
      <c r="R817" s="1" t="s">
        <v>16</v>
      </c>
      <c r="S817" s="1" t="s">
        <v>53</v>
      </c>
      <c r="T817" t="s">
        <v>1086</v>
      </c>
      <c r="V817" s="1">
        <v>-19</v>
      </c>
      <c r="W817" s="1">
        <f>IF(Table1[[#This Row],[Claim_Amount]]&lt;0,0,Table1[[#This Row],[Claim_Amount]])</f>
        <v>0</v>
      </c>
      <c r="X817" s="1" t="str">
        <f>IF(Table1[[#This Row],[Column1]]=0,"",Table1[[#This Row],[Column1]])</f>
        <v/>
      </c>
      <c r="Y817" s="1" t="s">
        <v>1098</v>
      </c>
      <c r="Z817" s="1">
        <v>2481</v>
      </c>
      <c r="AA817">
        <v>832</v>
      </c>
      <c r="AB817" s="1" t="s">
        <v>25</v>
      </c>
      <c r="AC817" s="1" t="s">
        <v>18</v>
      </c>
      <c r="AD817">
        <v>9</v>
      </c>
      <c r="AE817" s="3" t="s">
        <v>19</v>
      </c>
    </row>
    <row r="818" spans="1:31" ht="15.75" customHeight="1" x14ac:dyDescent="0.35">
      <c r="A818" s="1" t="s">
        <v>249</v>
      </c>
      <c r="B818" t="s">
        <v>1083</v>
      </c>
      <c r="C818" t="s">
        <v>1084</v>
      </c>
      <c r="D818" s="1" t="s">
        <v>145</v>
      </c>
      <c r="E818" s="5">
        <v>45172</v>
      </c>
      <c r="F818" s="4" t="str">
        <f>IF(ISNUMBER(Table13[[#This Row],[Claim_Date2]]),"",Table13[[#This Row],[Claim_Date2]])</f>
        <v/>
      </c>
      <c r="G818" s="4" t="s">
        <v>1098</v>
      </c>
      <c r="H818" s="4" t="str">
        <f>LEFT(Table13[[#This Row],[Values Col 1]],3)</f>
        <v/>
      </c>
      <c r="I818" s="4" t="s">
        <v>1098</v>
      </c>
      <c r="J818" s="4" t="str">
        <f>MID(Table13[[#This Row],[Function Col]],5,2)</f>
        <v/>
      </c>
      <c r="K818" s="4" t="s">
        <v>1098</v>
      </c>
      <c r="L818" s="4" t="str">
        <f>RIGHT(Table13[[#This Row],[Function Col]],4)</f>
        <v/>
      </c>
      <c r="M818" s="4" t="s">
        <v>1098</v>
      </c>
      <c r="N818" s="4" t="str">
        <f>IF(Table13[[#This Row],[Function Col5]]="","",_xlfn.CONCAT(Table13[[#This Row],[Day Col]],"/",Table13[[#This Row],[Month Col]],"/",Table13[[#This Row],[Year Col]]))</f>
        <v/>
      </c>
      <c r="O818" s="4" t="s">
        <v>1098</v>
      </c>
      <c r="P818" s="4">
        <f>IF(ISNUMBER(Table13[[#This Row],[Claim_Date2]]),Table13[[#This Row],[Claim_Date2]],Table13[[#This Row],[Function Col32]])</f>
        <v>45172</v>
      </c>
      <c r="Q818" s="4">
        <v>45172</v>
      </c>
      <c r="R818" s="1" t="s">
        <v>16</v>
      </c>
      <c r="S818" s="1" t="s">
        <v>31</v>
      </c>
      <c r="T818" s="1" t="s">
        <v>24</v>
      </c>
      <c r="U818" s="1"/>
      <c r="V818" s="1">
        <v>1212.3499999999999</v>
      </c>
      <c r="W818" s="1">
        <f>IF(Table1[[#This Row],[Claim_Amount]]&lt;0,0,Table1[[#This Row],[Claim_Amount]])</f>
        <v>1212.3499999999999</v>
      </c>
      <c r="X818" s="1">
        <f>IF(Table1[[#This Row],[Column1]]=0,"",Table1[[#This Row],[Column1]])</f>
        <v>1212.3499999999999</v>
      </c>
      <c r="Y818" s="1">
        <v>1212.3499999999999</v>
      </c>
      <c r="Z818" s="1">
        <v>1212.3499999999999</v>
      </c>
      <c r="AA818" s="1">
        <v>4979.3999999999996</v>
      </c>
      <c r="AB818" s="1" t="s">
        <v>1091</v>
      </c>
      <c r="AC818" s="1" t="s">
        <v>1093</v>
      </c>
      <c r="AD818">
        <v>9</v>
      </c>
      <c r="AE818" s="3" t="s">
        <v>37</v>
      </c>
    </row>
    <row r="819" spans="1:31" ht="15.75" customHeight="1" x14ac:dyDescent="0.35">
      <c r="A819" s="1" t="s">
        <v>179</v>
      </c>
      <c r="B819" t="s">
        <v>1083</v>
      </c>
      <c r="C819" s="1" t="s">
        <v>133</v>
      </c>
      <c r="D819" s="1" t="s">
        <v>559</v>
      </c>
      <c r="E819" s="5" t="s">
        <v>559</v>
      </c>
      <c r="F819" s="4" t="str">
        <f>IF(ISNUMBER(Table13[[#This Row],[Claim_Date2]]),"",Table13[[#This Row],[Claim_Date2]])</f>
        <v>Feb 15 2023</v>
      </c>
      <c r="G819" s="4" t="s">
        <v>559</v>
      </c>
      <c r="H819" s="4" t="str">
        <f>LEFT(Table13[[#This Row],[Values Col 1]],3)</f>
        <v>Feb</v>
      </c>
      <c r="I819" s="4" t="s">
        <v>1109</v>
      </c>
      <c r="J819" s="4" t="str">
        <f>MID(Table13[[#This Row],[Function Col]],5,2)</f>
        <v>15</v>
      </c>
      <c r="K819" s="4" t="s">
        <v>1116</v>
      </c>
      <c r="L819" s="4" t="str">
        <f>RIGHT(Table13[[#This Row],[Function Col]],4)</f>
        <v>2023</v>
      </c>
      <c r="M819" s="4" t="s">
        <v>1146</v>
      </c>
      <c r="N819" s="4" t="str">
        <f>IF(Table13[[#This Row],[Function Col5]]="","",_xlfn.CONCAT(Table13[[#This Row],[Day Col]],"/",Table13[[#This Row],[Month Col]],"/",Table13[[#This Row],[Year Col]]))</f>
        <v>15/Feb/2023</v>
      </c>
      <c r="O819" s="4" t="s">
        <v>1245</v>
      </c>
      <c r="P819" s="4" t="str">
        <f>IF(ISNUMBER(Table13[[#This Row],[Claim_Date2]]),Table13[[#This Row],[Claim_Date2]],Table13[[#This Row],[Function Col32]])</f>
        <v>15/Feb/2023</v>
      </c>
      <c r="Q819" s="4">
        <v>44972</v>
      </c>
      <c r="R819" s="1" t="s">
        <v>92</v>
      </c>
      <c r="S819" s="1" t="s">
        <v>53</v>
      </c>
      <c r="T819" s="1" t="s">
        <v>48</v>
      </c>
      <c r="U819" s="1"/>
      <c r="W819">
        <f>IF(Table1[[#This Row],[Claim_Amount]]&lt;0,0,Table1[[#This Row],[Claim_Amount]])</f>
        <v>0</v>
      </c>
      <c r="X819" t="str">
        <f>IF(Table1[[#This Row],[Column1]]=0,"",Table1[[#This Row],[Column1]])</f>
        <v/>
      </c>
      <c r="Y819" t="s">
        <v>1098</v>
      </c>
      <c r="Z819">
        <v>2481</v>
      </c>
      <c r="AA819">
        <v>832</v>
      </c>
      <c r="AB819" s="1" t="s">
        <v>17</v>
      </c>
      <c r="AC819" s="1" t="s">
        <v>32</v>
      </c>
      <c r="AD819">
        <v>9</v>
      </c>
      <c r="AE819" s="3" t="s">
        <v>27</v>
      </c>
    </row>
    <row r="820" spans="1:31" ht="15.75" customHeight="1" x14ac:dyDescent="0.35">
      <c r="A820" s="1" t="s">
        <v>70</v>
      </c>
      <c r="B820" t="s">
        <v>1083</v>
      </c>
      <c r="C820" t="s">
        <v>1084</v>
      </c>
      <c r="D820" s="1" t="s">
        <v>958</v>
      </c>
      <c r="E820" s="5">
        <v>45166</v>
      </c>
      <c r="F820" s="4" t="str">
        <f>IF(ISNUMBER(Table13[[#This Row],[Claim_Date2]]),"",Table13[[#This Row],[Claim_Date2]])</f>
        <v/>
      </c>
      <c r="G820" s="4" t="s">
        <v>1098</v>
      </c>
      <c r="H820" s="4" t="str">
        <f>LEFT(Table13[[#This Row],[Values Col 1]],3)</f>
        <v/>
      </c>
      <c r="I820" s="4" t="s">
        <v>1098</v>
      </c>
      <c r="J820" s="4" t="str">
        <f>MID(Table13[[#This Row],[Function Col]],5,2)</f>
        <v/>
      </c>
      <c r="K820" s="4" t="s">
        <v>1098</v>
      </c>
      <c r="L820" s="4" t="str">
        <f>RIGHT(Table13[[#This Row],[Function Col]],4)</f>
        <v/>
      </c>
      <c r="M820" s="4" t="s">
        <v>1098</v>
      </c>
      <c r="N820" s="4" t="str">
        <f>IF(Table13[[#This Row],[Function Col5]]="","",_xlfn.CONCAT(Table13[[#This Row],[Day Col]],"/",Table13[[#This Row],[Month Col]],"/",Table13[[#This Row],[Year Col]]))</f>
        <v/>
      </c>
      <c r="O820" s="4" t="s">
        <v>1098</v>
      </c>
      <c r="P820" s="4">
        <f>IF(ISNUMBER(Table13[[#This Row],[Claim_Date2]]),Table13[[#This Row],[Claim_Date2]],Table13[[#This Row],[Function Col32]])</f>
        <v>45166</v>
      </c>
      <c r="Q820" s="4">
        <v>45166</v>
      </c>
      <c r="R820" s="1" t="s">
        <v>85</v>
      </c>
      <c r="S820" t="s">
        <v>1085</v>
      </c>
      <c r="T820" s="1" t="s">
        <v>48</v>
      </c>
      <c r="U820" s="1"/>
      <c r="W820">
        <f>IF(Table1[[#This Row],[Claim_Amount]]&lt;0,0,Table1[[#This Row],[Claim_Amount]])</f>
        <v>0</v>
      </c>
      <c r="X820" t="str">
        <f>IF(Table1[[#This Row],[Column1]]=0,"",Table1[[#This Row],[Column1]])</f>
        <v/>
      </c>
      <c r="Y820" t="s">
        <v>1098</v>
      </c>
      <c r="Z820">
        <v>2481</v>
      </c>
      <c r="AA820" s="1">
        <v>4808.8599999999997</v>
      </c>
      <c r="AB820" s="1" t="s">
        <v>1091</v>
      </c>
      <c r="AC820" s="1" t="s">
        <v>32</v>
      </c>
      <c r="AD820" s="1">
        <v>56</v>
      </c>
      <c r="AE820" s="3" t="s">
        <v>27</v>
      </c>
    </row>
    <row r="821" spans="1:31" ht="15.75" customHeight="1" x14ac:dyDescent="0.35">
      <c r="A821" s="1" t="s">
        <v>28</v>
      </c>
      <c r="B821" t="s">
        <v>1083</v>
      </c>
      <c r="C821" s="1" t="s">
        <v>232</v>
      </c>
      <c r="D821" s="1" t="s">
        <v>813</v>
      </c>
      <c r="E821" s="5" t="s">
        <v>813</v>
      </c>
      <c r="F821" s="4" t="str">
        <f>IF(ISNUMBER(Table13[[#This Row],[Claim_Date2]]),"",Table13[[#This Row],[Claim_Date2]])</f>
        <v>Sep 17 2023</v>
      </c>
      <c r="G821" s="4" t="s">
        <v>813</v>
      </c>
      <c r="H821" s="4" t="str">
        <f>LEFT(Table13[[#This Row],[Values Col 1]],3)</f>
        <v>Sep</v>
      </c>
      <c r="I821" s="4" t="s">
        <v>1102</v>
      </c>
      <c r="J821" s="4" t="str">
        <f>MID(Table13[[#This Row],[Function Col]],5,2)</f>
        <v>17</v>
      </c>
      <c r="K821" s="4" t="s">
        <v>1140</v>
      </c>
      <c r="L821" s="4" t="str">
        <f>RIGHT(Table13[[#This Row],[Function Col]],4)</f>
        <v>2023</v>
      </c>
      <c r="M821" s="4" t="s">
        <v>1146</v>
      </c>
      <c r="N821" s="4" t="str">
        <f>IF(Table13[[#This Row],[Function Col5]]="","",_xlfn.CONCAT(Table13[[#This Row],[Day Col]],"/",Table13[[#This Row],[Month Col]],"/",Table13[[#This Row],[Year Col]]))</f>
        <v>17/Sep/2023</v>
      </c>
      <c r="O821" s="4" t="s">
        <v>1305</v>
      </c>
      <c r="P821" s="4" t="str">
        <f>IF(ISNUMBER(Table13[[#This Row],[Claim_Date2]]),Table13[[#This Row],[Claim_Date2]],Table13[[#This Row],[Function Col32]])</f>
        <v>17/Sep/2023</v>
      </c>
      <c r="Q821" s="4">
        <v>45186</v>
      </c>
      <c r="R821" s="1" t="s">
        <v>85</v>
      </c>
      <c r="S821" s="1" t="s">
        <v>47</v>
      </c>
      <c r="T821" s="1" t="s">
        <v>41</v>
      </c>
      <c r="U821" s="1"/>
      <c r="W821">
        <f>IF(Table1[[#This Row],[Claim_Amount]]&lt;0,0,Table1[[#This Row],[Claim_Amount]])</f>
        <v>0</v>
      </c>
      <c r="X821" t="str">
        <f>IF(Table1[[#This Row],[Column1]]=0,"",Table1[[#This Row],[Column1]])</f>
        <v/>
      </c>
      <c r="Y821" t="s">
        <v>1098</v>
      </c>
      <c r="Z821">
        <v>2481</v>
      </c>
      <c r="AA821">
        <v>832</v>
      </c>
      <c r="AB821" s="1" t="s">
        <v>17</v>
      </c>
      <c r="AC821" s="1" t="s">
        <v>18</v>
      </c>
      <c r="AD821">
        <v>9</v>
      </c>
      <c r="AE821" s="3" t="s">
        <v>37</v>
      </c>
    </row>
    <row r="822" spans="1:31" ht="15.75" customHeight="1" x14ac:dyDescent="0.35">
      <c r="A822" s="1" t="s">
        <v>96</v>
      </c>
      <c r="B822" s="1" t="s">
        <v>959</v>
      </c>
      <c r="C822" s="1" t="s">
        <v>613</v>
      </c>
      <c r="D822" s="1" t="s">
        <v>670</v>
      </c>
      <c r="E822" s="5">
        <v>45193</v>
      </c>
      <c r="F822" s="4" t="str">
        <f>IF(ISNUMBER(Table13[[#This Row],[Claim_Date2]]),"",Table13[[#This Row],[Claim_Date2]])</f>
        <v/>
      </c>
      <c r="G822" s="4" t="s">
        <v>1098</v>
      </c>
      <c r="H822" s="4" t="str">
        <f>LEFT(Table13[[#This Row],[Values Col 1]],3)</f>
        <v/>
      </c>
      <c r="I822" s="4" t="s">
        <v>1098</v>
      </c>
      <c r="J822" s="4" t="str">
        <f>MID(Table13[[#This Row],[Function Col]],5,2)</f>
        <v/>
      </c>
      <c r="K822" s="4" t="s">
        <v>1098</v>
      </c>
      <c r="L822" s="4" t="str">
        <f>RIGHT(Table13[[#This Row],[Function Col]],4)</f>
        <v/>
      </c>
      <c r="M822" s="4" t="s">
        <v>1098</v>
      </c>
      <c r="N822" s="4" t="str">
        <f>IF(Table13[[#This Row],[Function Col5]]="","",_xlfn.CONCAT(Table13[[#This Row],[Day Col]],"/",Table13[[#This Row],[Month Col]],"/",Table13[[#This Row],[Year Col]]))</f>
        <v/>
      </c>
      <c r="O822" s="4" t="s">
        <v>1098</v>
      </c>
      <c r="P822" s="4">
        <f>IF(ISNUMBER(Table13[[#This Row],[Claim_Date2]]),Table13[[#This Row],[Claim_Date2]],Table13[[#This Row],[Function Col32]])</f>
        <v>45193</v>
      </c>
      <c r="Q822" s="4">
        <v>45193</v>
      </c>
      <c r="R822" s="1" t="s">
        <v>92</v>
      </c>
      <c r="S822" s="1" t="s">
        <v>47</v>
      </c>
      <c r="T822" t="s">
        <v>1086</v>
      </c>
      <c r="W822">
        <f>IF(Table1[[#This Row],[Claim_Amount]]&lt;0,0,Table1[[#This Row],[Claim_Amount]])</f>
        <v>0</v>
      </c>
      <c r="X822" t="str">
        <f>IF(Table1[[#This Row],[Column1]]=0,"",Table1[[#This Row],[Column1]])</f>
        <v/>
      </c>
      <c r="Y822" t="s">
        <v>1098</v>
      </c>
      <c r="Z822">
        <v>2481</v>
      </c>
      <c r="AA822">
        <v>832</v>
      </c>
      <c r="AB822" s="1" t="s">
        <v>25</v>
      </c>
      <c r="AC822" s="1" t="s">
        <v>26</v>
      </c>
      <c r="AD822">
        <v>9</v>
      </c>
      <c r="AE822" s="3" t="s">
        <v>27</v>
      </c>
    </row>
    <row r="823" spans="1:31" ht="15.75" customHeight="1" x14ac:dyDescent="0.35">
      <c r="A823" s="1" t="s">
        <v>20</v>
      </c>
      <c r="B823" t="s">
        <v>1083</v>
      </c>
      <c r="C823" t="s">
        <v>1084</v>
      </c>
      <c r="D823" s="1" t="s">
        <v>960</v>
      </c>
      <c r="E823" s="5" t="s">
        <v>960</v>
      </c>
      <c r="F823" s="4" t="str">
        <f>IF(ISNUMBER(Table13[[#This Row],[Claim_Date2]]),"",Table13[[#This Row],[Claim_Date2]])</f>
        <v>Jun 29 2023</v>
      </c>
      <c r="G823" s="4" t="s">
        <v>960</v>
      </c>
      <c r="H823" s="4" t="str">
        <f>LEFT(Table13[[#This Row],[Values Col 1]],3)</f>
        <v>Jun</v>
      </c>
      <c r="I823" s="4" t="s">
        <v>1108</v>
      </c>
      <c r="J823" s="4" t="str">
        <f>MID(Table13[[#This Row],[Function Col]],5,2)</f>
        <v>29</v>
      </c>
      <c r="K823" s="4" t="s">
        <v>1139</v>
      </c>
      <c r="L823" s="4" t="str">
        <f>RIGHT(Table13[[#This Row],[Function Col]],4)</f>
        <v>2023</v>
      </c>
      <c r="M823" s="4" t="s">
        <v>1146</v>
      </c>
      <c r="N823" s="4" t="str">
        <f>IF(Table13[[#This Row],[Function Col5]]="","",_xlfn.CONCAT(Table13[[#This Row],[Day Col]],"/",Table13[[#This Row],[Month Col]],"/",Table13[[#This Row],[Year Col]]))</f>
        <v>29/Jun/2023</v>
      </c>
      <c r="O823" s="4" t="s">
        <v>1340</v>
      </c>
      <c r="P823" s="4" t="str">
        <f>IF(ISNUMBER(Table13[[#This Row],[Claim_Date2]]),Table13[[#This Row],[Claim_Date2]],Table13[[#This Row],[Function Col32]])</f>
        <v>29/Jun/2023</v>
      </c>
      <c r="Q823" s="4">
        <v>45106</v>
      </c>
      <c r="R823" s="1" t="s">
        <v>77</v>
      </c>
      <c r="S823" t="s">
        <v>1085</v>
      </c>
      <c r="T823" s="1" t="s">
        <v>61</v>
      </c>
      <c r="U823" s="1"/>
      <c r="V823" s="1">
        <v>-174</v>
      </c>
      <c r="W823" s="1">
        <f>IF(Table1[[#This Row],[Claim_Amount]]&lt;0,0,Table1[[#This Row],[Claim_Amount]])</f>
        <v>0</v>
      </c>
      <c r="X823" s="1" t="str">
        <f>IF(Table1[[#This Row],[Column1]]=0,"",Table1[[#This Row],[Column1]])</f>
        <v/>
      </c>
      <c r="Y823" s="1" t="s">
        <v>1098</v>
      </c>
      <c r="Z823" s="1">
        <v>2481</v>
      </c>
      <c r="AA823">
        <v>832</v>
      </c>
      <c r="AB823" s="1" t="s">
        <v>17</v>
      </c>
      <c r="AC823" s="1" t="s">
        <v>26</v>
      </c>
      <c r="AD823">
        <v>9</v>
      </c>
      <c r="AE823" s="3" t="s">
        <v>19</v>
      </c>
    </row>
    <row r="824" spans="1:31" ht="15.75" customHeight="1" x14ac:dyDescent="0.35">
      <c r="A824" s="1" t="s">
        <v>117</v>
      </c>
      <c r="B824" s="1" t="s">
        <v>961</v>
      </c>
      <c r="C824" t="s">
        <v>1084</v>
      </c>
      <c r="D824" s="1" t="s">
        <v>292</v>
      </c>
      <c r="E824" s="5">
        <v>45050</v>
      </c>
      <c r="F824" s="4" t="str">
        <f>IF(ISNUMBER(Table13[[#This Row],[Claim_Date2]]),"",Table13[[#This Row],[Claim_Date2]])</f>
        <v/>
      </c>
      <c r="G824" s="4" t="s">
        <v>1098</v>
      </c>
      <c r="H824" s="4" t="str">
        <f>LEFT(Table13[[#This Row],[Values Col 1]],3)</f>
        <v/>
      </c>
      <c r="I824" s="4" t="s">
        <v>1098</v>
      </c>
      <c r="J824" s="4" t="str">
        <f>MID(Table13[[#This Row],[Function Col]],5,2)</f>
        <v/>
      </c>
      <c r="K824" s="4" t="s">
        <v>1098</v>
      </c>
      <c r="L824" s="4" t="str">
        <f>RIGHT(Table13[[#This Row],[Function Col]],4)</f>
        <v/>
      </c>
      <c r="M824" s="4" t="s">
        <v>1098</v>
      </c>
      <c r="N824" s="4" t="str">
        <f>IF(Table13[[#This Row],[Function Col5]]="","",_xlfn.CONCAT(Table13[[#This Row],[Day Col]],"/",Table13[[#This Row],[Month Col]],"/",Table13[[#This Row],[Year Col]]))</f>
        <v/>
      </c>
      <c r="O824" s="4" t="s">
        <v>1098</v>
      </c>
      <c r="P824" s="4">
        <f>IF(ISNUMBER(Table13[[#This Row],[Claim_Date2]]),Table13[[#This Row],[Claim_Date2]],Table13[[#This Row],[Function Col32]])</f>
        <v>45050</v>
      </c>
      <c r="Q824" s="4">
        <v>45050</v>
      </c>
      <c r="R824" s="1" t="s">
        <v>30</v>
      </c>
      <c r="S824" t="s">
        <v>1085</v>
      </c>
      <c r="T824" s="1" t="s">
        <v>61</v>
      </c>
      <c r="U824" s="1"/>
      <c r="V824" s="1">
        <v>4760.18</v>
      </c>
      <c r="W824" s="1">
        <f>IF(Table1[[#This Row],[Claim_Amount]]&lt;0,0,Table1[[#This Row],[Claim_Amount]])</f>
        <v>4760.18</v>
      </c>
      <c r="X824" s="1">
        <f>IF(Table1[[#This Row],[Column1]]=0,"",Table1[[#This Row],[Column1]])</f>
        <v>4760.18</v>
      </c>
      <c r="Y824" s="1">
        <v>4760.18</v>
      </c>
      <c r="Z824" s="1">
        <v>4760.18</v>
      </c>
      <c r="AA824">
        <v>832</v>
      </c>
      <c r="AB824" s="1" t="s">
        <v>25</v>
      </c>
      <c r="AC824" s="1" t="s">
        <v>18</v>
      </c>
      <c r="AD824">
        <v>9</v>
      </c>
      <c r="AE824" s="3" t="s">
        <v>19</v>
      </c>
    </row>
    <row r="825" spans="1:31" ht="15.75" customHeight="1" x14ac:dyDescent="0.35">
      <c r="A825" s="1" t="s">
        <v>430</v>
      </c>
      <c r="B825" t="s">
        <v>1083</v>
      </c>
      <c r="C825" t="s">
        <v>1084</v>
      </c>
      <c r="D825" s="1" t="s">
        <v>962</v>
      </c>
      <c r="E825" s="5">
        <v>45110</v>
      </c>
      <c r="F825" s="4" t="str">
        <f>IF(ISNUMBER(Table13[[#This Row],[Claim_Date2]]),"",Table13[[#This Row],[Claim_Date2]])</f>
        <v/>
      </c>
      <c r="G825" s="4" t="s">
        <v>1098</v>
      </c>
      <c r="H825" s="4" t="str">
        <f>LEFT(Table13[[#This Row],[Values Col 1]],3)</f>
        <v/>
      </c>
      <c r="I825" s="4" t="s">
        <v>1098</v>
      </c>
      <c r="J825" s="4" t="str">
        <f>MID(Table13[[#This Row],[Function Col]],5,2)</f>
        <v/>
      </c>
      <c r="K825" s="4" t="s">
        <v>1098</v>
      </c>
      <c r="L825" s="4" t="str">
        <f>RIGHT(Table13[[#This Row],[Function Col]],4)</f>
        <v/>
      </c>
      <c r="M825" s="4" t="s">
        <v>1098</v>
      </c>
      <c r="N825" s="4" t="str">
        <f>IF(Table13[[#This Row],[Function Col5]]="","",_xlfn.CONCAT(Table13[[#This Row],[Day Col]],"/",Table13[[#This Row],[Month Col]],"/",Table13[[#This Row],[Year Col]]))</f>
        <v/>
      </c>
      <c r="O825" s="4" t="s">
        <v>1098</v>
      </c>
      <c r="P825" s="4">
        <f>IF(ISNUMBER(Table13[[#This Row],[Claim_Date2]]),Table13[[#This Row],[Claim_Date2]],Table13[[#This Row],[Function Col32]])</f>
        <v>45110</v>
      </c>
      <c r="Q825" s="4">
        <v>45110</v>
      </c>
      <c r="R825" s="1" t="s">
        <v>16</v>
      </c>
      <c r="S825" s="1" t="s">
        <v>47</v>
      </c>
      <c r="T825" s="1" t="s">
        <v>41</v>
      </c>
      <c r="U825" s="1"/>
      <c r="W825">
        <f>IF(Table1[[#This Row],[Claim_Amount]]&lt;0,0,Table1[[#This Row],[Claim_Amount]])</f>
        <v>0</v>
      </c>
      <c r="X825" t="str">
        <f>IF(Table1[[#This Row],[Column1]]=0,"",Table1[[#This Row],[Column1]])</f>
        <v/>
      </c>
      <c r="Y825" t="s">
        <v>1098</v>
      </c>
      <c r="Z825">
        <v>2481</v>
      </c>
      <c r="AA825">
        <v>832</v>
      </c>
      <c r="AB825" s="1" t="s">
        <v>1091</v>
      </c>
      <c r="AC825" s="1" t="s">
        <v>1093</v>
      </c>
      <c r="AD825">
        <v>9</v>
      </c>
      <c r="AE825" s="3" t="s">
        <v>1097</v>
      </c>
    </row>
    <row r="826" spans="1:31" ht="15.75" customHeight="1" x14ac:dyDescent="0.35">
      <c r="A826" s="1" t="s">
        <v>166</v>
      </c>
      <c r="B826" t="s">
        <v>1083</v>
      </c>
      <c r="C826" t="s">
        <v>1084</v>
      </c>
      <c r="D826" s="1" t="s">
        <v>963</v>
      </c>
      <c r="E826" s="5">
        <v>45106</v>
      </c>
      <c r="F826" s="4" t="str">
        <f>IF(ISNUMBER(Table13[[#This Row],[Claim_Date2]]),"",Table13[[#This Row],[Claim_Date2]])</f>
        <v/>
      </c>
      <c r="G826" s="4" t="s">
        <v>1098</v>
      </c>
      <c r="H826" s="4" t="str">
        <f>LEFT(Table13[[#This Row],[Values Col 1]],3)</f>
        <v/>
      </c>
      <c r="I826" s="4" t="s">
        <v>1098</v>
      </c>
      <c r="J826" s="4" t="str">
        <f>MID(Table13[[#This Row],[Function Col]],5,2)</f>
        <v/>
      </c>
      <c r="K826" s="4" t="s">
        <v>1098</v>
      </c>
      <c r="L826" s="4" t="str">
        <f>RIGHT(Table13[[#This Row],[Function Col]],4)</f>
        <v/>
      </c>
      <c r="M826" s="4" t="s">
        <v>1098</v>
      </c>
      <c r="N826" s="4" t="str">
        <f>IF(Table13[[#This Row],[Function Col5]]="","",_xlfn.CONCAT(Table13[[#This Row],[Day Col]],"/",Table13[[#This Row],[Month Col]],"/",Table13[[#This Row],[Year Col]]))</f>
        <v/>
      </c>
      <c r="O826" s="4" t="s">
        <v>1098</v>
      </c>
      <c r="P826" s="4">
        <f>IF(ISNUMBER(Table13[[#This Row],[Claim_Date2]]),Table13[[#This Row],[Claim_Date2]],Table13[[#This Row],[Function Col32]])</f>
        <v>45106</v>
      </c>
      <c r="Q826" s="4">
        <v>45106</v>
      </c>
      <c r="R826" s="1" t="s">
        <v>16</v>
      </c>
      <c r="S826" s="1" t="s">
        <v>53</v>
      </c>
      <c r="T826" s="1" t="s">
        <v>48</v>
      </c>
      <c r="U826" s="1"/>
      <c r="V826" s="1">
        <v>-35</v>
      </c>
      <c r="W826" s="1">
        <f>IF(Table1[[#This Row],[Claim_Amount]]&lt;0,0,Table1[[#This Row],[Claim_Amount]])</f>
        <v>0</v>
      </c>
      <c r="X826" s="1" t="str">
        <f>IF(Table1[[#This Row],[Column1]]=0,"",Table1[[#This Row],[Column1]])</f>
        <v/>
      </c>
      <c r="Y826" s="1" t="s">
        <v>1098</v>
      </c>
      <c r="Z826" s="1">
        <v>2481</v>
      </c>
      <c r="AA826">
        <v>832</v>
      </c>
      <c r="AB826" s="1" t="s">
        <v>42</v>
      </c>
      <c r="AC826" s="1" t="s">
        <v>1093</v>
      </c>
      <c r="AD826">
        <v>9</v>
      </c>
      <c r="AE826" s="3" t="s">
        <v>19</v>
      </c>
    </row>
    <row r="827" spans="1:31" ht="15.75" customHeight="1" x14ac:dyDescent="0.35">
      <c r="A827" s="1" t="s">
        <v>117</v>
      </c>
      <c r="B827" s="1" t="s">
        <v>141</v>
      </c>
      <c r="C827" t="s">
        <v>1084</v>
      </c>
      <c r="D827" s="1" t="s">
        <v>311</v>
      </c>
      <c r="E827" s="5">
        <v>45205</v>
      </c>
      <c r="F827" s="4" t="str">
        <f>IF(ISNUMBER(Table13[[#This Row],[Claim_Date2]]),"",Table13[[#This Row],[Claim_Date2]])</f>
        <v/>
      </c>
      <c r="G827" s="4" t="s">
        <v>1098</v>
      </c>
      <c r="H827" s="4" t="str">
        <f>LEFT(Table13[[#This Row],[Values Col 1]],3)</f>
        <v/>
      </c>
      <c r="I827" s="4" t="s">
        <v>1098</v>
      </c>
      <c r="J827" s="4" t="str">
        <f>MID(Table13[[#This Row],[Function Col]],5,2)</f>
        <v/>
      </c>
      <c r="K827" s="4" t="s">
        <v>1098</v>
      </c>
      <c r="L827" s="4" t="str">
        <f>RIGHT(Table13[[#This Row],[Function Col]],4)</f>
        <v/>
      </c>
      <c r="M827" s="4" t="s">
        <v>1098</v>
      </c>
      <c r="N827" s="4" t="str">
        <f>IF(Table13[[#This Row],[Function Col5]]="","",_xlfn.CONCAT(Table13[[#This Row],[Day Col]],"/",Table13[[#This Row],[Month Col]],"/",Table13[[#This Row],[Year Col]]))</f>
        <v/>
      </c>
      <c r="O827" s="4" t="s">
        <v>1098</v>
      </c>
      <c r="P827" s="4">
        <f>IF(ISNUMBER(Table13[[#This Row],[Claim_Date2]]),Table13[[#This Row],[Claim_Date2]],Table13[[#This Row],[Function Col32]])</f>
        <v>45205</v>
      </c>
      <c r="Q827" s="4">
        <v>45205</v>
      </c>
      <c r="R827" s="1" t="s">
        <v>16</v>
      </c>
      <c r="S827" t="s">
        <v>1085</v>
      </c>
      <c r="T827" t="s">
        <v>1086</v>
      </c>
      <c r="V827" s="1">
        <v>-126</v>
      </c>
      <c r="W827" s="1">
        <f>IF(Table1[[#This Row],[Claim_Amount]]&lt;0,0,Table1[[#This Row],[Claim_Amount]])</f>
        <v>0</v>
      </c>
      <c r="X827" s="1" t="str">
        <f>IF(Table1[[#This Row],[Column1]]=0,"",Table1[[#This Row],[Column1]])</f>
        <v/>
      </c>
      <c r="Y827" s="1" t="s">
        <v>1098</v>
      </c>
      <c r="Z827" s="1">
        <v>2481</v>
      </c>
      <c r="AA827" s="1">
        <v>3757.81</v>
      </c>
      <c r="AB827" s="1" t="s">
        <v>1091</v>
      </c>
      <c r="AC827" s="1" t="s">
        <v>1093</v>
      </c>
      <c r="AD827">
        <v>9</v>
      </c>
      <c r="AE827" s="3" t="s">
        <v>27</v>
      </c>
    </row>
    <row r="828" spans="1:31" ht="15.75" customHeight="1" x14ac:dyDescent="0.35">
      <c r="A828" s="1" t="s">
        <v>20</v>
      </c>
      <c r="B828" t="s">
        <v>1083</v>
      </c>
      <c r="C828" s="1" t="s">
        <v>232</v>
      </c>
      <c r="D828" s="1" t="s">
        <v>477</v>
      </c>
      <c r="E828" s="5">
        <v>45241</v>
      </c>
      <c r="F828" s="4" t="str">
        <f>IF(ISNUMBER(Table13[[#This Row],[Claim_Date2]]),"",Table13[[#This Row],[Claim_Date2]])</f>
        <v/>
      </c>
      <c r="G828" s="4" t="s">
        <v>1098</v>
      </c>
      <c r="H828" s="4" t="str">
        <f>LEFT(Table13[[#This Row],[Values Col 1]],3)</f>
        <v/>
      </c>
      <c r="I828" s="4" t="s">
        <v>1098</v>
      </c>
      <c r="J828" s="4" t="str">
        <f>MID(Table13[[#This Row],[Function Col]],5,2)</f>
        <v/>
      </c>
      <c r="K828" s="4" t="s">
        <v>1098</v>
      </c>
      <c r="L828" s="4" t="str">
        <f>RIGHT(Table13[[#This Row],[Function Col]],4)</f>
        <v/>
      </c>
      <c r="M828" s="4" t="s">
        <v>1098</v>
      </c>
      <c r="N828" s="4" t="str">
        <f>IF(Table13[[#This Row],[Function Col5]]="","",_xlfn.CONCAT(Table13[[#This Row],[Day Col]],"/",Table13[[#This Row],[Month Col]],"/",Table13[[#This Row],[Year Col]]))</f>
        <v/>
      </c>
      <c r="O828" s="4" t="s">
        <v>1098</v>
      </c>
      <c r="P828" s="4">
        <f>IF(ISNUMBER(Table13[[#This Row],[Claim_Date2]]),Table13[[#This Row],[Claim_Date2]],Table13[[#This Row],[Function Col32]])</f>
        <v>45241</v>
      </c>
      <c r="Q828" s="4">
        <v>45241</v>
      </c>
      <c r="R828" s="1" t="s">
        <v>16</v>
      </c>
      <c r="S828" s="1" t="s">
        <v>93</v>
      </c>
      <c r="T828" s="1" t="s">
        <v>54</v>
      </c>
      <c r="U828" s="1"/>
      <c r="V828" s="1">
        <v>-17</v>
      </c>
      <c r="W828" s="1">
        <f>IF(Table1[[#This Row],[Claim_Amount]]&lt;0,0,Table1[[#This Row],[Claim_Amount]])</f>
        <v>0</v>
      </c>
      <c r="X828" s="1" t="str">
        <f>IF(Table1[[#This Row],[Column1]]=0,"",Table1[[#This Row],[Column1]])</f>
        <v/>
      </c>
      <c r="Y828" s="1" t="s">
        <v>1098</v>
      </c>
      <c r="Z828" s="1">
        <v>2481</v>
      </c>
      <c r="AA828" s="1">
        <v>392.04</v>
      </c>
      <c r="AB828" s="1" t="s">
        <v>25</v>
      </c>
      <c r="AC828" s="1" t="s">
        <v>32</v>
      </c>
      <c r="AD828">
        <v>9</v>
      </c>
      <c r="AE828" s="3" t="s">
        <v>37</v>
      </c>
    </row>
    <row r="829" spans="1:31" ht="15.75" customHeight="1" x14ac:dyDescent="0.35">
      <c r="A829" s="1" t="s">
        <v>73</v>
      </c>
      <c r="B829" t="s">
        <v>1083</v>
      </c>
      <c r="C829" t="s">
        <v>1084</v>
      </c>
      <c r="D829" s="1" t="s">
        <v>908</v>
      </c>
      <c r="E829" s="5" t="s">
        <v>908</v>
      </c>
      <c r="F829" s="4" t="str">
        <f>IF(ISNUMBER(Table13[[#This Row],[Claim_Date2]]),"",Table13[[#This Row],[Claim_Date2]])</f>
        <v>Dec 24 2023</v>
      </c>
      <c r="G829" s="4" t="s">
        <v>908</v>
      </c>
      <c r="H829" s="4" t="str">
        <f>LEFT(Table13[[#This Row],[Values Col 1]],3)</f>
        <v>Dec</v>
      </c>
      <c r="I829" s="4" t="s">
        <v>1111</v>
      </c>
      <c r="J829" s="4" t="str">
        <f>MID(Table13[[#This Row],[Function Col]],5,2)</f>
        <v>24</v>
      </c>
      <c r="K829" s="4" t="s">
        <v>1115</v>
      </c>
      <c r="L829" s="4" t="str">
        <f>RIGHT(Table13[[#This Row],[Function Col]],4)</f>
        <v>2023</v>
      </c>
      <c r="M829" s="4" t="s">
        <v>1146</v>
      </c>
      <c r="N829" s="4" t="str">
        <f>IF(Table13[[#This Row],[Function Col5]]="","",_xlfn.CONCAT(Table13[[#This Row],[Day Col]],"/",Table13[[#This Row],[Month Col]],"/",Table13[[#This Row],[Year Col]]))</f>
        <v>24/Dec/2023</v>
      </c>
      <c r="O829" s="4" t="s">
        <v>1329</v>
      </c>
      <c r="P829" s="4" t="str">
        <f>IF(ISNUMBER(Table13[[#This Row],[Claim_Date2]]),Table13[[#This Row],[Claim_Date2]],Table13[[#This Row],[Function Col32]])</f>
        <v>24/Dec/2023</v>
      </c>
      <c r="Q829" s="4">
        <v>45284</v>
      </c>
      <c r="R829" s="1" t="s">
        <v>77</v>
      </c>
      <c r="S829" s="1" t="s">
        <v>93</v>
      </c>
      <c r="T829" s="1" t="s">
        <v>48</v>
      </c>
      <c r="U829" s="1"/>
      <c r="V829" s="1">
        <v>1502.28</v>
      </c>
      <c r="W829" s="1">
        <f>IF(Table1[[#This Row],[Claim_Amount]]&lt;0,0,Table1[[#This Row],[Claim_Amount]])</f>
        <v>1502.28</v>
      </c>
      <c r="X829" s="1">
        <f>IF(Table1[[#This Row],[Column1]]=0,"",Table1[[#This Row],[Column1]])</f>
        <v>1502.28</v>
      </c>
      <c r="Y829" s="1">
        <v>1502.28</v>
      </c>
      <c r="Z829" s="1">
        <v>1502.28</v>
      </c>
      <c r="AA829">
        <v>832</v>
      </c>
      <c r="AB829" s="1" t="s">
        <v>25</v>
      </c>
      <c r="AC829" s="1" t="s">
        <v>26</v>
      </c>
      <c r="AD829" s="1">
        <v>43</v>
      </c>
      <c r="AE829" s="3" t="s">
        <v>19</v>
      </c>
    </row>
    <row r="830" spans="1:31" ht="15.75" customHeight="1" x14ac:dyDescent="0.35">
      <c r="A830" s="1" t="s">
        <v>212</v>
      </c>
      <c r="B830" t="s">
        <v>1083</v>
      </c>
      <c r="C830" s="1" t="s">
        <v>455</v>
      </c>
      <c r="D830" s="1" t="s">
        <v>609</v>
      </c>
      <c r="E830" s="5">
        <v>45261</v>
      </c>
      <c r="F830" s="4" t="str">
        <f>IF(ISNUMBER(Table13[[#This Row],[Claim_Date2]]),"",Table13[[#This Row],[Claim_Date2]])</f>
        <v/>
      </c>
      <c r="G830" s="4" t="s">
        <v>1098</v>
      </c>
      <c r="H830" s="4" t="str">
        <f>LEFT(Table13[[#This Row],[Values Col 1]],3)</f>
        <v/>
      </c>
      <c r="I830" s="4" t="s">
        <v>1098</v>
      </c>
      <c r="J830" s="4" t="str">
        <f>MID(Table13[[#This Row],[Function Col]],5,2)</f>
        <v/>
      </c>
      <c r="K830" s="4" t="s">
        <v>1098</v>
      </c>
      <c r="L830" s="4" t="str">
        <f>RIGHT(Table13[[#This Row],[Function Col]],4)</f>
        <v/>
      </c>
      <c r="M830" s="4" t="s">
        <v>1098</v>
      </c>
      <c r="N830" s="4" t="str">
        <f>IF(Table13[[#This Row],[Function Col5]]="","",_xlfn.CONCAT(Table13[[#This Row],[Day Col]],"/",Table13[[#This Row],[Month Col]],"/",Table13[[#This Row],[Year Col]]))</f>
        <v/>
      </c>
      <c r="O830" s="4" t="s">
        <v>1098</v>
      </c>
      <c r="P830" s="4">
        <f>IF(ISNUMBER(Table13[[#This Row],[Claim_Date2]]),Table13[[#This Row],[Claim_Date2]],Table13[[#This Row],[Function Col32]])</f>
        <v>45261</v>
      </c>
      <c r="Q830" s="4">
        <v>45261</v>
      </c>
      <c r="R830" s="1" t="s">
        <v>16</v>
      </c>
      <c r="S830" s="1" t="s">
        <v>31</v>
      </c>
      <c r="T830" s="1" t="s">
        <v>24</v>
      </c>
      <c r="U830" s="1"/>
      <c r="V830" s="1">
        <v>-184</v>
      </c>
      <c r="W830" s="1">
        <f>IF(Table1[[#This Row],[Claim_Amount]]&lt;0,0,Table1[[#This Row],[Claim_Amount]])</f>
        <v>0</v>
      </c>
      <c r="X830" s="1" t="str">
        <f>IF(Table1[[#This Row],[Column1]]=0,"",Table1[[#This Row],[Column1]])</f>
        <v/>
      </c>
      <c r="Y830" s="1" t="s">
        <v>1098</v>
      </c>
      <c r="Z830" s="1">
        <v>2481</v>
      </c>
      <c r="AA830">
        <v>832</v>
      </c>
      <c r="AB830" s="1" t="s">
        <v>25</v>
      </c>
      <c r="AC830" s="1" t="s">
        <v>26</v>
      </c>
      <c r="AD830" s="1">
        <v>10</v>
      </c>
      <c r="AE830" s="3" t="s">
        <v>65</v>
      </c>
    </row>
    <row r="831" spans="1:31" ht="15.75" customHeight="1" x14ac:dyDescent="0.35">
      <c r="A831" s="1" t="s">
        <v>148</v>
      </c>
      <c r="B831" t="s">
        <v>1083</v>
      </c>
      <c r="C831" t="s">
        <v>1084</v>
      </c>
      <c r="D831" s="1" t="s">
        <v>964</v>
      </c>
      <c r="E831" s="5">
        <v>45114</v>
      </c>
      <c r="F831" s="4" t="str">
        <f>IF(ISNUMBER(Table13[[#This Row],[Claim_Date2]]),"",Table13[[#This Row],[Claim_Date2]])</f>
        <v/>
      </c>
      <c r="G831" s="4" t="s">
        <v>1098</v>
      </c>
      <c r="H831" s="4" t="str">
        <f>LEFT(Table13[[#This Row],[Values Col 1]],3)</f>
        <v/>
      </c>
      <c r="I831" s="4" t="s">
        <v>1098</v>
      </c>
      <c r="J831" s="4" t="str">
        <f>MID(Table13[[#This Row],[Function Col]],5,2)</f>
        <v/>
      </c>
      <c r="K831" s="4" t="s">
        <v>1098</v>
      </c>
      <c r="L831" s="4" t="str">
        <f>RIGHT(Table13[[#This Row],[Function Col]],4)</f>
        <v/>
      </c>
      <c r="M831" s="4" t="s">
        <v>1098</v>
      </c>
      <c r="N831" s="4" t="str">
        <f>IF(Table13[[#This Row],[Function Col5]]="","",_xlfn.CONCAT(Table13[[#This Row],[Day Col]],"/",Table13[[#This Row],[Month Col]],"/",Table13[[#This Row],[Year Col]]))</f>
        <v/>
      </c>
      <c r="O831" s="4" t="s">
        <v>1098</v>
      </c>
      <c r="P831" s="4">
        <f>IF(ISNUMBER(Table13[[#This Row],[Claim_Date2]]),Table13[[#This Row],[Claim_Date2]],Table13[[#This Row],[Function Col32]])</f>
        <v>45114</v>
      </c>
      <c r="Q831" s="4">
        <v>45114</v>
      </c>
      <c r="R831" s="1" t="s">
        <v>16</v>
      </c>
      <c r="S831" t="s">
        <v>1085</v>
      </c>
      <c r="T831" s="1" t="s">
        <v>54</v>
      </c>
      <c r="U831" s="1"/>
      <c r="V831" s="1">
        <v>4493.5600000000004</v>
      </c>
      <c r="W831" s="1">
        <f>IF(Table1[[#This Row],[Claim_Amount]]&lt;0,0,Table1[[#This Row],[Claim_Amount]])</f>
        <v>4493.5600000000004</v>
      </c>
      <c r="X831" s="1">
        <f>IF(Table1[[#This Row],[Column1]]=0,"",Table1[[#This Row],[Column1]])</f>
        <v>4493.5600000000004</v>
      </c>
      <c r="Y831" s="1">
        <v>4493.5600000000004</v>
      </c>
      <c r="Z831" s="1">
        <v>4493.5600000000004</v>
      </c>
      <c r="AA831" s="1">
        <v>2122.19</v>
      </c>
      <c r="AB831" s="1" t="s">
        <v>42</v>
      </c>
      <c r="AC831" s="1" t="s">
        <v>1093</v>
      </c>
      <c r="AD831">
        <v>9</v>
      </c>
      <c r="AE831" s="3" t="s">
        <v>37</v>
      </c>
    </row>
    <row r="832" spans="1:31" ht="15.75" customHeight="1" x14ac:dyDescent="0.35">
      <c r="A832" s="1" t="s">
        <v>430</v>
      </c>
      <c r="B832" s="1" t="s">
        <v>965</v>
      </c>
      <c r="C832" t="s">
        <v>1084</v>
      </c>
      <c r="D832" s="1" t="s">
        <v>676</v>
      </c>
      <c r="E832" s="5">
        <v>45170</v>
      </c>
      <c r="F832" s="4" t="str">
        <f>IF(ISNUMBER(Table13[[#This Row],[Claim_Date2]]),"",Table13[[#This Row],[Claim_Date2]])</f>
        <v/>
      </c>
      <c r="G832" s="4" t="s">
        <v>1098</v>
      </c>
      <c r="H832" s="4" t="str">
        <f>LEFT(Table13[[#This Row],[Values Col 1]],3)</f>
        <v/>
      </c>
      <c r="I832" s="4" t="s">
        <v>1098</v>
      </c>
      <c r="J832" s="4" t="str">
        <f>MID(Table13[[#This Row],[Function Col]],5,2)</f>
        <v/>
      </c>
      <c r="K832" s="4" t="s">
        <v>1098</v>
      </c>
      <c r="L832" s="4" t="str">
        <f>RIGHT(Table13[[#This Row],[Function Col]],4)</f>
        <v/>
      </c>
      <c r="M832" s="4" t="s">
        <v>1098</v>
      </c>
      <c r="N832" s="4" t="str">
        <f>IF(Table13[[#This Row],[Function Col5]]="","",_xlfn.CONCAT(Table13[[#This Row],[Day Col]],"/",Table13[[#This Row],[Month Col]],"/",Table13[[#This Row],[Year Col]]))</f>
        <v/>
      </c>
      <c r="O832" s="4" t="s">
        <v>1098</v>
      </c>
      <c r="P832" s="4">
        <f>IF(ISNUMBER(Table13[[#This Row],[Claim_Date2]]),Table13[[#This Row],[Claim_Date2]],Table13[[#This Row],[Function Col32]])</f>
        <v>45170</v>
      </c>
      <c r="Q832" s="4">
        <v>45170</v>
      </c>
      <c r="R832" s="1" t="s">
        <v>85</v>
      </c>
      <c r="S832" s="1" t="s">
        <v>23</v>
      </c>
      <c r="T832" s="1" t="s">
        <v>61</v>
      </c>
      <c r="U832" s="1"/>
      <c r="W832">
        <f>IF(Table1[[#This Row],[Claim_Amount]]&lt;0,0,Table1[[#This Row],[Claim_Amount]])</f>
        <v>0</v>
      </c>
      <c r="X832" t="str">
        <f>IF(Table1[[#This Row],[Column1]]=0,"",Table1[[#This Row],[Column1]])</f>
        <v/>
      </c>
      <c r="Y832" t="s">
        <v>1098</v>
      </c>
      <c r="Z832">
        <v>2481</v>
      </c>
      <c r="AA832">
        <v>832</v>
      </c>
      <c r="AB832" s="1" t="s">
        <v>1091</v>
      </c>
      <c r="AC832" s="1" t="s">
        <v>32</v>
      </c>
      <c r="AD832">
        <v>9</v>
      </c>
      <c r="AE832" s="3" t="s">
        <v>37</v>
      </c>
    </row>
    <row r="833" spans="1:31" ht="15.75" customHeight="1" x14ac:dyDescent="0.35">
      <c r="A833" s="1" t="s">
        <v>430</v>
      </c>
      <c r="B833" s="1" t="s">
        <v>966</v>
      </c>
      <c r="C833" t="s">
        <v>1084</v>
      </c>
      <c r="D833" s="1" t="s">
        <v>731</v>
      </c>
      <c r="E833" s="5">
        <v>44986</v>
      </c>
      <c r="F833" s="4" t="str">
        <f>IF(ISNUMBER(Table13[[#This Row],[Claim_Date2]]),"",Table13[[#This Row],[Claim_Date2]])</f>
        <v/>
      </c>
      <c r="G833" s="4" t="s">
        <v>1098</v>
      </c>
      <c r="H833" s="4" t="str">
        <f>LEFT(Table13[[#This Row],[Values Col 1]],3)</f>
        <v/>
      </c>
      <c r="I833" s="4" t="s">
        <v>1098</v>
      </c>
      <c r="J833" s="4" t="str">
        <f>MID(Table13[[#This Row],[Function Col]],5,2)</f>
        <v/>
      </c>
      <c r="K833" s="4" t="s">
        <v>1098</v>
      </c>
      <c r="L833" s="4" t="str">
        <f>RIGHT(Table13[[#This Row],[Function Col]],4)</f>
        <v/>
      </c>
      <c r="M833" s="4" t="s">
        <v>1098</v>
      </c>
      <c r="N833" s="4" t="str">
        <f>IF(Table13[[#This Row],[Function Col5]]="","",_xlfn.CONCAT(Table13[[#This Row],[Day Col]],"/",Table13[[#This Row],[Month Col]],"/",Table13[[#This Row],[Year Col]]))</f>
        <v/>
      </c>
      <c r="O833" s="4" t="s">
        <v>1098</v>
      </c>
      <c r="P833" s="4">
        <f>IF(ISNUMBER(Table13[[#This Row],[Claim_Date2]]),Table13[[#This Row],[Claim_Date2]],Table13[[#This Row],[Function Col32]])</f>
        <v>44986</v>
      </c>
      <c r="Q833" s="4">
        <v>44986</v>
      </c>
      <c r="R833" s="1" t="s">
        <v>85</v>
      </c>
      <c r="S833" s="1" t="s">
        <v>93</v>
      </c>
      <c r="T833" s="1" t="s">
        <v>41</v>
      </c>
      <c r="U833" s="1"/>
      <c r="V833" s="1">
        <v>-189</v>
      </c>
      <c r="W833" s="1">
        <f>IF(Table1[[#This Row],[Claim_Amount]]&lt;0,0,Table1[[#This Row],[Claim_Amount]])</f>
        <v>0</v>
      </c>
      <c r="X833" s="1" t="str">
        <f>IF(Table1[[#This Row],[Column1]]=0,"",Table1[[#This Row],[Column1]])</f>
        <v/>
      </c>
      <c r="Y833" s="1" t="s">
        <v>1098</v>
      </c>
      <c r="Z833" s="1">
        <v>2481</v>
      </c>
      <c r="AA833" s="1">
        <v>105.41</v>
      </c>
      <c r="AB833" s="1" t="s">
        <v>1091</v>
      </c>
      <c r="AC833" s="1" t="s">
        <v>26</v>
      </c>
      <c r="AD833">
        <v>9</v>
      </c>
      <c r="AE833" s="3" t="s">
        <v>27</v>
      </c>
    </row>
    <row r="834" spans="1:31" ht="15.75" customHeight="1" x14ac:dyDescent="0.35">
      <c r="A834" s="1" t="s">
        <v>66</v>
      </c>
      <c r="B834" s="1" t="s">
        <v>967</v>
      </c>
      <c r="C834" s="1" t="s">
        <v>94</v>
      </c>
      <c r="D834" s="1" t="s">
        <v>968</v>
      </c>
      <c r="E834" s="5">
        <v>45090</v>
      </c>
      <c r="F834" s="4" t="str">
        <f>IF(ISNUMBER(Table13[[#This Row],[Claim_Date2]]),"",Table13[[#This Row],[Claim_Date2]])</f>
        <v/>
      </c>
      <c r="G834" s="4" t="s">
        <v>1098</v>
      </c>
      <c r="H834" s="4" t="str">
        <f>LEFT(Table13[[#This Row],[Values Col 1]],3)</f>
        <v/>
      </c>
      <c r="I834" s="4" t="s">
        <v>1098</v>
      </c>
      <c r="J834" s="4" t="str">
        <f>MID(Table13[[#This Row],[Function Col]],5,2)</f>
        <v/>
      </c>
      <c r="K834" s="4" t="s">
        <v>1098</v>
      </c>
      <c r="L834" s="4" t="str">
        <f>RIGHT(Table13[[#This Row],[Function Col]],4)</f>
        <v/>
      </c>
      <c r="M834" s="4" t="s">
        <v>1098</v>
      </c>
      <c r="N834" s="4" t="str">
        <f>IF(Table13[[#This Row],[Function Col5]]="","",_xlfn.CONCAT(Table13[[#This Row],[Day Col]],"/",Table13[[#This Row],[Month Col]],"/",Table13[[#This Row],[Year Col]]))</f>
        <v/>
      </c>
      <c r="O834" s="4" t="s">
        <v>1098</v>
      </c>
      <c r="P834" s="4">
        <f>IF(ISNUMBER(Table13[[#This Row],[Claim_Date2]]),Table13[[#This Row],[Claim_Date2]],Table13[[#This Row],[Function Col32]])</f>
        <v>45090</v>
      </c>
      <c r="Q834" s="4">
        <v>45090</v>
      </c>
      <c r="R834" s="1" t="s">
        <v>85</v>
      </c>
      <c r="S834" t="s">
        <v>1085</v>
      </c>
      <c r="T834" s="1" t="s">
        <v>48</v>
      </c>
      <c r="U834" s="1"/>
      <c r="V834" s="1">
        <v>2417.46</v>
      </c>
      <c r="W834" s="1">
        <f>IF(Table1[[#This Row],[Claim_Amount]]&lt;0,0,Table1[[#This Row],[Claim_Amount]])</f>
        <v>2417.46</v>
      </c>
      <c r="X834" s="1">
        <f>IF(Table1[[#This Row],[Column1]]=0,"",Table1[[#This Row],[Column1]])</f>
        <v>2417.46</v>
      </c>
      <c r="Y834" s="1">
        <v>2417.46</v>
      </c>
      <c r="Z834" s="1">
        <v>2417.46</v>
      </c>
      <c r="AA834">
        <v>832</v>
      </c>
      <c r="AB834" s="1" t="s">
        <v>1091</v>
      </c>
      <c r="AC834" s="1" t="s">
        <v>26</v>
      </c>
      <c r="AD834">
        <v>9</v>
      </c>
      <c r="AE834" s="3" t="s">
        <v>65</v>
      </c>
    </row>
    <row r="835" spans="1:31" ht="15.75" customHeight="1" x14ac:dyDescent="0.35">
      <c r="A835" s="1" t="s">
        <v>163</v>
      </c>
      <c r="B835" s="1" t="s">
        <v>694</v>
      </c>
      <c r="C835" s="1" t="s">
        <v>642</v>
      </c>
      <c r="D835" s="1" t="s">
        <v>969</v>
      </c>
      <c r="E835" s="5" t="s">
        <v>969</v>
      </c>
      <c r="F835" s="4" t="str">
        <f>IF(ISNUMBER(Table13[[#This Row],[Claim_Date2]]),"",Table13[[#This Row],[Claim_Date2]])</f>
        <v>May 07 2023</v>
      </c>
      <c r="G835" s="4" t="s">
        <v>969</v>
      </c>
      <c r="H835" s="4" t="str">
        <f>LEFT(Table13[[#This Row],[Values Col 1]],3)</f>
        <v>May</v>
      </c>
      <c r="I835" s="4" t="s">
        <v>1110</v>
      </c>
      <c r="J835" s="4" t="str">
        <f>MID(Table13[[#This Row],[Function Col]],5,2)</f>
        <v>07</v>
      </c>
      <c r="K835" s="4" t="s">
        <v>1120</v>
      </c>
      <c r="L835" s="4" t="str">
        <f>RIGHT(Table13[[#This Row],[Function Col]],4)</f>
        <v>2023</v>
      </c>
      <c r="M835" s="4" t="s">
        <v>1146</v>
      </c>
      <c r="N835" s="4" t="str">
        <f>IF(Table13[[#This Row],[Function Col5]]="","",_xlfn.CONCAT(Table13[[#This Row],[Day Col]],"/",Table13[[#This Row],[Month Col]],"/",Table13[[#This Row],[Year Col]]))</f>
        <v>07/May/2023</v>
      </c>
      <c r="O835" s="4" t="s">
        <v>1341</v>
      </c>
      <c r="P835" s="4" t="str">
        <f>IF(ISNUMBER(Table13[[#This Row],[Claim_Date2]]),Table13[[#This Row],[Claim_Date2]],Table13[[#This Row],[Function Col32]])</f>
        <v>07/May/2023</v>
      </c>
      <c r="Q835" s="4">
        <v>45053</v>
      </c>
      <c r="R835" s="1" t="s">
        <v>85</v>
      </c>
      <c r="S835" s="1" t="s">
        <v>53</v>
      </c>
      <c r="T835" t="s">
        <v>1086</v>
      </c>
      <c r="W835">
        <f>IF(Table1[[#This Row],[Claim_Amount]]&lt;0,0,Table1[[#This Row],[Claim_Amount]])</f>
        <v>0</v>
      </c>
      <c r="X835" t="str">
        <f>IF(Table1[[#This Row],[Column1]]=0,"",Table1[[#This Row],[Column1]])</f>
        <v/>
      </c>
      <c r="Y835" t="s">
        <v>1098</v>
      </c>
      <c r="Z835">
        <v>2481</v>
      </c>
      <c r="AA835">
        <v>832</v>
      </c>
      <c r="AB835" s="1" t="s">
        <v>25</v>
      </c>
      <c r="AC835" s="1" t="s">
        <v>32</v>
      </c>
      <c r="AD835">
        <v>9</v>
      </c>
      <c r="AE835" s="3" t="s">
        <v>19</v>
      </c>
    </row>
    <row r="836" spans="1:31" ht="15.75" customHeight="1" x14ac:dyDescent="0.35">
      <c r="A836" s="1" t="s">
        <v>212</v>
      </c>
      <c r="B836" t="s">
        <v>1083</v>
      </c>
      <c r="C836" t="s">
        <v>1084</v>
      </c>
      <c r="D836" s="1" t="s">
        <v>622</v>
      </c>
      <c r="E836" s="5" t="s">
        <v>622</v>
      </c>
      <c r="F836" s="4" t="str">
        <f>IF(ISNUMBER(Table13[[#This Row],[Claim_Date2]]),"",Table13[[#This Row],[Claim_Date2]])</f>
        <v>Apr 26 2023</v>
      </c>
      <c r="G836" s="4" t="s">
        <v>622</v>
      </c>
      <c r="H836" s="4" t="str">
        <f>LEFT(Table13[[#This Row],[Values Col 1]],3)</f>
        <v>Apr</v>
      </c>
      <c r="I836" s="4" t="s">
        <v>1104</v>
      </c>
      <c r="J836" s="4" t="str">
        <f>MID(Table13[[#This Row],[Function Col]],5,2)</f>
        <v>26</v>
      </c>
      <c r="K836" s="4" t="s">
        <v>1117</v>
      </c>
      <c r="L836" s="4" t="str">
        <f>RIGHT(Table13[[#This Row],[Function Col]],4)</f>
        <v>2023</v>
      </c>
      <c r="M836" s="4" t="s">
        <v>1146</v>
      </c>
      <c r="N836" s="4" t="str">
        <f>IF(Table13[[#This Row],[Function Col5]]="","",_xlfn.CONCAT(Table13[[#This Row],[Day Col]],"/",Table13[[#This Row],[Month Col]],"/",Table13[[#This Row],[Year Col]]))</f>
        <v>26/Apr/2023</v>
      </c>
      <c r="O836" s="4" t="s">
        <v>1258</v>
      </c>
      <c r="P836" s="4" t="str">
        <f>IF(ISNUMBER(Table13[[#This Row],[Claim_Date2]]),Table13[[#This Row],[Claim_Date2]],Table13[[#This Row],[Function Col32]])</f>
        <v>26/Apr/2023</v>
      </c>
      <c r="Q836" s="4">
        <v>45042</v>
      </c>
      <c r="R836" s="1" t="s">
        <v>85</v>
      </c>
      <c r="S836" s="1" t="s">
        <v>53</v>
      </c>
      <c r="T836" s="1" t="s">
        <v>54</v>
      </c>
      <c r="U836" s="1"/>
      <c r="V836" s="1">
        <v>-140</v>
      </c>
      <c r="W836" s="1">
        <f>IF(Table1[[#This Row],[Claim_Amount]]&lt;0,0,Table1[[#This Row],[Claim_Amount]])</f>
        <v>0</v>
      </c>
      <c r="X836" s="1" t="str">
        <f>IF(Table1[[#This Row],[Column1]]=0,"",Table1[[#This Row],[Column1]])</f>
        <v/>
      </c>
      <c r="Y836" s="1" t="s">
        <v>1098</v>
      </c>
      <c r="Z836" s="1">
        <v>2481</v>
      </c>
      <c r="AA836">
        <v>832</v>
      </c>
      <c r="AB836" s="1" t="s">
        <v>17</v>
      </c>
      <c r="AC836" s="1" t="s">
        <v>18</v>
      </c>
      <c r="AD836">
        <v>9</v>
      </c>
      <c r="AE836" s="3" t="s">
        <v>27</v>
      </c>
    </row>
    <row r="837" spans="1:31" ht="15.75" customHeight="1" x14ac:dyDescent="0.35">
      <c r="A837" s="1" t="s">
        <v>117</v>
      </c>
      <c r="B837" s="1" t="s">
        <v>970</v>
      </c>
      <c r="C837" s="1" t="s">
        <v>100</v>
      </c>
      <c r="D837" s="1" t="s">
        <v>296</v>
      </c>
      <c r="E837" s="5">
        <v>45140</v>
      </c>
      <c r="F837" s="4" t="str">
        <f>IF(ISNUMBER(Table13[[#This Row],[Claim_Date2]]),"",Table13[[#This Row],[Claim_Date2]])</f>
        <v/>
      </c>
      <c r="G837" s="4" t="s">
        <v>1098</v>
      </c>
      <c r="H837" s="4" t="str">
        <f>LEFT(Table13[[#This Row],[Values Col 1]],3)</f>
        <v/>
      </c>
      <c r="I837" s="4" t="s">
        <v>1098</v>
      </c>
      <c r="J837" s="4" t="str">
        <f>MID(Table13[[#This Row],[Function Col]],5,2)</f>
        <v/>
      </c>
      <c r="K837" s="4" t="s">
        <v>1098</v>
      </c>
      <c r="L837" s="4" t="str">
        <f>RIGHT(Table13[[#This Row],[Function Col]],4)</f>
        <v/>
      </c>
      <c r="M837" s="4" t="s">
        <v>1098</v>
      </c>
      <c r="N837" s="4" t="str">
        <f>IF(Table13[[#This Row],[Function Col5]]="","",_xlfn.CONCAT(Table13[[#This Row],[Day Col]],"/",Table13[[#This Row],[Month Col]],"/",Table13[[#This Row],[Year Col]]))</f>
        <v/>
      </c>
      <c r="O837" s="4" t="s">
        <v>1098</v>
      </c>
      <c r="P837" s="4">
        <f>IF(ISNUMBER(Table13[[#This Row],[Claim_Date2]]),Table13[[#This Row],[Claim_Date2]],Table13[[#This Row],[Function Col32]])</f>
        <v>45140</v>
      </c>
      <c r="Q837" s="4">
        <v>45140</v>
      </c>
      <c r="R837" s="1" t="s">
        <v>16</v>
      </c>
      <c r="S837" s="1" t="s">
        <v>93</v>
      </c>
      <c r="T837" t="s">
        <v>1086</v>
      </c>
      <c r="V837" s="1">
        <v>-81</v>
      </c>
      <c r="W837" s="1">
        <f>IF(Table1[[#This Row],[Claim_Amount]]&lt;0,0,Table1[[#This Row],[Claim_Amount]])</f>
        <v>0</v>
      </c>
      <c r="X837" s="1" t="str">
        <f>IF(Table1[[#This Row],[Column1]]=0,"",Table1[[#This Row],[Column1]])</f>
        <v/>
      </c>
      <c r="Y837" s="1" t="s">
        <v>1098</v>
      </c>
      <c r="Z837" s="1">
        <v>2481</v>
      </c>
      <c r="AA837">
        <v>832</v>
      </c>
      <c r="AB837" s="1" t="s">
        <v>42</v>
      </c>
      <c r="AC837" s="1" t="s">
        <v>32</v>
      </c>
      <c r="AD837">
        <v>9</v>
      </c>
      <c r="AE837" s="3" t="s">
        <v>1097</v>
      </c>
    </row>
    <row r="838" spans="1:31" ht="15.75" customHeight="1" x14ac:dyDescent="0.35">
      <c r="A838" s="1" t="s">
        <v>58</v>
      </c>
      <c r="B838" t="s">
        <v>1083</v>
      </c>
      <c r="C838" t="s">
        <v>1084</v>
      </c>
      <c r="D838" s="1" t="s">
        <v>341</v>
      </c>
      <c r="E838" s="5" t="s">
        <v>341</v>
      </c>
      <c r="F838" s="4" t="str">
        <f>IF(ISNUMBER(Table13[[#This Row],[Claim_Date2]]),"",Table13[[#This Row],[Claim_Date2]])</f>
        <v>Oct 29 2023</v>
      </c>
      <c r="G838" s="4" t="s">
        <v>341</v>
      </c>
      <c r="H838" s="4" t="str">
        <f>LEFT(Table13[[#This Row],[Values Col 1]],3)</f>
        <v>Oct</v>
      </c>
      <c r="I838" s="4" t="s">
        <v>1103</v>
      </c>
      <c r="J838" s="4" t="str">
        <f>MID(Table13[[#This Row],[Function Col]],5,2)</f>
        <v>29</v>
      </c>
      <c r="K838" s="4" t="s">
        <v>1139</v>
      </c>
      <c r="L838" s="4" t="str">
        <f>RIGHT(Table13[[#This Row],[Function Col]],4)</f>
        <v>2023</v>
      </c>
      <c r="M838" s="4" t="s">
        <v>1146</v>
      </c>
      <c r="N838" s="4" t="str">
        <f>IF(Table13[[#This Row],[Function Col5]]="","",_xlfn.CONCAT(Table13[[#This Row],[Day Col]],"/",Table13[[#This Row],[Month Col]],"/",Table13[[#This Row],[Year Col]]))</f>
        <v>29/Oct/2023</v>
      </c>
      <c r="O838" s="4" t="s">
        <v>1199</v>
      </c>
      <c r="P838" s="4" t="str">
        <f>IF(ISNUMBER(Table13[[#This Row],[Claim_Date2]]),Table13[[#This Row],[Claim_Date2]],Table13[[#This Row],[Function Col32]])</f>
        <v>29/Oct/2023</v>
      </c>
      <c r="Q838" s="4">
        <v>45228</v>
      </c>
      <c r="R838" s="1" t="s">
        <v>30</v>
      </c>
      <c r="S838" t="s">
        <v>1085</v>
      </c>
      <c r="T838" s="1" t="s">
        <v>54</v>
      </c>
      <c r="U838" s="1"/>
      <c r="W838">
        <f>IF(Table1[[#This Row],[Claim_Amount]]&lt;0,0,Table1[[#This Row],[Claim_Amount]])</f>
        <v>0</v>
      </c>
      <c r="X838" t="str">
        <f>IF(Table1[[#This Row],[Column1]]=0,"",Table1[[#This Row],[Column1]])</f>
        <v/>
      </c>
      <c r="Y838" t="s">
        <v>1098</v>
      </c>
      <c r="Z838">
        <v>2481</v>
      </c>
      <c r="AA838" s="1">
        <v>2373.17</v>
      </c>
      <c r="AB838" s="1" t="s">
        <v>25</v>
      </c>
      <c r="AC838" s="1" t="s">
        <v>32</v>
      </c>
      <c r="AD838">
        <v>9</v>
      </c>
      <c r="AE838" s="3" t="s">
        <v>1097</v>
      </c>
    </row>
    <row r="839" spans="1:31" ht="15.75" customHeight="1" x14ac:dyDescent="0.35">
      <c r="A839" s="1" t="s">
        <v>13</v>
      </c>
      <c r="B839" t="s">
        <v>1083</v>
      </c>
      <c r="C839" t="s">
        <v>1084</v>
      </c>
      <c r="D839" s="1" t="s">
        <v>971</v>
      </c>
      <c r="E839" s="5" t="s">
        <v>971</v>
      </c>
      <c r="F839" s="4" t="str">
        <f>IF(ISNUMBER(Table13[[#This Row],[Claim_Date2]]),"",Table13[[#This Row],[Claim_Date2]])</f>
        <v>Nov 01 2023</v>
      </c>
      <c r="G839" s="4" t="s">
        <v>971</v>
      </c>
      <c r="H839" s="4" t="str">
        <f>LEFT(Table13[[#This Row],[Values Col 1]],3)</f>
        <v>Nov</v>
      </c>
      <c r="I839" s="4" t="s">
        <v>1105</v>
      </c>
      <c r="J839" s="4" t="str">
        <f>MID(Table13[[#This Row],[Function Col]],5,2)</f>
        <v>01</v>
      </c>
      <c r="K839" s="4" t="s">
        <v>1138</v>
      </c>
      <c r="L839" s="4" t="str">
        <f>RIGHT(Table13[[#This Row],[Function Col]],4)</f>
        <v>2023</v>
      </c>
      <c r="M839" s="4" t="s">
        <v>1146</v>
      </c>
      <c r="N839" s="4" t="str">
        <f>IF(Table13[[#This Row],[Function Col5]]="","",_xlfn.CONCAT(Table13[[#This Row],[Day Col]],"/",Table13[[#This Row],[Month Col]],"/",Table13[[#This Row],[Year Col]]))</f>
        <v>01/Nov/2023</v>
      </c>
      <c r="O839" s="4" t="s">
        <v>1342</v>
      </c>
      <c r="P839" s="4" t="str">
        <f>IF(ISNUMBER(Table13[[#This Row],[Claim_Date2]]),Table13[[#This Row],[Claim_Date2]],Table13[[#This Row],[Function Col32]])</f>
        <v>01/Nov/2023</v>
      </c>
      <c r="Q839" s="4">
        <v>45231</v>
      </c>
      <c r="R839" s="1" t="s">
        <v>85</v>
      </c>
      <c r="S839" s="1" t="s">
        <v>31</v>
      </c>
      <c r="T839" s="1" t="s">
        <v>41</v>
      </c>
      <c r="U839" s="1"/>
      <c r="W839">
        <f>IF(Table1[[#This Row],[Claim_Amount]]&lt;0,0,Table1[[#This Row],[Claim_Amount]])</f>
        <v>0</v>
      </c>
      <c r="X839" t="str">
        <f>IF(Table1[[#This Row],[Column1]]=0,"",Table1[[#This Row],[Column1]])</f>
        <v/>
      </c>
      <c r="Y839" t="s">
        <v>1098</v>
      </c>
      <c r="Z839">
        <v>2481</v>
      </c>
      <c r="AA839">
        <v>832</v>
      </c>
      <c r="AB839" s="1" t="s">
        <v>17</v>
      </c>
      <c r="AC839" s="1" t="s">
        <v>32</v>
      </c>
      <c r="AD839">
        <v>9</v>
      </c>
      <c r="AE839" s="3" t="s">
        <v>37</v>
      </c>
    </row>
    <row r="840" spans="1:31" ht="15.75" customHeight="1" x14ac:dyDescent="0.35">
      <c r="A840" s="1" t="s">
        <v>38</v>
      </c>
      <c r="B840" t="s">
        <v>1083</v>
      </c>
      <c r="C840" s="1" t="s">
        <v>75</v>
      </c>
      <c r="D840" s="1" t="s">
        <v>972</v>
      </c>
      <c r="E840" s="5">
        <v>44998</v>
      </c>
      <c r="F840" s="4" t="str">
        <f>IF(ISNUMBER(Table13[[#This Row],[Claim_Date2]]),"",Table13[[#This Row],[Claim_Date2]])</f>
        <v/>
      </c>
      <c r="G840" s="4" t="s">
        <v>1098</v>
      </c>
      <c r="H840" s="4" t="str">
        <f>LEFT(Table13[[#This Row],[Values Col 1]],3)</f>
        <v/>
      </c>
      <c r="I840" s="4" t="s">
        <v>1098</v>
      </c>
      <c r="J840" s="4" t="str">
        <f>MID(Table13[[#This Row],[Function Col]],5,2)</f>
        <v/>
      </c>
      <c r="K840" s="4" t="s">
        <v>1098</v>
      </c>
      <c r="L840" s="4" t="str">
        <f>RIGHT(Table13[[#This Row],[Function Col]],4)</f>
        <v/>
      </c>
      <c r="M840" s="4" t="s">
        <v>1098</v>
      </c>
      <c r="N840" s="4" t="str">
        <f>IF(Table13[[#This Row],[Function Col5]]="","",_xlfn.CONCAT(Table13[[#This Row],[Day Col]],"/",Table13[[#This Row],[Month Col]],"/",Table13[[#This Row],[Year Col]]))</f>
        <v/>
      </c>
      <c r="O840" s="4" t="s">
        <v>1098</v>
      </c>
      <c r="P840" s="4">
        <f>IF(ISNUMBER(Table13[[#This Row],[Claim_Date2]]),Table13[[#This Row],[Claim_Date2]],Table13[[#This Row],[Function Col32]])</f>
        <v>44998</v>
      </c>
      <c r="Q840" s="4">
        <v>44998</v>
      </c>
      <c r="R840" s="1" t="s">
        <v>85</v>
      </c>
      <c r="S840" t="s">
        <v>1085</v>
      </c>
      <c r="T840" t="s">
        <v>1086</v>
      </c>
      <c r="W840">
        <f>IF(Table1[[#This Row],[Claim_Amount]]&lt;0,0,Table1[[#This Row],[Claim_Amount]])</f>
        <v>0</v>
      </c>
      <c r="X840" t="str">
        <f>IF(Table1[[#This Row],[Column1]]=0,"",Table1[[#This Row],[Column1]])</f>
        <v/>
      </c>
      <c r="Y840" t="s">
        <v>1098</v>
      </c>
      <c r="Z840">
        <v>2481</v>
      </c>
      <c r="AA840">
        <v>832</v>
      </c>
      <c r="AB840" s="1" t="s">
        <v>1091</v>
      </c>
      <c r="AC840" s="1" t="s">
        <v>57</v>
      </c>
      <c r="AD840" s="1">
        <v>11</v>
      </c>
      <c r="AE840" s="3" t="s">
        <v>27</v>
      </c>
    </row>
    <row r="841" spans="1:31" ht="15.75" customHeight="1" x14ac:dyDescent="0.35">
      <c r="A841" s="1" t="s">
        <v>13</v>
      </c>
      <c r="B841" s="1" t="s">
        <v>973</v>
      </c>
      <c r="C841" t="s">
        <v>1084</v>
      </c>
      <c r="D841" s="1" t="s">
        <v>579</v>
      </c>
      <c r="E841" s="5">
        <v>45258</v>
      </c>
      <c r="F841" s="4" t="str">
        <f>IF(ISNUMBER(Table13[[#This Row],[Claim_Date2]]),"",Table13[[#This Row],[Claim_Date2]])</f>
        <v/>
      </c>
      <c r="G841" s="4" t="s">
        <v>1098</v>
      </c>
      <c r="H841" s="4" t="str">
        <f>LEFT(Table13[[#This Row],[Values Col 1]],3)</f>
        <v/>
      </c>
      <c r="I841" s="4" t="s">
        <v>1098</v>
      </c>
      <c r="J841" s="4" t="str">
        <f>MID(Table13[[#This Row],[Function Col]],5,2)</f>
        <v/>
      </c>
      <c r="K841" s="4" t="s">
        <v>1098</v>
      </c>
      <c r="L841" s="4" t="str">
        <f>RIGHT(Table13[[#This Row],[Function Col]],4)</f>
        <v/>
      </c>
      <c r="M841" s="4" t="s">
        <v>1098</v>
      </c>
      <c r="N841" s="4" t="str">
        <f>IF(Table13[[#This Row],[Function Col5]]="","",_xlfn.CONCAT(Table13[[#This Row],[Day Col]],"/",Table13[[#This Row],[Month Col]],"/",Table13[[#This Row],[Year Col]]))</f>
        <v/>
      </c>
      <c r="O841" s="4" t="s">
        <v>1098</v>
      </c>
      <c r="P841" s="4">
        <f>IF(ISNUMBER(Table13[[#This Row],[Claim_Date2]]),Table13[[#This Row],[Claim_Date2]],Table13[[#This Row],[Function Col32]])</f>
        <v>45258</v>
      </c>
      <c r="Q841" s="4">
        <v>45258</v>
      </c>
      <c r="R841" s="1" t="s">
        <v>85</v>
      </c>
      <c r="S841" s="1" t="s">
        <v>53</v>
      </c>
      <c r="T841" s="1" t="s">
        <v>48</v>
      </c>
      <c r="U841" s="1"/>
      <c r="V841" s="1">
        <v>-155</v>
      </c>
      <c r="W841" s="1">
        <f>IF(Table1[[#This Row],[Claim_Amount]]&lt;0,0,Table1[[#This Row],[Claim_Amount]])</f>
        <v>0</v>
      </c>
      <c r="X841" s="1" t="str">
        <f>IF(Table1[[#This Row],[Column1]]=0,"",Table1[[#This Row],[Column1]])</f>
        <v/>
      </c>
      <c r="Y841" s="1" t="s">
        <v>1098</v>
      </c>
      <c r="Z841" s="1">
        <v>2481</v>
      </c>
      <c r="AA841" s="1">
        <v>2710.17</v>
      </c>
      <c r="AB841" s="1" t="s">
        <v>42</v>
      </c>
      <c r="AC841" s="1" t="s">
        <v>57</v>
      </c>
      <c r="AD841">
        <v>9</v>
      </c>
      <c r="AE841" s="3" t="s">
        <v>19</v>
      </c>
    </row>
    <row r="842" spans="1:31" ht="15.75" customHeight="1" x14ac:dyDescent="0.35">
      <c r="A842" s="1" t="s">
        <v>33</v>
      </c>
      <c r="B842" t="s">
        <v>1083</v>
      </c>
      <c r="C842" s="1" t="s">
        <v>290</v>
      </c>
      <c r="D842" s="1" t="s">
        <v>974</v>
      </c>
      <c r="E842" s="5">
        <v>45057</v>
      </c>
      <c r="F842" s="4" t="str">
        <f>IF(ISNUMBER(Table13[[#This Row],[Claim_Date2]]),"",Table13[[#This Row],[Claim_Date2]])</f>
        <v/>
      </c>
      <c r="G842" s="4" t="s">
        <v>1098</v>
      </c>
      <c r="H842" s="4" t="str">
        <f>LEFT(Table13[[#This Row],[Values Col 1]],3)</f>
        <v/>
      </c>
      <c r="I842" s="4" t="s">
        <v>1098</v>
      </c>
      <c r="J842" s="4" t="str">
        <f>MID(Table13[[#This Row],[Function Col]],5,2)</f>
        <v/>
      </c>
      <c r="K842" s="4" t="s">
        <v>1098</v>
      </c>
      <c r="L842" s="4" t="str">
        <f>RIGHT(Table13[[#This Row],[Function Col]],4)</f>
        <v/>
      </c>
      <c r="M842" s="4" t="s">
        <v>1098</v>
      </c>
      <c r="N842" s="4" t="str">
        <f>IF(Table13[[#This Row],[Function Col5]]="","",_xlfn.CONCAT(Table13[[#This Row],[Day Col]],"/",Table13[[#This Row],[Month Col]],"/",Table13[[#This Row],[Year Col]]))</f>
        <v/>
      </c>
      <c r="O842" s="4" t="s">
        <v>1098</v>
      </c>
      <c r="P842" s="4">
        <f>IF(ISNUMBER(Table13[[#This Row],[Claim_Date2]]),Table13[[#This Row],[Claim_Date2]],Table13[[#This Row],[Function Col32]])</f>
        <v>45057</v>
      </c>
      <c r="Q842" s="4">
        <v>45057</v>
      </c>
      <c r="R842" s="1" t="s">
        <v>30</v>
      </c>
      <c r="S842" s="1" t="s">
        <v>47</v>
      </c>
      <c r="T842" s="1" t="s">
        <v>41</v>
      </c>
      <c r="U842" s="1"/>
      <c r="W842">
        <f>IF(Table1[[#This Row],[Claim_Amount]]&lt;0,0,Table1[[#This Row],[Claim_Amount]])</f>
        <v>0</v>
      </c>
      <c r="X842" t="str">
        <f>IF(Table1[[#This Row],[Column1]]=0,"",Table1[[#This Row],[Column1]])</f>
        <v/>
      </c>
      <c r="Y842" t="s">
        <v>1098</v>
      </c>
      <c r="Z842">
        <v>2481</v>
      </c>
      <c r="AA842">
        <v>832</v>
      </c>
      <c r="AB842" s="1" t="s">
        <v>25</v>
      </c>
      <c r="AC842" s="1" t="s">
        <v>57</v>
      </c>
      <c r="AD842">
        <v>9</v>
      </c>
      <c r="AE842" s="3" t="s">
        <v>37</v>
      </c>
    </row>
    <row r="843" spans="1:31" ht="15.75" customHeight="1" x14ac:dyDescent="0.35">
      <c r="A843" s="1" t="s">
        <v>33</v>
      </c>
      <c r="B843" s="1" t="s">
        <v>975</v>
      </c>
      <c r="C843" s="1" t="s">
        <v>422</v>
      </c>
      <c r="D843" s="1" t="s">
        <v>789</v>
      </c>
      <c r="E843" s="5">
        <v>44989</v>
      </c>
      <c r="F843" s="4" t="str">
        <f>IF(ISNUMBER(Table13[[#This Row],[Claim_Date2]]),"",Table13[[#This Row],[Claim_Date2]])</f>
        <v/>
      </c>
      <c r="G843" s="4" t="s">
        <v>1098</v>
      </c>
      <c r="H843" s="4" t="str">
        <f>LEFT(Table13[[#This Row],[Values Col 1]],3)</f>
        <v/>
      </c>
      <c r="I843" s="4" t="s">
        <v>1098</v>
      </c>
      <c r="J843" s="4" t="str">
        <f>MID(Table13[[#This Row],[Function Col]],5,2)</f>
        <v/>
      </c>
      <c r="K843" s="4" t="s">
        <v>1098</v>
      </c>
      <c r="L843" s="4" t="str">
        <f>RIGHT(Table13[[#This Row],[Function Col]],4)</f>
        <v/>
      </c>
      <c r="M843" s="4" t="s">
        <v>1098</v>
      </c>
      <c r="N843" s="4" t="str">
        <f>IF(Table13[[#This Row],[Function Col5]]="","",_xlfn.CONCAT(Table13[[#This Row],[Day Col]],"/",Table13[[#This Row],[Month Col]],"/",Table13[[#This Row],[Year Col]]))</f>
        <v/>
      </c>
      <c r="O843" s="4" t="s">
        <v>1098</v>
      </c>
      <c r="P843" s="4">
        <f>IF(ISNUMBER(Table13[[#This Row],[Claim_Date2]]),Table13[[#This Row],[Claim_Date2]],Table13[[#This Row],[Function Col32]])</f>
        <v>44989</v>
      </c>
      <c r="Q843" s="4">
        <v>44989</v>
      </c>
      <c r="R843" s="1" t="s">
        <v>85</v>
      </c>
      <c r="S843" s="1" t="s">
        <v>23</v>
      </c>
      <c r="T843" s="1" t="s">
        <v>41</v>
      </c>
      <c r="U843" s="1"/>
      <c r="W843">
        <f>IF(Table1[[#This Row],[Claim_Amount]]&lt;0,0,Table1[[#This Row],[Claim_Amount]])</f>
        <v>0</v>
      </c>
      <c r="X843" t="str">
        <f>IF(Table1[[#This Row],[Column1]]=0,"",Table1[[#This Row],[Column1]])</f>
        <v/>
      </c>
      <c r="Y843" t="s">
        <v>1098</v>
      </c>
      <c r="Z843">
        <v>2481</v>
      </c>
      <c r="AA843" s="1">
        <v>680.74</v>
      </c>
      <c r="AB843" s="1" t="s">
        <v>25</v>
      </c>
      <c r="AC843" s="1" t="s">
        <v>18</v>
      </c>
      <c r="AD843">
        <v>9</v>
      </c>
      <c r="AE843" s="3" t="s">
        <v>1097</v>
      </c>
    </row>
    <row r="844" spans="1:31" ht="15.75" customHeight="1" x14ac:dyDescent="0.35">
      <c r="A844" s="1" t="s">
        <v>82</v>
      </c>
      <c r="B844" s="1" t="s">
        <v>976</v>
      </c>
      <c r="C844" t="s">
        <v>1084</v>
      </c>
      <c r="D844" s="1" t="s">
        <v>454</v>
      </c>
      <c r="E844" s="5">
        <v>45072</v>
      </c>
      <c r="F844" s="4" t="str">
        <f>IF(ISNUMBER(Table13[[#This Row],[Claim_Date2]]),"",Table13[[#This Row],[Claim_Date2]])</f>
        <v/>
      </c>
      <c r="G844" s="4" t="s">
        <v>1098</v>
      </c>
      <c r="H844" s="4" t="str">
        <f>LEFT(Table13[[#This Row],[Values Col 1]],3)</f>
        <v/>
      </c>
      <c r="I844" s="4" t="s">
        <v>1098</v>
      </c>
      <c r="J844" s="4" t="str">
        <f>MID(Table13[[#This Row],[Function Col]],5,2)</f>
        <v/>
      </c>
      <c r="K844" s="4" t="s">
        <v>1098</v>
      </c>
      <c r="L844" s="4" t="str">
        <f>RIGHT(Table13[[#This Row],[Function Col]],4)</f>
        <v/>
      </c>
      <c r="M844" s="4" t="s">
        <v>1098</v>
      </c>
      <c r="N844" s="4" t="str">
        <f>IF(Table13[[#This Row],[Function Col5]]="","",_xlfn.CONCAT(Table13[[#This Row],[Day Col]],"/",Table13[[#This Row],[Month Col]],"/",Table13[[#This Row],[Year Col]]))</f>
        <v/>
      </c>
      <c r="O844" s="4" t="s">
        <v>1098</v>
      </c>
      <c r="P844" s="4">
        <f>IF(ISNUMBER(Table13[[#This Row],[Claim_Date2]]),Table13[[#This Row],[Claim_Date2]],Table13[[#This Row],[Function Col32]])</f>
        <v>45072</v>
      </c>
      <c r="Q844" s="4">
        <v>45072</v>
      </c>
      <c r="R844" s="1" t="s">
        <v>85</v>
      </c>
      <c r="S844" s="1" t="s">
        <v>47</v>
      </c>
      <c r="T844" s="1" t="s">
        <v>54</v>
      </c>
      <c r="U844" s="1"/>
      <c r="W844">
        <f>IF(Table1[[#This Row],[Claim_Amount]]&lt;0,0,Table1[[#This Row],[Claim_Amount]])</f>
        <v>0</v>
      </c>
      <c r="X844" t="str">
        <f>IF(Table1[[#This Row],[Column1]]=0,"",Table1[[#This Row],[Column1]])</f>
        <v/>
      </c>
      <c r="Y844" t="s">
        <v>1098</v>
      </c>
      <c r="Z844">
        <v>2481</v>
      </c>
      <c r="AA844" s="1">
        <v>4211.8</v>
      </c>
      <c r="AB844" s="1" t="s">
        <v>25</v>
      </c>
      <c r="AC844" s="1" t="s">
        <v>57</v>
      </c>
      <c r="AD844">
        <v>9</v>
      </c>
      <c r="AE844" s="3" t="s">
        <v>65</v>
      </c>
    </row>
    <row r="845" spans="1:31" ht="15.75" customHeight="1" x14ac:dyDescent="0.35">
      <c r="A845" s="1" t="s">
        <v>132</v>
      </c>
      <c r="B845" s="1" t="s">
        <v>977</v>
      </c>
      <c r="C845" s="1" t="s">
        <v>174</v>
      </c>
      <c r="D845" s="1" t="s">
        <v>923</v>
      </c>
      <c r="E845" s="5" t="s">
        <v>923</v>
      </c>
      <c r="F845" s="4" t="str">
        <f>IF(ISNUMBER(Table13[[#This Row],[Claim_Date2]]),"",Table13[[#This Row],[Claim_Date2]])</f>
        <v>Oct 20 2023</v>
      </c>
      <c r="G845" s="4" t="s">
        <v>923</v>
      </c>
      <c r="H845" s="4" t="str">
        <f>LEFT(Table13[[#This Row],[Values Col 1]],3)</f>
        <v>Oct</v>
      </c>
      <c r="I845" s="4" t="s">
        <v>1103</v>
      </c>
      <c r="J845" s="4" t="str">
        <f>MID(Table13[[#This Row],[Function Col]],5,2)</f>
        <v>20</v>
      </c>
      <c r="K845" s="4" t="s">
        <v>1118</v>
      </c>
      <c r="L845" s="4" t="str">
        <f>RIGHT(Table13[[#This Row],[Function Col]],4)</f>
        <v>2023</v>
      </c>
      <c r="M845" s="4" t="s">
        <v>1146</v>
      </c>
      <c r="N845" s="4" t="str">
        <f>IF(Table13[[#This Row],[Function Col5]]="","",_xlfn.CONCAT(Table13[[#This Row],[Day Col]],"/",Table13[[#This Row],[Month Col]],"/",Table13[[#This Row],[Year Col]]))</f>
        <v>20/Oct/2023</v>
      </c>
      <c r="O845" s="4" t="s">
        <v>1333</v>
      </c>
      <c r="P845" s="4" t="str">
        <f>IF(ISNUMBER(Table13[[#This Row],[Claim_Date2]]),Table13[[#This Row],[Claim_Date2]],Table13[[#This Row],[Function Col32]])</f>
        <v>20/Oct/2023</v>
      </c>
      <c r="Q845" s="4">
        <v>45219</v>
      </c>
      <c r="R845" s="1" t="s">
        <v>30</v>
      </c>
      <c r="S845" s="1" t="s">
        <v>31</v>
      </c>
      <c r="T845" s="1" t="s">
        <v>48</v>
      </c>
      <c r="U845" s="1"/>
      <c r="V845" s="1">
        <v>-73</v>
      </c>
      <c r="W845" s="1">
        <f>IF(Table1[[#This Row],[Claim_Amount]]&lt;0,0,Table1[[#This Row],[Claim_Amount]])</f>
        <v>0</v>
      </c>
      <c r="X845" s="1" t="str">
        <f>IF(Table1[[#This Row],[Column1]]=0,"",Table1[[#This Row],[Column1]])</f>
        <v/>
      </c>
      <c r="Y845" s="1" t="s">
        <v>1098</v>
      </c>
      <c r="Z845" s="1">
        <v>2481</v>
      </c>
      <c r="AA845">
        <v>832</v>
      </c>
      <c r="AB845" s="1" t="s">
        <v>1091</v>
      </c>
      <c r="AC845" s="1" t="s">
        <v>18</v>
      </c>
      <c r="AD845" s="1">
        <v>57</v>
      </c>
      <c r="AE845" s="3" t="s">
        <v>65</v>
      </c>
    </row>
    <row r="846" spans="1:31" ht="15.75" customHeight="1" x14ac:dyDescent="0.35">
      <c r="A846" s="1" t="s">
        <v>38</v>
      </c>
      <c r="B846" s="1" t="s">
        <v>978</v>
      </c>
      <c r="C846" t="s">
        <v>1084</v>
      </c>
      <c r="D846" s="1" t="s">
        <v>826</v>
      </c>
      <c r="E846" s="5">
        <v>45223</v>
      </c>
      <c r="F846" s="4" t="str">
        <f>IF(ISNUMBER(Table13[[#This Row],[Claim_Date2]]),"",Table13[[#This Row],[Claim_Date2]])</f>
        <v/>
      </c>
      <c r="G846" s="4" t="s">
        <v>1098</v>
      </c>
      <c r="H846" s="4" t="str">
        <f>LEFT(Table13[[#This Row],[Values Col 1]],3)</f>
        <v/>
      </c>
      <c r="I846" s="4" t="s">
        <v>1098</v>
      </c>
      <c r="J846" s="4" t="str">
        <f>MID(Table13[[#This Row],[Function Col]],5,2)</f>
        <v/>
      </c>
      <c r="K846" s="4" t="s">
        <v>1098</v>
      </c>
      <c r="L846" s="4" t="str">
        <f>RIGHT(Table13[[#This Row],[Function Col]],4)</f>
        <v/>
      </c>
      <c r="M846" s="4" t="s">
        <v>1098</v>
      </c>
      <c r="N846" s="4" t="str">
        <f>IF(Table13[[#This Row],[Function Col5]]="","",_xlfn.CONCAT(Table13[[#This Row],[Day Col]],"/",Table13[[#This Row],[Month Col]],"/",Table13[[#This Row],[Year Col]]))</f>
        <v/>
      </c>
      <c r="O846" s="4" t="s">
        <v>1098</v>
      </c>
      <c r="P846" s="4">
        <f>IF(ISNUMBER(Table13[[#This Row],[Claim_Date2]]),Table13[[#This Row],[Claim_Date2]],Table13[[#This Row],[Function Col32]])</f>
        <v>45223</v>
      </c>
      <c r="Q846" s="4">
        <v>45223</v>
      </c>
      <c r="R846" s="1" t="s">
        <v>77</v>
      </c>
      <c r="S846" s="1" t="s">
        <v>93</v>
      </c>
      <c r="T846" s="1" t="s">
        <v>24</v>
      </c>
      <c r="U846" s="1"/>
      <c r="V846" s="1">
        <v>-30</v>
      </c>
      <c r="W846" s="1">
        <f>IF(Table1[[#This Row],[Claim_Amount]]&lt;0,0,Table1[[#This Row],[Claim_Amount]])</f>
        <v>0</v>
      </c>
      <c r="X846" s="1" t="str">
        <f>IF(Table1[[#This Row],[Column1]]=0,"",Table1[[#This Row],[Column1]])</f>
        <v/>
      </c>
      <c r="Y846" s="1" t="s">
        <v>1098</v>
      </c>
      <c r="Z846" s="1">
        <v>2481</v>
      </c>
      <c r="AA846">
        <v>832</v>
      </c>
      <c r="AB846" s="1" t="s">
        <v>17</v>
      </c>
      <c r="AC846" s="1" t="s">
        <v>1093</v>
      </c>
      <c r="AD846">
        <v>9</v>
      </c>
      <c r="AE846" s="3" t="s">
        <v>37</v>
      </c>
    </row>
    <row r="847" spans="1:31" ht="15.75" customHeight="1" x14ac:dyDescent="0.35">
      <c r="A847" s="1" t="s">
        <v>105</v>
      </c>
      <c r="B847" t="s">
        <v>1083</v>
      </c>
      <c r="C847" t="s">
        <v>1084</v>
      </c>
      <c r="D847" s="1" t="s">
        <v>521</v>
      </c>
      <c r="E847" s="5">
        <v>45195</v>
      </c>
      <c r="F847" s="4" t="str">
        <f>IF(ISNUMBER(Table13[[#This Row],[Claim_Date2]]),"",Table13[[#This Row],[Claim_Date2]])</f>
        <v/>
      </c>
      <c r="G847" s="4" t="s">
        <v>1098</v>
      </c>
      <c r="H847" s="4" t="str">
        <f>LEFT(Table13[[#This Row],[Values Col 1]],3)</f>
        <v/>
      </c>
      <c r="I847" s="4" t="s">
        <v>1098</v>
      </c>
      <c r="J847" s="4" t="str">
        <f>MID(Table13[[#This Row],[Function Col]],5,2)</f>
        <v/>
      </c>
      <c r="K847" s="4" t="s">
        <v>1098</v>
      </c>
      <c r="L847" s="4" t="str">
        <f>RIGHT(Table13[[#This Row],[Function Col]],4)</f>
        <v/>
      </c>
      <c r="M847" s="4" t="s">
        <v>1098</v>
      </c>
      <c r="N847" s="4" t="str">
        <f>IF(Table13[[#This Row],[Function Col5]]="","",_xlfn.CONCAT(Table13[[#This Row],[Day Col]],"/",Table13[[#This Row],[Month Col]],"/",Table13[[#This Row],[Year Col]]))</f>
        <v/>
      </c>
      <c r="O847" s="4" t="s">
        <v>1098</v>
      </c>
      <c r="P847" s="4">
        <f>IF(ISNUMBER(Table13[[#This Row],[Claim_Date2]]),Table13[[#This Row],[Claim_Date2]],Table13[[#This Row],[Function Col32]])</f>
        <v>45195</v>
      </c>
      <c r="Q847" s="4">
        <v>45195</v>
      </c>
      <c r="R847" s="1" t="s">
        <v>16</v>
      </c>
      <c r="S847" s="1" t="s">
        <v>53</v>
      </c>
      <c r="T847" s="1" t="s">
        <v>54</v>
      </c>
      <c r="U847" s="1"/>
      <c r="W847">
        <f>IF(Table1[[#This Row],[Claim_Amount]]&lt;0,0,Table1[[#This Row],[Claim_Amount]])</f>
        <v>0</v>
      </c>
      <c r="X847" t="str">
        <f>IF(Table1[[#This Row],[Column1]]=0,"",Table1[[#This Row],[Column1]])</f>
        <v/>
      </c>
      <c r="Y847" t="s">
        <v>1098</v>
      </c>
      <c r="Z847">
        <v>2481</v>
      </c>
      <c r="AA847">
        <v>832</v>
      </c>
      <c r="AB847" s="1" t="s">
        <v>25</v>
      </c>
      <c r="AC847" s="1" t="s">
        <v>57</v>
      </c>
      <c r="AD847">
        <v>9</v>
      </c>
      <c r="AE847" s="3" t="s">
        <v>37</v>
      </c>
    </row>
    <row r="848" spans="1:31" ht="15.75" customHeight="1" x14ac:dyDescent="0.35">
      <c r="A848" s="1" t="s">
        <v>132</v>
      </c>
      <c r="B848" s="1" t="s">
        <v>979</v>
      </c>
      <c r="C848" t="s">
        <v>1084</v>
      </c>
      <c r="D848" s="1" t="s">
        <v>806</v>
      </c>
      <c r="E848" s="5">
        <v>45107</v>
      </c>
      <c r="F848" s="4" t="str">
        <f>IF(ISNUMBER(Table13[[#This Row],[Claim_Date2]]),"",Table13[[#This Row],[Claim_Date2]])</f>
        <v/>
      </c>
      <c r="G848" s="4" t="s">
        <v>1098</v>
      </c>
      <c r="H848" s="4" t="str">
        <f>LEFT(Table13[[#This Row],[Values Col 1]],3)</f>
        <v/>
      </c>
      <c r="I848" s="4" t="s">
        <v>1098</v>
      </c>
      <c r="J848" s="4" t="str">
        <f>MID(Table13[[#This Row],[Function Col]],5,2)</f>
        <v/>
      </c>
      <c r="K848" s="4" t="s">
        <v>1098</v>
      </c>
      <c r="L848" s="4" t="str">
        <f>RIGHT(Table13[[#This Row],[Function Col]],4)</f>
        <v/>
      </c>
      <c r="M848" s="4" t="s">
        <v>1098</v>
      </c>
      <c r="N848" s="4" t="str">
        <f>IF(Table13[[#This Row],[Function Col5]]="","",_xlfn.CONCAT(Table13[[#This Row],[Day Col]],"/",Table13[[#This Row],[Month Col]],"/",Table13[[#This Row],[Year Col]]))</f>
        <v/>
      </c>
      <c r="O848" s="4" t="s">
        <v>1098</v>
      </c>
      <c r="P848" s="4">
        <f>IF(ISNUMBER(Table13[[#This Row],[Claim_Date2]]),Table13[[#This Row],[Claim_Date2]],Table13[[#This Row],[Function Col32]])</f>
        <v>45107</v>
      </c>
      <c r="Q848" s="4">
        <v>45107</v>
      </c>
      <c r="R848" s="1" t="s">
        <v>16</v>
      </c>
      <c r="S848" s="1" t="s">
        <v>31</v>
      </c>
      <c r="T848" s="1" t="s">
        <v>24</v>
      </c>
      <c r="U848" s="1"/>
      <c r="V848" s="1">
        <v>1928.25</v>
      </c>
      <c r="W848" s="1">
        <f>IF(Table1[[#This Row],[Claim_Amount]]&lt;0,0,Table1[[#This Row],[Claim_Amount]])</f>
        <v>1928.25</v>
      </c>
      <c r="X848" s="1">
        <f>IF(Table1[[#This Row],[Column1]]=0,"",Table1[[#This Row],[Column1]])</f>
        <v>1928.25</v>
      </c>
      <c r="Y848" s="1">
        <v>1928.25</v>
      </c>
      <c r="Z848" s="1">
        <v>1928.25</v>
      </c>
      <c r="AA848">
        <v>832</v>
      </c>
      <c r="AB848" s="1" t="s">
        <v>17</v>
      </c>
      <c r="AC848" s="1" t="s">
        <v>26</v>
      </c>
      <c r="AD848">
        <v>9</v>
      </c>
      <c r="AE848" s="3" t="s">
        <v>19</v>
      </c>
    </row>
    <row r="849" spans="1:31" ht="15.75" customHeight="1" x14ac:dyDescent="0.35">
      <c r="A849" s="1" t="s">
        <v>33</v>
      </c>
      <c r="B849" t="s">
        <v>1083</v>
      </c>
      <c r="C849" t="s">
        <v>1084</v>
      </c>
      <c r="D849" s="1" t="s">
        <v>980</v>
      </c>
      <c r="E849" s="5" t="s">
        <v>980</v>
      </c>
      <c r="F849" s="4" t="str">
        <f>IF(ISNUMBER(Table13[[#This Row],[Claim_Date2]]),"",Table13[[#This Row],[Claim_Date2]])</f>
        <v>Aug 12 2023</v>
      </c>
      <c r="G849" s="4" t="s">
        <v>980</v>
      </c>
      <c r="H849" s="4" t="str">
        <f>LEFT(Table13[[#This Row],[Values Col 1]],3)</f>
        <v>Aug</v>
      </c>
      <c r="I849" s="4" t="s">
        <v>1106</v>
      </c>
      <c r="J849" s="4" t="str">
        <f>MID(Table13[[#This Row],[Function Col]],5,2)</f>
        <v>12</v>
      </c>
      <c r="K849" s="4" t="s">
        <v>1135</v>
      </c>
      <c r="L849" s="4" t="str">
        <f>RIGHT(Table13[[#This Row],[Function Col]],4)</f>
        <v>2023</v>
      </c>
      <c r="M849" s="4" t="s">
        <v>1146</v>
      </c>
      <c r="N849" s="4" t="str">
        <f>IF(Table13[[#This Row],[Function Col5]]="","",_xlfn.CONCAT(Table13[[#This Row],[Day Col]],"/",Table13[[#This Row],[Month Col]],"/",Table13[[#This Row],[Year Col]]))</f>
        <v>12/Aug/2023</v>
      </c>
      <c r="O849" s="4" t="s">
        <v>1343</v>
      </c>
      <c r="P849" s="4" t="str">
        <f>IF(ISNUMBER(Table13[[#This Row],[Claim_Date2]]),Table13[[#This Row],[Claim_Date2]],Table13[[#This Row],[Function Col32]])</f>
        <v>12/Aug/2023</v>
      </c>
      <c r="Q849" s="4">
        <v>45150</v>
      </c>
      <c r="R849" s="1" t="s">
        <v>77</v>
      </c>
      <c r="S849" s="1" t="s">
        <v>53</v>
      </c>
      <c r="T849" s="1" t="s">
        <v>61</v>
      </c>
      <c r="U849" s="1"/>
      <c r="W849">
        <f>IF(Table1[[#This Row],[Claim_Amount]]&lt;0,0,Table1[[#This Row],[Claim_Amount]])</f>
        <v>0</v>
      </c>
      <c r="X849" t="str">
        <f>IF(Table1[[#This Row],[Column1]]=0,"",Table1[[#This Row],[Column1]])</f>
        <v/>
      </c>
      <c r="Y849" t="s">
        <v>1098</v>
      </c>
      <c r="Z849">
        <v>2481</v>
      </c>
      <c r="AA849">
        <v>832</v>
      </c>
      <c r="AB849" s="1" t="s">
        <v>25</v>
      </c>
      <c r="AC849" s="1" t="s">
        <v>18</v>
      </c>
      <c r="AD849" s="1">
        <v>10</v>
      </c>
      <c r="AE849" s="3" t="s">
        <v>1097</v>
      </c>
    </row>
    <row r="850" spans="1:31" ht="15.75" customHeight="1" x14ac:dyDescent="0.35">
      <c r="A850" s="1" t="s">
        <v>43</v>
      </c>
      <c r="B850" t="s">
        <v>1083</v>
      </c>
      <c r="C850" s="1" t="s">
        <v>530</v>
      </c>
      <c r="D850" s="1" t="s">
        <v>981</v>
      </c>
      <c r="E850" s="5">
        <v>44945</v>
      </c>
      <c r="F850" s="4" t="str">
        <f>IF(ISNUMBER(Table13[[#This Row],[Claim_Date2]]),"",Table13[[#This Row],[Claim_Date2]])</f>
        <v/>
      </c>
      <c r="G850" s="4" t="s">
        <v>1098</v>
      </c>
      <c r="H850" s="4" t="str">
        <f>LEFT(Table13[[#This Row],[Values Col 1]],3)</f>
        <v/>
      </c>
      <c r="I850" s="4" t="s">
        <v>1098</v>
      </c>
      <c r="J850" s="4" t="str">
        <f>MID(Table13[[#This Row],[Function Col]],5,2)</f>
        <v/>
      </c>
      <c r="K850" s="4" t="s">
        <v>1098</v>
      </c>
      <c r="L850" s="4" t="str">
        <f>RIGHT(Table13[[#This Row],[Function Col]],4)</f>
        <v/>
      </c>
      <c r="M850" s="4" t="s">
        <v>1098</v>
      </c>
      <c r="N850" s="4" t="str">
        <f>IF(Table13[[#This Row],[Function Col5]]="","",_xlfn.CONCAT(Table13[[#This Row],[Day Col]],"/",Table13[[#This Row],[Month Col]],"/",Table13[[#This Row],[Year Col]]))</f>
        <v/>
      </c>
      <c r="O850" s="4" t="s">
        <v>1098</v>
      </c>
      <c r="P850" s="4">
        <f>IF(ISNUMBER(Table13[[#This Row],[Claim_Date2]]),Table13[[#This Row],[Claim_Date2]],Table13[[#This Row],[Function Col32]])</f>
        <v>44945</v>
      </c>
      <c r="Q850" s="4">
        <v>44945</v>
      </c>
      <c r="R850" s="1" t="s">
        <v>85</v>
      </c>
      <c r="S850" s="1" t="s">
        <v>93</v>
      </c>
      <c r="T850" s="1" t="s">
        <v>61</v>
      </c>
      <c r="U850" s="1"/>
      <c r="V850" s="1">
        <v>3550.17</v>
      </c>
      <c r="W850" s="1">
        <f>IF(Table1[[#This Row],[Claim_Amount]]&lt;0,0,Table1[[#This Row],[Claim_Amount]])</f>
        <v>3550.17</v>
      </c>
      <c r="X850" s="1">
        <f>IF(Table1[[#This Row],[Column1]]=0,"",Table1[[#This Row],[Column1]])</f>
        <v>3550.17</v>
      </c>
      <c r="Y850" s="1">
        <v>3550.17</v>
      </c>
      <c r="Z850" s="1">
        <v>3550.17</v>
      </c>
      <c r="AA850">
        <v>832</v>
      </c>
      <c r="AB850" s="1" t="s">
        <v>25</v>
      </c>
      <c r="AC850" s="1" t="s">
        <v>32</v>
      </c>
      <c r="AD850">
        <v>9</v>
      </c>
      <c r="AE850" s="3" t="s">
        <v>27</v>
      </c>
    </row>
    <row r="851" spans="1:31" ht="15.75" customHeight="1" x14ac:dyDescent="0.35">
      <c r="A851" s="1" t="s">
        <v>215</v>
      </c>
      <c r="B851" t="s">
        <v>1083</v>
      </c>
      <c r="C851" t="s">
        <v>1084</v>
      </c>
      <c r="D851" s="1" t="s">
        <v>608</v>
      </c>
      <c r="E851" s="5">
        <v>45022</v>
      </c>
      <c r="F851" s="4" t="str">
        <f>IF(ISNUMBER(Table13[[#This Row],[Claim_Date2]]),"",Table13[[#This Row],[Claim_Date2]])</f>
        <v/>
      </c>
      <c r="G851" s="4" t="s">
        <v>1098</v>
      </c>
      <c r="H851" s="4" t="str">
        <f>LEFT(Table13[[#This Row],[Values Col 1]],3)</f>
        <v/>
      </c>
      <c r="I851" s="4" t="s">
        <v>1098</v>
      </c>
      <c r="J851" s="4" t="str">
        <f>MID(Table13[[#This Row],[Function Col]],5,2)</f>
        <v/>
      </c>
      <c r="K851" s="4" t="s">
        <v>1098</v>
      </c>
      <c r="L851" s="4" t="str">
        <f>RIGHT(Table13[[#This Row],[Function Col]],4)</f>
        <v/>
      </c>
      <c r="M851" s="4" t="s">
        <v>1098</v>
      </c>
      <c r="N851" s="4" t="str">
        <f>IF(Table13[[#This Row],[Function Col5]]="","",_xlfn.CONCAT(Table13[[#This Row],[Day Col]],"/",Table13[[#This Row],[Month Col]],"/",Table13[[#This Row],[Year Col]]))</f>
        <v/>
      </c>
      <c r="O851" s="4" t="s">
        <v>1098</v>
      </c>
      <c r="P851" s="4">
        <f>IF(ISNUMBER(Table13[[#This Row],[Claim_Date2]]),Table13[[#This Row],[Claim_Date2]],Table13[[#This Row],[Function Col32]])</f>
        <v>45022</v>
      </c>
      <c r="Q851" s="4">
        <v>45022</v>
      </c>
      <c r="R851" s="1" t="s">
        <v>92</v>
      </c>
      <c r="S851" s="1" t="s">
        <v>93</v>
      </c>
      <c r="T851" s="1" t="s">
        <v>54</v>
      </c>
      <c r="U851" s="1"/>
      <c r="V851" s="1">
        <v>380.56</v>
      </c>
      <c r="W851" s="1">
        <f>IF(Table1[[#This Row],[Claim_Amount]]&lt;0,0,Table1[[#This Row],[Claim_Amount]])</f>
        <v>380.56</v>
      </c>
      <c r="X851" s="1">
        <f>IF(Table1[[#This Row],[Column1]]=0,"",Table1[[#This Row],[Column1]])</f>
        <v>380.56</v>
      </c>
      <c r="Y851" s="1">
        <v>380.56</v>
      </c>
      <c r="Z851" s="1">
        <v>380.56</v>
      </c>
      <c r="AA851">
        <v>832</v>
      </c>
      <c r="AB851" s="1" t="s">
        <v>17</v>
      </c>
      <c r="AC851" s="1" t="s">
        <v>32</v>
      </c>
      <c r="AD851">
        <v>9</v>
      </c>
      <c r="AE851" s="3" t="s">
        <v>37</v>
      </c>
    </row>
    <row r="852" spans="1:31" ht="15.75" customHeight="1" x14ac:dyDescent="0.35">
      <c r="A852" s="1" t="s">
        <v>132</v>
      </c>
      <c r="B852" s="1" t="s">
        <v>949</v>
      </c>
      <c r="C852" s="1" t="s">
        <v>982</v>
      </c>
      <c r="D852" s="1" t="s">
        <v>543</v>
      </c>
      <c r="E852" s="5">
        <v>44961</v>
      </c>
      <c r="F852" s="4" t="str">
        <f>IF(ISNUMBER(Table13[[#This Row],[Claim_Date2]]),"",Table13[[#This Row],[Claim_Date2]])</f>
        <v/>
      </c>
      <c r="G852" s="4" t="s">
        <v>1098</v>
      </c>
      <c r="H852" s="4" t="str">
        <f>LEFT(Table13[[#This Row],[Values Col 1]],3)</f>
        <v/>
      </c>
      <c r="I852" s="4" t="s">
        <v>1098</v>
      </c>
      <c r="J852" s="4" t="str">
        <f>MID(Table13[[#This Row],[Function Col]],5,2)</f>
        <v/>
      </c>
      <c r="K852" s="4" t="s">
        <v>1098</v>
      </c>
      <c r="L852" s="4" t="str">
        <f>RIGHT(Table13[[#This Row],[Function Col]],4)</f>
        <v/>
      </c>
      <c r="M852" s="4" t="s">
        <v>1098</v>
      </c>
      <c r="N852" s="4" t="str">
        <f>IF(Table13[[#This Row],[Function Col5]]="","",_xlfn.CONCAT(Table13[[#This Row],[Day Col]],"/",Table13[[#This Row],[Month Col]],"/",Table13[[#This Row],[Year Col]]))</f>
        <v/>
      </c>
      <c r="O852" s="4" t="s">
        <v>1098</v>
      </c>
      <c r="P852" s="4">
        <f>IF(ISNUMBER(Table13[[#This Row],[Claim_Date2]]),Table13[[#This Row],[Claim_Date2]],Table13[[#This Row],[Function Col32]])</f>
        <v>44961</v>
      </c>
      <c r="Q852" s="4">
        <v>44961</v>
      </c>
      <c r="R852" s="1" t="s">
        <v>30</v>
      </c>
      <c r="S852" s="1" t="s">
        <v>23</v>
      </c>
      <c r="T852" s="1" t="s">
        <v>48</v>
      </c>
      <c r="U852" s="1"/>
      <c r="W852">
        <f>IF(Table1[[#This Row],[Claim_Amount]]&lt;0,0,Table1[[#This Row],[Claim_Amount]])</f>
        <v>0</v>
      </c>
      <c r="X852" t="str">
        <f>IF(Table1[[#This Row],[Column1]]=0,"",Table1[[#This Row],[Column1]])</f>
        <v/>
      </c>
      <c r="Y852" t="s">
        <v>1098</v>
      </c>
      <c r="Z852">
        <v>2481</v>
      </c>
      <c r="AA852" s="1">
        <v>805.96</v>
      </c>
      <c r="AB852" s="1" t="s">
        <v>17</v>
      </c>
      <c r="AC852" s="1" t="s">
        <v>26</v>
      </c>
      <c r="AD852" s="1">
        <v>20</v>
      </c>
      <c r="AE852" s="3" t="s">
        <v>27</v>
      </c>
    </row>
    <row r="853" spans="1:31" ht="15.75" customHeight="1" x14ac:dyDescent="0.35">
      <c r="A853" s="1" t="s">
        <v>163</v>
      </c>
      <c r="B853" t="s">
        <v>1083</v>
      </c>
      <c r="C853" s="1" t="s">
        <v>613</v>
      </c>
      <c r="D853" s="1" t="s">
        <v>983</v>
      </c>
      <c r="E853" s="5">
        <v>45128</v>
      </c>
      <c r="F853" s="4" t="str">
        <f>IF(ISNUMBER(Table13[[#This Row],[Claim_Date2]]),"",Table13[[#This Row],[Claim_Date2]])</f>
        <v/>
      </c>
      <c r="G853" s="4" t="s">
        <v>1098</v>
      </c>
      <c r="H853" s="4" t="str">
        <f>LEFT(Table13[[#This Row],[Values Col 1]],3)</f>
        <v/>
      </c>
      <c r="I853" s="4" t="s">
        <v>1098</v>
      </c>
      <c r="J853" s="4" t="str">
        <f>MID(Table13[[#This Row],[Function Col]],5,2)</f>
        <v/>
      </c>
      <c r="K853" s="4" t="s">
        <v>1098</v>
      </c>
      <c r="L853" s="4" t="str">
        <f>RIGHT(Table13[[#This Row],[Function Col]],4)</f>
        <v/>
      </c>
      <c r="M853" s="4" t="s">
        <v>1098</v>
      </c>
      <c r="N853" s="4" t="str">
        <f>IF(Table13[[#This Row],[Function Col5]]="","",_xlfn.CONCAT(Table13[[#This Row],[Day Col]],"/",Table13[[#This Row],[Month Col]],"/",Table13[[#This Row],[Year Col]]))</f>
        <v/>
      </c>
      <c r="O853" s="4" t="s">
        <v>1098</v>
      </c>
      <c r="P853" s="4">
        <f>IF(ISNUMBER(Table13[[#This Row],[Claim_Date2]]),Table13[[#This Row],[Claim_Date2]],Table13[[#This Row],[Function Col32]])</f>
        <v>45128</v>
      </c>
      <c r="Q853" s="4">
        <v>45128</v>
      </c>
      <c r="R853" s="1" t="s">
        <v>77</v>
      </c>
      <c r="S853" s="1" t="s">
        <v>93</v>
      </c>
      <c r="T853" s="1" t="s">
        <v>24</v>
      </c>
      <c r="U853" s="1"/>
      <c r="W853">
        <f>IF(Table1[[#This Row],[Claim_Amount]]&lt;0,0,Table1[[#This Row],[Claim_Amount]])</f>
        <v>0</v>
      </c>
      <c r="X853" t="str">
        <f>IF(Table1[[#This Row],[Column1]]=0,"",Table1[[#This Row],[Column1]])</f>
        <v/>
      </c>
      <c r="Y853" t="s">
        <v>1098</v>
      </c>
      <c r="Z853">
        <v>2481</v>
      </c>
      <c r="AA853">
        <v>832</v>
      </c>
      <c r="AB853" s="1" t="s">
        <v>25</v>
      </c>
      <c r="AC853" s="1" t="s">
        <v>18</v>
      </c>
      <c r="AD853" s="1">
        <v>29</v>
      </c>
      <c r="AE853" s="3" t="s">
        <v>19</v>
      </c>
    </row>
    <row r="854" spans="1:31" ht="15.75" customHeight="1" x14ac:dyDescent="0.35">
      <c r="A854" s="1" t="s">
        <v>137</v>
      </c>
      <c r="B854" s="1" t="s">
        <v>146</v>
      </c>
      <c r="C854" s="1" t="s">
        <v>308</v>
      </c>
      <c r="D854" s="1" t="s">
        <v>543</v>
      </c>
      <c r="E854" s="5">
        <v>44961</v>
      </c>
      <c r="F854" s="4" t="str">
        <f>IF(ISNUMBER(Table13[[#This Row],[Claim_Date2]]),"",Table13[[#This Row],[Claim_Date2]])</f>
        <v/>
      </c>
      <c r="G854" s="4" t="s">
        <v>1098</v>
      </c>
      <c r="H854" s="4" t="str">
        <f>LEFT(Table13[[#This Row],[Values Col 1]],3)</f>
        <v/>
      </c>
      <c r="I854" s="4" t="s">
        <v>1098</v>
      </c>
      <c r="J854" s="4" t="str">
        <f>MID(Table13[[#This Row],[Function Col]],5,2)</f>
        <v/>
      </c>
      <c r="K854" s="4" t="s">
        <v>1098</v>
      </c>
      <c r="L854" s="4" t="str">
        <f>RIGHT(Table13[[#This Row],[Function Col]],4)</f>
        <v/>
      </c>
      <c r="M854" s="4" t="s">
        <v>1098</v>
      </c>
      <c r="N854" s="4" t="str">
        <f>IF(Table13[[#This Row],[Function Col5]]="","",_xlfn.CONCAT(Table13[[#This Row],[Day Col]],"/",Table13[[#This Row],[Month Col]],"/",Table13[[#This Row],[Year Col]]))</f>
        <v/>
      </c>
      <c r="O854" s="4" t="s">
        <v>1098</v>
      </c>
      <c r="P854" s="4">
        <f>IF(ISNUMBER(Table13[[#This Row],[Claim_Date2]]),Table13[[#This Row],[Claim_Date2]],Table13[[#This Row],[Function Col32]])</f>
        <v>44961</v>
      </c>
      <c r="Q854" s="4">
        <v>44961</v>
      </c>
      <c r="R854" s="1" t="s">
        <v>92</v>
      </c>
      <c r="S854" s="1" t="s">
        <v>53</v>
      </c>
      <c r="T854" s="1" t="s">
        <v>54</v>
      </c>
      <c r="U854" s="1"/>
      <c r="V854" s="1">
        <v>-183</v>
      </c>
      <c r="W854" s="1">
        <f>IF(Table1[[#This Row],[Claim_Amount]]&lt;0,0,Table1[[#This Row],[Claim_Amount]])</f>
        <v>0</v>
      </c>
      <c r="X854" s="1" t="str">
        <f>IF(Table1[[#This Row],[Column1]]=0,"",Table1[[#This Row],[Column1]])</f>
        <v/>
      </c>
      <c r="Y854" s="1" t="s">
        <v>1098</v>
      </c>
      <c r="Z854" s="1">
        <v>2481</v>
      </c>
      <c r="AA854">
        <v>832</v>
      </c>
      <c r="AB854" s="1" t="s">
        <v>25</v>
      </c>
      <c r="AC854" s="1" t="s">
        <v>57</v>
      </c>
      <c r="AD854">
        <v>9</v>
      </c>
      <c r="AE854" s="3" t="s">
        <v>1097</v>
      </c>
    </row>
    <row r="855" spans="1:31" ht="15.75" customHeight="1" x14ac:dyDescent="0.35">
      <c r="A855" s="1" t="s">
        <v>28</v>
      </c>
      <c r="B855" t="s">
        <v>1083</v>
      </c>
      <c r="C855" t="s">
        <v>1084</v>
      </c>
      <c r="D855" s="1" t="s">
        <v>984</v>
      </c>
      <c r="E855" s="5">
        <v>45055</v>
      </c>
      <c r="F855" s="4" t="str">
        <f>IF(ISNUMBER(Table13[[#This Row],[Claim_Date2]]),"",Table13[[#This Row],[Claim_Date2]])</f>
        <v/>
      </c>
      <c r="G855" s="4" t="s">
        <v>1098</v>
      </c>
      <c r="H855" s="4" t="str">
        <f>LEFT(Table13[[#This Row],[Values Col 1]],3)</f>
        <v/>
      </c>
      <c r="I855" s="4" t="s">
        <v>1098</v>
      </c>
      <c r="J855" s="4" t="str">
        <f>MID(Table13[[#This Row],[Function Col]],5,2)</f>
        <v/>
      </c>
      <c r="K855" s="4" t="s">
        <v>1098</v>
      </c>
      <c r="L855" s="4" t="str">
        <f>RIGHT(Table13[[#This Row],[Function Col]],4)</f>
        <v/>
      </c>
      <c r="M855" s="4" t="s">
        <v>1098</v>
      </c>
      <c r="N855" s="4" t="str">
        <f>IF(Table13[[#This Row],[Function Col5]]="","",_xlfn.CONCAT(Table13[[#This Row],[Day Col]],"/",Table13[[#This Row],[Month Col]],"/",Table13[[#This Row],[Year Col]]))</f>
        <v/>
      </c>
      <c r="O855" s="4" t="s">
        <v>1098</v>
      </c>
      <c r="P855" s="4">
        <f>IF(ISNUMBER(Table13[[#This Row],[Claim_Date2]]),Table13[[#This Row],[Claim_Date2]],Table13[[#This Row],[Function Col32]])</f>
        <v>45055</v>
      </c>
      <c r="Q855" s="4">
        <v>45055</v>
      </c>
      <c r="R855" s="1" t="s">
        <v>30</v>
      </c>
      <c r="S855" s="1" t="s">
        <v>53</v>
      </c>
      <c r="T855" s="1" t="s">
        <v>24</v>
      </c>
      <c r="U855" s="1"/>
      <c r="V855" s="1">
        <v>4033.95</v>
      </c>
      <c r="W855" s="1">
        <f>IF(Table1[[#This Row],[Claim_Amount]]&lt;0,0,Table1[[#This Row],[Claim_Amount]])</f>
        <v>4033.95</v>
      </c>
      <c r="X855" s="1">
        <f>IF(Table1[[#This Row],[Column1]]=0,"",Table1[[#This Row],[Column1]])</f>
        <v>4033.95</v>
      </c>
      <c r="Y855" s="1">
        <v>4033.95</v>
      </c>
      <c r="Z855" s="1">
        <v>4033.95</v>
      </c>
      <c r="AA855">
        <v>832</v>
      </c>
      <c r="AB855" s="1" t="s">
        <v>42</v>
      </c>
      <c r="AC855" s="1" t="s">
        <v>26</v>
      </c>
      <c r="AD855">
        <v>9</v>
      </c>
      <c r="AE855" s="3" t="s">
        <v>37</v>
      </c>
    </row>
    <row r="856" spans="1:31" ht="15.75" customHeight="1" x14ac:dyDescent="0.35">
      <c r="A856" s="1" t="s">
        <v>33</v>
      </c>
      <c r="B856" t="s">
        <v>1083</v>
      </c>
      <c r="C856" t="s">
        <v>1084</v>
      </c>
      <c r="D856" s="1" t="s">
        <v>837</v>
      </c>
      <c r="E856" s="5">
        <v>45176</v>
      </c>
      <c r="F856" s="4" t="str">
        <f>IF(ISNUMBER(Table13[[#This Row],[Claim_Date2]]),"",Table13[[#This Row],[Claim_Date2]])</f>
        <v/>
      </c>
      <c r="G856" s="4" t="s">
        <v>1098</v>
      </c>
      <c r="H856" s="4" t="str">
        <f>LEFT(Table13[[#This Row],[Values Col 1]],3)</f>
        <v/>
      </c>
      <c r="I856" s="4" t="s">
        <v>1098</v>
      </c>
      <c r="J856" s="4" t="str">
        <f>MID(Table13[[#This Row],[Function Col]],5,2)</f>
        <v/>
      </c>
      <c r="K856" s="4" t="s">
        <v>1098</v>
      </c>
      <c r="L856" s="4" t="str">
        <f>RIGHT(Table13[[#This Row],[Function Col]],4)</f>
        <v/>
      </c>
      <c r="M856" s="4" t="s">
        <v>1098</v>
      </c>
      <c r="N856" s="4" t="str">
        <f>IF(Table13[[#This Row],[Function Col5]]="","",_xlfn.CONCAT(Table13[[#This Row],[Day Col]],"/",Table13[[#This Row],[Month Col]],"/",Table13[[#This Row],[Year Col]]))</f>
        <v/>
      </c>
      <c r="O856" s="4" t="s">
        <v>1098</v>
      </c>
      <c r="P856" s="4">
        <f>IF(ISNUMBER(Table13[[#This Row],[Claim_Date2]]),Table13[[#This Row],[Claim_Date2]],Table13[[#This Row],[Function Col32]])</f>
        <v>45176</v>
      </c>
      <c r="Q856" s="4">
        <v>45176</v>
      </c>
      <c r="R856" s="1" t="s">
        <v>77</v>
      </c>
      <c r="S856" t="s">
        <v>1085</v>
      </c>
      <c r="T856" s="1" t="s">
        <v>24</v>
      </c>
      <c r="U856" s="1"/>
      <c r="W856">
        <f>IF(Table1[[#This Row],[Claim_Amount]]&lt;0,0,Table1[[#This Row],[Claim_Amount]])</f>
        <v>0</v>
      </c>
      <c r="X856" t="str">
        <f>IF(Table1[[#This Row],[Column1]]=0,"",Table1[[#This Row],[Column1]])</f>
        <v/>
      </c>
      <c r="Y856" t="s">
        <v>1098</v>
      </c>
      <c r="Z856">
        <v>2481</v>
      </c>
      <c r="AA856">
        <v>832</v>
      </c>
      <c r="AB856" s="1" t="s">
        <v>25</v>
      </c>
      <c r="AC856" s="1" t="s">
        <v>18</v>
      </c>
      <c r="AD856" s="1">
        <v>9</v>
      </c>
      <c r="AE856" s="3" t="s">
        <v>65</v>
      </c>
    </row>
    <row r="857" spans="1:31" ht="15.75" customHeight="1" x14ac:dyDescent="0.35">
      <c r="A857" s="1" t="s">
        <v>215</v>
      </c>
      <c r="B857" t="s">
        <v>1083</v>
      </c>
      <c r="C857" t="s">
        <v>1084</v>
      </c>
      <c r="D857" s="1" t="s">
        <v>671</v>
      </c>
      <c r="E857" s="5">
        <v>45291</v>
      </c>
      <c r="F857" s="4" t="str">
        <f>IF(ISNUMBER(Table13[[#This Row],[Claim_Date2]]),"",Table13[[#This Row],[Claim_Date2]])</f>
        <v/>
      </c>
      <c r="G857" s="4" t="s">
        <v>1098</v>
      </c>
      <c r="H857" s="4" t="str">
        <f>LEFT(Table13[[#This Row],[Values Col 1]],3)</f>
        <v/>
      </c>
      <c r="I857" s="4" t="s">
        <v>1098</v>
      </c>
      <c r="J857" s="4" t="str">
        <f>MID(Table13[[#This Row],[Function Col]],5,2)</f>
        <v/>
      </c>
      <c r="K857" s="4" t="s">
        <v>1098</v>
      </c>
      <c r="L857" s="4" t="str">
        <f>RIGHT(Table13[[#This Row],[Function Col]],4)</f>
        <v/>
      </c>
      <c r="M857" s="4" t="s">
        <v>1098</v>
      </c>
      <c r="N857" s="4" t="str">
        <f>IF(Table13[[#This Row],[Function Col5]]="","",_xlfn.CONCAT(Table13[[#This Row],[Day Col]],"/",Table13[[#This Row],[Month Col]],"/",Table13[[#This Row],[Year Col]]))</f>
        <v/>
      </c>
      <c r="O857" s="4" t="s">
        <v>1098</v>
      </c>
      <c r="P857" s="4">
        <f>IF(ISNUMBER(Table13[[#This Row],[Claim_Date2]]),Table13[[#This Row],[Claim_Date2]],Table13[[#This Row],[Function Col32]])</f>
        <v>45291</v>
      </c>
      <c r="Q857" s="4">
        <v>45291</v>
      </c>
      <c r="R857" s="1" t="s">
        <v>77</v>
      </c>
      <c r="S857" s="1" t="s">
        <v>93</v>
      </c>
      <c r="T857" s="1" t="s">
        <v>48</v>
      </c>
      <c r="U857" s="1"/>
      <c r="W857">
        <f>IF(Table1[[#This Row],[Claim_Amount]]&lt;0,0,Table1[[#This Row],[Claim_Amount]])</f>
        <v>0</v>
      </c>
      <c r="X857" t="str">
        <f>IF(Table1[[#This Row],[Column1]]=0,"",Table1[[#This Row],[Column1]])</f>
        <v/>
      </c>
      <c r="Y857" t="s">
        <v>1098</v>
      </c>
      <c r="Z857">
        <v>2481</v>
      </c>
      <c r="AA857" s="1">
        <v>4490.34</v>
      </c>
      <c r="AB857" s="1" t="s">
        <v>42</v>
      </c>
      <c r="AC857" s="1" t="s">
        <v>32</v>
      </c>
      <c r="AD857">
        <v>9</v>
      </c>
      <c r="AE857" s="3" t="s">
        <v>37</v>
      </c>
    </row>
    <row r="858" spans="1:31" ht="15.75" customHeight="1" x14ac:dyDescent="0.35">
      <c r="A858" s="1" t="s">
        <v>33</v>
      </c>
      <c r="B858" t="s">
        <v>1083</v>
      </c>
      <c r="C858" t="s">
        <v>1084</v>
      </c>
      <c r="D858" s="1" t="s">
        <v>985</v>
      </c>
      <c r="E858" s="5">
        <v>45189</v>
      </c>
      <c r="F858" s="4" t="str">
        <f>IF(ISNUMBER(Table13[[#This Row],[Claim_Date2]]),"",Table13[[#This Row],[Claim_Date2]])</f>
        <v/>
      </c>
      <c r="G858" s="4" t="s">
        <v>1098</v>
      </c>
      <c r="H858" s="4" t="str">
        <f>LEFT(Table13[[#This Row],[Values Col 1]],3)</f>
        <v/>
      </c>
      <c r="I858" s="4" t="s">
        <v>1098</v>
      </c>
      <c r="J858" s="4" t="str">
        <f>MID(Table13[[#This Row],[Function Col]],5,2)</f>
        <v/>
      </c>
      <c r="K858" s="4" t="s">
        <v>1098</v>
      </c>
      <c r="L858" s="4" t="str">
        <f>RIGHT(Table13[[#This Row],[Function Col]],4)</f>
        <v/>
      </c>
      <c r="M858" s="4" t="s">
        <v>1098</v>
      </c>
      <c r="N858" s="4" t="str">
        <f>IF(Table13[[#This Row],[Function Col5]]="","",_xlfn.CONCAT(Table13[[#This Row],[Day Col]],"/",Table13[[#This Row],[Month Col]],"/",Table13[[#This Row],[Year Col]]))</f>
        <v/>
      </c>
      <c r="O858" s="4" t="s">
        <v>1098</v>
      </c>
      <c r="P858" s="4">
        <f>IF(ISNUMBER(Table13[[#This Row],[Claim_Date2]]),Table13[[#This Row],[Claim_Date2]],Table13[[#This Row],[Function Col32]])</f>
        <v>45189</v>
      </c>
      <c r="Q858" s="4">
        <v>45189</v>
      </c>
      <c r="R858" s="1" t="s">
        <v>16</v>
      </c>
      <c r="S858" s="1" t="s">
        <v>53</v>
      </c>
      <c r="T858" s="1" t="s">
        <v>61</v>
      </c>
      <c r="U858" s="1"/>
      <c r="W858">
        <f>IF(Table1[[#This Row],[Claim_Amount]]&lt;0,0,Table1[[#This Row],[Claim_Amount]])</f>
        <v>0</v>
      </c>
      <c r="X858" t="str">
        <f>IF(Table1[[#This Row],[Column1]]=0,"",Table1[[#This Row],[Column1]])</f>
        <v/>
      </c>
      <c r="Y858" t="s">
        <v>1098</v>
      </c>
      <c r="Z858">
        <v>2481</v>
      </c>
      <c r="AA858" s="1">
        <v>4613.83</v>
      </c>
      <c r="AB858" s="1" t="s">
        <v>25</v>
      </c>
      <c r="AC858" s="1" t="s">
        <v>26</v>
      </c>
      <c r="AD858">
        <v>9</v>
      </c>
      <c r="AE858" s="3" t="s">
        <v>1097</v>
      </c>
    </row>
    <row r="859" spans="1:31" ht="15.75" customHeight="1" x14ac:dyDescent="0.35">
      <c r="A859" s="1" t="s">
        <v>38</v>
      </c>
      <c r="B859" s="1" t="s">
        <v>79</v>
      </c>
      <c r="C859" s="1" t="s">
        <v>986</v>
      </c>
      <c r="D859" s="1" t="s">
        <v>565</v>
      </c>
      <c r="E859" s="5">
        <v>45249</v>
      </c>
      <c r="F859" s="4" t="str">
        <f>IF(ISNUMBER(Table13[[#This Row],[Claim_Date2]]),"",Table13[[#This Row],[Claim_Date2]])</f>
        <v/>
      </c>
      <c r="G859" s="4" t="s">
        <v>1098</v>
      </c>
      <c r="H859" s="4" t="str">
        <f>LEFT(Table13[[#This Row],[Values Col 1]],3)</f>
        <v/>
      </c>
      <c r="I859" s="4" t="s">
        <v>1098</v>
      </c>
      <c r="J859" s="4" t="str">
        <f>MID(Table13[[#This Row],[Function Col]],5,2)</f>
        <v/>
      </c>
      <c r="K859" s="4" t="s">
        <v>1098</v>
      </c>
      <c r="L859" s="4" t="str">
        <f>RIGHT(Table13[[#This Row],[Function Col]],4)</f>
        <v/>
      </c>
      <c r="M859" s="4" t="s">
        <v>1098</v>
      </c>
      <c r="N859" s="4" t="str">
        <f>IF(Table13[[#This Row],[Function Col5]]="","",_xlfn.CONCAT(Table13[[#This Row],[Day Col]],"/",Table13[[#This Row],[Month Col]],"/",Table13[[#This Row],[Year Col]]))</f>
        <v/>
      </c>
      <c r="O859" s="4" t="s">
        <v>1098</v>
      </c>
      <c r="P859" s="4">
        <f>IF(ISNUMBER(Table13[[#This Row],[Claim_Date2]]),Table13[[#This Row],[Claim_Date2]],Table13[[#This Row],[Function Col32]])</f>
        <v>45249</v>
      </c>
      <c r="Q859" s="4">
        <v>45249</v>
      </c>
      <c r="R859" s="1" t="s">
        <v>77</v>
      </c>
      <c r="S859" s="1" t="s">
        <v>53</v>
      </c>
      <c r="T859" s="1" t="s">
        <v>41</v>
      </c>
      <c r="U859" s="1"/>
      <c r="W859">
        <f>IF(Table1[[#This Row],[Claim_Amount]]&lt;0,0,Table1[[#This Row],[Claim_Amount]])</f>
        <v>0</v>
      </c>
      <c r="X859" t="str">
        <f>IF(Table1[[#This Row],[Column1]]=0,"",Table1[[#This Row],[Column1]])</f>
        <v/>
      </c>
      <c r="Y859" t="s">
        <v>1098</v>
      </c>
      <c r="Z859">
        <v>2481</v>
      </c>
      <c r="AA859">
        <v>832</v>
      </c>
      <c r="AB859" s="1" t="s">
        <v>42</v>
      </c>
      <c r="AC859" s="1" t="s">
        <v>26</v>
      </c>
      <c r="AD859">
        <v>9</v>
      </c>
      <c r="AE859" s="3" t="s">
        <v>1097</v>
      </c>
    </row>
    <row r="860" spans="1:31" ht="15.75" customHeight="1" x14ac:dyDescent="0.35">
      <c r="A860" s="1" t="s">
        <v>55</v>
      </c>
      <c r="B860" t="s">
        <v>1083</v>
      </c>
      <c r="C860" s="1" t="s">
        <v>100</v>
      </c>
      <c r="D860" s="1" t="s">
        <v>461</v>
      </c>
      <c r="E860" s="5" t="s">
        <v>461</v>
      </c>
      <c r="F860" s="4" t="str">
        <f>IF(ISNUMBER(Table13[[#This Row],[Claim_Date2]]),"",Table13[[#This Row],[Claim_Date2]])</f>
        <v>Oct 17 2023</v>
      </c>
      <c r="G860" s="4" t="s">
        <v>461</v>
      </c>
      <c r="H860" s="4" t="str">
        <f>LEFT(Table13[[#This Row],[Values Col 1]],3)</f>
        <v>Oct</v>
      </c>
      <c r="I860" s="4" t="s">
        <v>1103</v>
      </c>
      <c r="J860" s="4" t="str">
        <f>MID(Table13[[#This Row],[Function Col]],5,2)</f>
        <v>17</v>
      </c>
      <c r="K860" s="4" t="s">
        <v>1140</v>
      </c>
      <c r="L860" s="4" t="str">
        <f>RIGHT(Table13[[#This Row],[Function Col]],4)</f>
        <v>2023</v>
      </c>
      <c r="M860" s="4" t="s">
        <v>1146</v>
      </c>
      <c r="N860" s="4" t="str">
        <f>IF(Table13[[#This Row],[Function Col5]]="","",_xlfn.CONCAT(Table13[[#This Row],[Day Col]],"/",Table13[[#This Row],[Month Col]],"/",Table13[[#This Row],[Year Col]]))</f>
        <v>17/Oct/2023</v>
      </c>
      <c r="O860" s="4" t="s">
        <v>1229</v>
      </c>
      <c r="P860" s="4" t="str">
        <f>IF(ISNUMBER(Table13[[#This Row],[Claim_Date2]]),Table13[[#This Row],[Claim_Date2]],Table13[[#This Row],[Function Col32]])</f>
        <v>17/Oct/2023</v>
      </c>
      <c r="Q860" s="4">
        <v>45216</v>
      </c>
      <c r="R860" s="1" t="s">
        <v>16</v>
      </c>
      <c r="S860" s="1" t="s">
        <v>93</v>
      </c>
      <c r="T860" s="1" t="s">
        <v>48</v>
      </c>
      <c r="U860" s="1"/>
      <c r="V860" s="1">
        <v>-192</v>
      </c>
      <c r="W860" s="1">
        <f>IF(Table1[[#This Row],[Claim_Amount]]&lt;0,0,Table1[[#This Row],[Claim_Amount]])</f>
        <v>0</v>
      </c>
      <c r="X860" s="1" t="str">
        <f>IF(Table1[[#This Row],[Column1]]=0,"",Table1[[#This Row],[Column1]])</f>
        <v/>
      </c>
      <c r="Y860" s="1" t="s">
        <v>1098</v>
      </c>
      <c r="Z860" s="1">
        <v>2481</v>
      </c>
      <c r="AA860">
        <v>832</v>
      </c>
      <c r="AB860" s="1" t="s">
        <v>42</v>
      </c>
      <c r="AC860" s="1" t="s">
        <v>18</v>
      </c>
      <c r="AD860" s="1">
        <v>9</v>
      </c>
      <c r="AE860" s="3" t="s">
        <v>19</v>
      </c>
    </row>
    <row r="861" spans="1:31" ht="15.75" customHeight="1" x14ac:dyDescent="0.35">
      <c r="A861" s="1" t="s">
        <v>110</v>
      </c>
      <c r="B861" t="s">
        <v>1083</v>
      </c>
      <c r="C861" s="1" t="s">
        <v>331</v>
      </c>
      <c r="D861" s="1" t="s">
        <v>101</v>
      </c>
      <c r="E861" s="5">
        <v>44948</v>
      </c>
      <c r="F861" s="4" t="str">
        <f>IF(ISNUMBER(Table13[[#This Row],[Claim_Date2]]),"",Table13[[#This Row],[Claim_Date2]])</f>
        <v/>
      </c>
      <c r="G861" s="4" t="s">
        <v>1098</v>
      </c>
      <c r="H861" s="4" t="str">
        <f>LEFT(Table13[[#This Row],[Values Col 1]],3)</f>
        <v/>
      </c>
      <c r="I861" s="4" t="s">
        <v>1098</v>
      </c>
      <c r="J861" s="4" t="str">
        <f>MID(Table13[[#This Row],[Function Col]],5,2)</f>
        <v/>
      </c>
      <c r="K861" s="4" t="s">
        <v>1098</v>
      </c>
      <c r="L861" s="4" t="str">
        <f>RIGHT(Table13[[#This Row],[Function Col]],4)</f>
        <v/>
      </c>
      <c r="M861" s="4" t="s">
        <v>1098</v>
      </c>
      <c r="N861" s="4" t="str">
        <f>IF(Table13[[#This Row],[Function Col5]]="","",_xlfn.CONCAT(Table13[[#This Row],[Day Col]],"/",Table13[[#This Row],[Month Col]],"/",Table13[[#This Row],[Year Col]]))</f>
        <v/>
      </c>
      <c r="O861" s="4" t="s">
        <v>1098</v>
      </c>
      <c r="P861" s="4">
        <f>IF(ISNUMBER(Table13[[#This Row],[Claim_Date2]]),Table13[[#This Row],[Claim_Date2]],Table13[[#This Row],[Function Col32]])</f>
        <v>44948</v>
      </c>
      <c r="Q861" s="4">
        <v>44948</v>
      </c>
      <c r="R861" s="1" t="s">
        <v>85</v>
      </c>
      <c r="S861" s="1" t="s">
        <v>93</v>
      </c>
      <c r="T861" s="1" t="s">
        <v>48</v>
      </c>
      <c r="U861" s="1"/>
      <c r="W861">
        <f>IF(Table1[[#This Row],[Claim_Amount]]&lt;0,0,Table1[[#This Row],[Claim_Amount]])</f>
        <v>0</v>
      </c>
      <c r="X861" t="str">
        <f>IF(Table1[[#This Row],[Column1]]=0,"",Table1[[#This Row],[Column1]])</f>
        <v/>
      </c>
      <c r="Y861" t="s">
        <v>1098</v>
      </c>
      <c r="Z861">
        <v>2481</v>
      </c>
      <c r="AA861">
        <v>832</v>
      </c>
      <c r="AB861" s="1" t="s">
        <v>42</v>
      </c>
      <c r="AC861" s="1" t="s">
        <v>18</v>
      </c>
      <c r="AD861" s="1">
        <v>9</v>
      </c>
      <c r="AE861" s="3" t="s">
        <v>65</v>
      </c>
    </row>
    <row r="862" spans="1:31" ht="15.75" customHeight="1" x14ac:dyDescent="0.35">
      <c r="A862" s="1" t="s">
        <v>166</v>
      </c>
      <c r="B862" t="s">
        <v>1083</v>
      </c>
      <c r="C862" s="1" t="s">
        <v>642</v>
      </c>
      <c r="D862" s="1" t="s">
        <v>987</v>
      </c>
      <c r="E862" s="5" t="s">
        <v>987</v>
      </c>
      <c r="F862" s="4" t="str">
        <f>IF(ISNUMBER(Table13[[#This Row],[Claim_Date2]]),"",Table13[[#This Row],[Claim_Date2]])</f>
        <v>Mar 26 2023</v>
      </c>
      <c r="G862" s="4" t="s">
        <v>987</v>
      </c>
      <c r="H862" s="4" t="str">
        <f>LEFT(Table13[[#This Row],[Values Col 1]],3)</f>
        <v>Mar</v>
      </c>
      <c r="I862" s="4" t="s">
        <v>1100</v>
      </c>
      <c r="J862" s="4" t="str">
        <f>MID(Table13[[#This Row],[Function Col]],5,2)</f>
        <v>26</v>
      </c>
      <c r="K862" s="4" t="s">
        <v>1117</v>
      </c>
      <c r="L862" s="4" t="str">
        <f>RIGHT(Table13[[#This Row],[Function Col]],4)</f>
        <v>2023</v>
      </c>
      <c r="M862" s="4" t="s">
        <v>1146</v>
      </c>
      <c r="N862" s="4" t="str">
        <f>IF(Table13[[#This Row],[Function Col5]]="","",_xlfn.CONCAT(Table13[[#This Row],[Day Col]],"/",Table13[[#This Row],[Month Col]],"/",Table13[[#This Row],[Year Col]]))</f>
        <v>26/Mar/2023</v>
      </c>
      <c r="O862" s="4" t="s">
        <v>1344</v>
      </c>
      <c r="P862" s="4" t="str">
        <f>IF(ISNUMBER(Table13[[#This Row],[Claim_Date2]]),Table13[[#This Row],[Claim_Date2]],Table13[[#This Row],[Function Col32]])</f>
        <v>26/Mar/2023</v>
      </c>
      <c r="Q862" s="4">
        <v>45011</v>
      </c>
      <c r="R862" s="1" t="s">
        <v>77</v>
      </c>
      <c r="S862" s="1" t="s">
        <v>23</v>
      </c>
      <c r="T862" s="1" t="s">
        <v>61</v>
      </c>
      <c r="U862" s="1"/>
      <c r="W862">
        <f>IF(Table1[[#This Row],[Claim_Amount]]&lt;0,0,Table1[[#This Row],[Claim_Amount]])</f>
        <v>0</v>
      </c>
      <c r="X862" t="str">
        <f>IF(Table1[[#This Row],[Column1]]=0,"",Table1[[#This Row],[Column1]])</f>
        <v/>
      </c>
      <c r="Y862" t="s">
        <v>1098</v>
      </c>
      <c r="Z862">
        <v>2481</v>
      </c>
      <c r="AA862">
        <v>832</v>
      </c>
      <c r="AB862" s="1" t="s">
        <v>1091</v>
      </c>
      <c r="AC862" s="1" t="s">
        <v>57</v>
      </c>
      <c r="AD862">
        <v>9</v>
      </c>
      <c r="AE862" s="3" t="s">
        <v>27</v>
      </c>
    </row>
    <row r="863" spans="1:31" ht="15.75" customHeight="1" x14ac:dyDescent="0.35">
      <c r="A863" s="1" t="s">
        <v>13</v>
      </c>
      <c r="B863" t="s">
        <v>1083</v>
      </c>
      <c r="C863" s="1" t="s">
        <v>530</v>
      </c>
      <c r="D863" s="1" t="s">
        <v>341</v>
      </c>
      <c r="E863" s="5" t="s">
        <v>341</v>
      </c>
      <c r="F863" s="4" t="str">
        <f>IF(ISNUMBER(Table13[[#This Row],[Claim_Date2]]),"",Table13[[#This Row],[Claim_Date2]])</f>
        <v>Oct 29 2023</v>
      </c>
      <c r="G863" s="4" t="s">
        <v>341</v>
      </c>
      <c r="H863" s="4" t="str">
        <f>LEFT(Table13[[#This Row],[Values Col 1]],3)</f>
        <v>Oct</v>
      </c>
      <c r="I863" s="4" t="s">
        <v>1103</v>
      </c>
      <c r="J863" s="4" t="str">
        <f>MID(Table13[[#This Row],[Function Col]],5,2)</f>
        <v>29</v>
      </c>
      <c r="K863" s="4" t="s">
        <v>1139</v>
      </c>
      <c r="L863" s="4" t="str">
        <f>RIGHT(Table13[[#This Row],[Function Col]],4)</f>
        <v>2023</v>
      </c>
      <c r="M863" s="4" t="s">
        <v>1146</v>
      </c>
      <c r="N863" s="4" t="str">
        <f>IF(Table13[[#This Row],[Function Col5]]="","",_xlfn.CONCAT(Table13[[#This Row],[Day Col]],"/",Table13[[#This Row],[Month Col]],"/",Table13[[#This Row],[Year Col]]))</f>
        <v>29/Oct/2023</v>
      </c>
      <c r="O863" s="4" t="s">
        <v>1199</v>
      </c>
      <c r="P863" s="4" t="str">
        <f>IF(ISNUMBER(Table13[[#This Row],[Claim_Date2]]),Table13[[#This Row],[Claim_Date2]],Table13[[#This Row],[Function Col32]])</f>
        <v>29/Oct/2023</v>
      </c>
      <c r="Q863" s="4">
        <v>45228</v>
      </c>
      <c r="R863" s="1" t="s">
        <v>16</v>
      </c>
      <c r="S863" s="1" t="s">
        <v>31</v>
      </c>
      <c r="T863" s="1" t="s">
        <v>54</v>
      </c>
      <c r="U863" s="1"/>
      <c r="W863">
        <f>IF(Table1[[#This Row],[Claim_Amount]]&lt;0,0,Table1[[#This Row],[Claim_Amount]])</f>
        <v>0</v>
      </c>
      <c r="X863" t="str">
        <f>IF(Table1[[#This Row],[Column1]]=0,"",Table1[[#This Row],[Column1]])</f>
        <v/>
      </c>
      <c r="Y863" t="s">
        <v>1098</v>
      </c>
      <c r="Z863">
        <v>2481</v>
      </c>
      <c r="AA863">
        <v>832</v>
      </c>
      <c r="AB863" s="1" t="s">
        <v>25</v>
      </c>
      <c r="AC863" s="1" t="s">
        <v>32</v>
      </c>
      <c r="AD863">
        <v>9</v>
      </c>
      <c r="AE863" s="3" t="s">
        <v>27</v>
      </c>
    </row>
    <row r="864" spans="1:31" ht="15.75" customHeight="1" x14ac:dyDescent="0.35">
      <c r="A864" s="1" t="s">
        <v>117</v>
      </c>
      <c r="B864" t="s">
        <v>1083</v>
      </c>
      <c r="C864" t="s">
        <v>1084</v>
      </c>
      <c r="D864" s="1" t="s">
        <v>381</v>
      </c>
      <c r="E864" s="5" t="s">
        <v>381</v>
      </c>
      <c r="F864" s="4" t="str">
        <f>IF(ISNUMBER(Table13[[#This Row],[Claim_Date2]]),"",Table13[[#This Row],[Claim_Date2]])</f>
        <v>Mar 17 2023</v>
      </c>
      <c r="G864" s="4" t="s">
        <v>381</v>
      </c>
      <c r="H864" s="4" t="str">
        <f>LEFT(Table13[[#This Row],[Values Col 1]],3)</f>
        <v>Mar</v>
      </c>
      <c r="I864" s="4" t="s">
        <v>1100</v>
      </c>
      <c r="J864" s="4" t="str">
        <f>MID(Table13[[#This Row],[Function Col]],5,2)</f>
        <v>17</v>
      </c>
      <c r="K864" s="4" t="s">
        <v>1140</v>
      </c>
      <c r="L864" s="4" t="str">
        <f>RIGHT(Table13[[#This Row],[Function Col]],4)</f>
        <v>2023</v>
      </c>
      <c r="M864" s="4" t="s">
        <v>1146</v>
      </c>
      <c r="N864" s="4" t="str">
        <f>IF(Table13[[#This Row],[Function Col5]]="","",_xlfn.CONCAT(Table13[[#This Row],[Day Col]],"/",Table13[[#This Row],[Month Col]],"/",Table13[[#This Row],[Year Col]]))</f>
        <v>17/Mar/2023</v>
      </c>
      <c r="O864" s="4" t="s">
        <v>1205</v>
      </c>
      <c r="P864" s="4" t="str">
        <f>IF(ISNUMBER(Table13[[#This Row],[Claim_Date2]]),Table13[[#This Row],[Claim_Date2]],Table13[[#This Row],[Function Col32]])</f>
        <v>17/Mar/2023</v>
      </c>
      <c r="Q864" s="4">
        <v>45002</v>
      </c>
      <c r="R864" s="1" t="s">
        <v>85</v>
      </c>
      <c r="S864" s="1" t="s">
        <v>93</v>
      </c>
      <c r="T864" s="1" t="s">
        <v>24</v>
      </c>
      <c r="U864" s="1"/>
      <c r="V864" s="1">
        <v>2348.52</v>
      </c>
      <c r="W864" s="1">
        <f>IF(Table1[[#This Row],[Claim_Amount]]&lt;0,0,Table1[[#This Row],[Claim_Amount]])</f>
        <v>2348.52</v>
      </c>
      <c r="X864" s="1">
        <f>IF(Table1[[#This Row],[Column1]]=0,"",Table1[[#This Row],[Column1]])</f>
        <v>2348.52</v>
      </c>
      <c r="Y864" s="1">
        <v>2348.52</v>
      </c>
      <c r="Z864" s="1">
        <v>2348.52</v>
      </c>
      <c r="AA864">
        <v>832</v>
      </c>
      <c r="AB864" s="1" t="s">
        <v>42</v>
      </c>
      <c r="AC864" s="1" t="s">
        <v>1093</v>
      </c>
      <c r="AD864">
        <v>9</v>
      </c>
      <c r="AE864" s="3" t="s">
        <v>37</v>
      </c>
    </row>
    <row r="865" spans="1:31" ht="15.75" customHeight="1" x14ac:dyDescent="0.35">
      <c r="A865" s="1" t="s">
        <v>209</v>
      </c>
      <c r="B865" t="s">
        <v>1083</v>
      </c>
      <c r="C865" s="1" t="s">
        <v>203</v>
      </c>
      <c r="D865" s="1" t="s">
        <v>988</v>
      </c>
      <c r="E865" s="5" t="s">
        <v>988</v>
      </c>
      <c r="F865" s="4" t="str">
        <f>IF(ISNUMBER(Table13[[#This Row],[Claim_Date2]]),"",Table13[[#This Row],[Claim_Date2]])</f>
        <v>Sep 04 2023</v>
      </c>
      <c r="G865" s="4" t="s">
        <v>988</v>
      </c>
      <c r="H865" s="4" t="str">
        <f>LEFT(Table13[[#This Row],[Values Col 1]],3)</f>
        <v>Sep</v>
      </c>
      <c r="I865" s="4" t="s">
        <v>1102</v>
      </c>
      <c r="J865" s="4" t="str">
        <f>MID(Table13[[#This Row],[Function Col]],5,2)</f>
        <v>04</v>
      </c>
      <c r="K865" s="4" t="s">
        <v>1142</v>
      </c>
      <c r="L865" s="4" t="str">
        <f>RIGHT(Table13[[#This Row],[Function Col]],4)</f>
        <v>2023</v>
      </c>
      <c r="M865" s="4" t="s">
        <v>1146</v>
      </c>
      <c r="N865" s="4" t="str">
        <f>IF(Table13[[#This Row],[Function Col5]]="","",_xlfn.CONCAT(Table13[[#This Row],[Day Col]],"/",Table13[[#This Row],[Month Col]],"/",Table13[[#This Row],[Year Col]]))</f>
        <v>04/Sep/2023</v>
      </c>
      <c r="O865" s="4" t="s">
        <v>1345</v>
      </c>
      <c r="P865" s="4" t="str">
        <f>IF(ISNUMBER(Table13[[#This Row],[Claim_Date2]]),Table13[[#This Row],[Claim_Date2]],Table13[[#This Row],[Function Col32]])</f>
        <v>04/Sep/2023</v>
      </c>
      <c r="Q865" s="4">
        <v>45173</v>
      </c>
      <c r="R865" s="1" t="s">
        <v>16</v>
      </c>
      <c r="S865" s="1" t="s">
        <v>31</v>
      </c>
      <c r="T865" s="1" t="s">
        <v>61</v>
      </c>
      <c r="U865" s="1"/>
      <c r="W865">
        <f>IF(Table1[[#This Row],[Claim_Amount]]&lt;0,0,Table1[[#This Row],[Claim_Amount]])</f>
        <v>0</v>
      </c>
      <c r="X865" t="str">
        <f>IF(Table1[[#This Row],[Column1]]=0,"",Table1[[#This Row],[Column1]])</f>
        <v/>
      </c>
      <c r="Y865" t="s">
        <v>1098</v>
      </c>
      <c r="Z865">
        <v>2481</v>
      </c>
      <c r="AA865" s="1">
        <v>2100.4</v>
      </c>
      <c r="AB865" s="1" t="s">
        <v>42</v>
      </c>
      <c r="AC865" s="1" t="s">
        <v>32</v>
      </c>
      <c r="AD865">
        <v>9</v>
      </c>
      <c r="AE865" s="3" t="s">
        <v>65</v>
      </c>
    </row>
    <row r="866" spans="1:31" ht="15.75" customHeight="1" x14ac:dyDescent="0.35">
      <c r="A866" s="1" t="s">
        <v>117</v>
      </c>
      <c r="B866" t="s">
        <v>1083</v>
      </c>
      <c r="C866" s="1" t="s">
        <v>463</v>
      </c>
      <c r="D866" s="1" t="s">
        <v>989</v>
      </c>
      <c r="E866" s="5">
        <v>45147</v>
      </c>
      <c r="F866" s="4" t="str">
        <f>IF(ISNUMBER(Table13[[#This Row],[Claim_Date2]]),"",Table13[[#This Row],[Claim_Date2]])</f>
        <v/>
      </c>
      <c r="G866" s="4" t="s">
        <v>1098</v>
      </c>
      <c r="H866" s="4" t="str">
        <f>LEFT(Table13[[#This Row],[Values Col 1]],3)</f>
        <v/>
      </c>
      <c r="I866" s="4" t="s">
        <v>1098</v>
      </c>
      <c r="J866" s="4" t="str">
        <f>MID(Table13[[#This Row],[Function Col]],5,2)</f>
        <v/>
      </c>
      <c r="K866" s="4" t="s">
        <v>1098</v>
      </c>
      <c r="L866" s="4" t="str">
        <f>RIGHT(Table13[[#This Row],[Function Col]],4)</f>
        <v/>
      </c>
      <c r="M866" s="4" t="s">
        <v>1098</v>
      </c>
      <c r="N866" s="4" t="str">
        <f>IF(Table13[[#This Row],[Function Col5]]="","",_xlfn.CONCAT(Table13[[#This Row],[Day Col]],"/",Table13[[#This Row],[Month Col]],"/",Table13[[#This Row],[Year Col]]))</f>
        <v/>
      </c>
      <c r="O866" s="4" t="s">
        <v>1098</v>
      </c>
      <c r="P866" s="4">
        <f>IF(ISNUMBER(Table13[[#This Row],[Claim_Date2]]),Table13[[#This Row],[Claim_Date2]],Table13[[#This Row],[Function Col32]])</f>
        <v>45147</v>
      </c>
      <c r="Q866" s="4">
        <v>45147</v>
      </c>
      <c r="R866" s="1" t="s">
        <v>85</v>
      </c>
      <c r="S866" s="1" t="s">
        <v>47</v>
      </c>
      <c r="T866" s="1" t="s">
        <v>24</v>
      </c>
      <c r="U866" s="1"/>
      <c r="W866">
        <f>IF(Table1[[#This Row],[Claim_Amount]]&lt;0,0,Table1[[#This Row],[Claim_Amount]])</f>
        <v>0</v>
      </c>
      <c r="X866" t="str">
        <f>IF(Table1[[#This Row],[Column1]]=0,"",Table1[[#This Row],[Column1]])</f>
        <v/>
      </c>
      <c r="Y866" t="s">
        <v>1098</v>
      </c>
      <c r="Z866">
        <v>2481</v>
      </c>
      <c r="AA866" s="1">
        <v>2987.56</v>
      </c>
      <c r="AB866" s="1" t="s">
        <v>25</v>
      </c>
      <c r="AC866" s="1" t="s">
        <v>26</v>
      </c>
      <c r="AD866">
        <v>9</v>
      </c>
      <c r="AE866" s="3" t="s">
        <v>19</v>
      </c>
    </row>
    <row r="867" spans="1:31" ht="15.75" customHeight="1" x14ac:dyDescent="0.35">
      <c r="A867" s="1" t="s">
        <v>50</v>
      </c>
      <c r="B867" t="s">
        <v>1083</v>
      </c>
      <c r="C867" s="1" t="s">
        <v>625</v>
      </c>
      <c r="D867" s="1" t="s">
        <v>990</v>
      </c>
      <c r="E867" s="5">
        <v>45284</v>
      </c>
      <c r="F867" s="4" t="str">
        <f>IF(ISNUMBER(Table13[[#This Row],[Claim_Date2]]),"",Table13[[#This Row],[Claim_Date2]])</f>
        <v/>
      </c>
      <c r="G867" s="4" t="s">
        <v>1098</v>
      </c>
      <c r="H867" s="4" t="str">
        <f>LEFT(Table13[[#This Row],[Values Col 1]],3)</f>
        <v/>
      </c>
      <c r="I867" s="4" t="s">
        <v>1098</v>
      </c>
      <c r="J867" s="4" t="str">
        <f>MID(Table13[[#This Row],[Function Col]],5,2)</f>
        <v/>
      </c>
      <c r="K867" s="4" t="s">
        <v>1098</v>
      </c>
      <c r="L867" s="4" t="str">
        <f>RIGHT(Table13[[#This Row],[Function Col]],4)</f>
        <v/>
      </c>
      <c r="M867" s="4" t="s">
        <v>1098</v>
      </c>
      <c r="N867" s="4" t="str">
        <f>IF(Table13[[#This Row],[Function Col5]]="","",_xlfn.CONCAT(Table13[[#This Row],[Day Col]],"/",Table13[[#This Row],[Month Col]],"/",Table13[[#This Row],[Year Col]]))</f>
        <v/>
      </c>
      <c r="O867" s="4" t="s">
        <v>1098</v>
      </c>
      <c r="P867" s="4">
        <f>IF(ISNUMBER(Table13[[#This Row],[Claim_Date2]]),Table13[[#This Row],[Claim_Date2]],Table13[[#This Row],[Function Col32]])</f>
        <v>45284</v>
      </c>
      <c r="Q867" s="4">
        <v>45284</v>
      </c>
      <c r="R867" s="1" t="s">
        <v>16</v>
      </c>
      <c r="S867" s="1" t="s">
        <v>53</v>
      </c>
      <c r="T867" s="1" t="s">
        <v>24</v>
      </c>
      <c r="U867" s="1"/>
      <c r="W867">
        <f>IF(Table1[[#This Row],[Claim_Amount]]&lt;0,0,Table1[[#This Row],[Claim_Amount]])</f>
        <v>0</v>
      </c>
      <c r="X867" t="str">
        <f>IF(Table1[[#This Row],[Column1]]=0,"",Table1[[#This Row],[Column1]])</f>
        <v/>
      </c>
      <c r="Y867" t="s">
        <v>1098</v>
      </c>
      <c r="Z867">
        <v>2481</v>
      </c>
      <c r="AA867">
        <v>832</v>
      </c>
      <c r="AB867" s="1" t="s">
        <v>42</v>
      </c>
      <c r="AC867" s="1" t="s">
        <v>57</v>
      </c>
      <c r="AD867" s="1">
        <v>5</v>
      </c>
      <c r="AE867" s="3" t="s">
        <v>65</v>
      </c>
    </row>
    <row r="868" spans="1:31" ht="15.75" customHeight="1" x14ac:dyDescent="0.35">
      <c r="A868" s="1" t="s">
        <v>192</v>
      </c>
      <c r="B868" s="1" t="s">
        <v>541</v>
      </c>
      <c r="C868" s="1" t="s">
        <v>469</v>
      </c>
      <c r="D868" s="1" t="s">
        <v>857</v>
      </c>
      <c r="E868" s="5">
        <v>44947</v>
      </c>
      <c r="F868" s="4" t="str">
        <f>IF(ISNUMBER(Table13[[#This Row],[Claim_Date2]]),"",Table13[[#This Row],[Claim_Date2]])</f>
        <v/>
      </c>
      <c r="G868" s="4" t="s">
        <v>1098</v>
      </c>
      <c r="H868" s="4" t="str">
        <f>LEFT(Table13[[#This Row],[Values Col 1]],3)</f>
        <v/>
      </c>
      <c r="I868" s="4" t="s">
        <v>1098</v>
      </c>
      <c r="J868" s="4" t="str">
        <f>MID(Table13[[#This Row],[Function Col]],5,2)</f>
        <v/>
      </c>
      <c r="K868" s="4" t="s">
        <v>1098</v>
      </c>
      <c r="L868" s="4" t="str">
        <f>RIGHT(Table13[[#This Row],[Function Col]],4)</f>
        <v/>
      </c>
      <c r="M868" s="4" t="s">
        <v>1098</v>
      </c>
      <c r="N868" s="4" t="str">
        <f>IF(Table13[[#This Row],[Function Col5]]="","",_xlfn.CONCAT(Table13[[#This Row],[Day Col]],"/",Table13[[#This Row],[Month Col]],"/",Table13[[#This Row],[Year Col]]))</f>
        <v/>
      </c>
      <c r="O868" s="4" t="s">
        <v>1098</v>
      </c>
      <c r="P868" s="4">
        <f>IF(ISNUMBER(Table13[[#This Row],[Claim_Date2]]),Table13[[#This Row],[Claim_Date2]],Table13[[#This Row],[Function Col32]])</f>
        <v>44947</v>
      </c>
      <c r="Q868" s="4">
        <v>44947</v>
      </c>
      <c r="R868" s="1" t="s">
        <v>85</v>
      </c>
      <c r="S868" s="1" t="s">
        <v>93</v>
      </c>
      <c r="T868" s="1" t="s">
        <v>48</v>
      </c>
      <c r="U868" s="1"/>
      <c r="V868" s="1">
        <v>4129.75</v>
      </c>
      <c r="W868" s="1">
        <f>IF(Table1[[#This Row],[Claim_Amount]]&lt;0,0,Table1[[#This Row],[Claim_Amount]])</f>
        <v>4129.75</v>
      </c>
      <c r="X868" s="1">
        <f>IF(Table1[[#This Row],[Column1]]=0,"",Table1[[#This Row],[Column1]])</f>
        <v>4129.75</v>
      </c>
      <c r="Y868" s="1">
        <v>4129.75</v>
      </c>
      <c r="Z868" s="1">
        <v>4129.75</v>
      </c>
      <c r="AA868">
        <v>832</v>
      </c>
      <c r="AB868" s="1" t="s">
        <v>1091</v>
      </c>
      <c r="AC868" s="1" t="s">
        <v>57</v>
      </c>
      <c r="AD868">
        <v>9</v>
      </c>
      <c r="AE868" s="3" t="s">
        <v>27</v>
      </c>
    </row>
    <row r="869" spans="1:31" ht="15.75" customHeight="1" x14ac:dyDescent="0.35">
      <c r="A869" s="1" t="s">
        <v>277</v>
      </c>
      <c r="B869" t="s">
        <v>1083</v>
      </c>
      <c r="C869" t="s">
        <v>1084</v>
      </c>
      <c r="D869" s="1" t="s">
        <v>370</v>
      </c>
      <c r="E869" s="5" t="s">
        <v>370</v>
      </c>
      <c r="F869" s="4" t="str">
        <f>IF(ISNUMBER(Table13[[#This Row],[Claim_Date2]]),"",Table13[[#This Row],[Claim_Date2]])</f>
        <v>Dec 25 2023</v>
      </c>
      <c r="G869" s="4" t="s">
        <v>370</v>
      </c>
      <c r="H869" s="4" t="str">
        <f>LEFT(Table13[[#This Row],[Values Col 1]],3)</f>
        <v>Dec</v>
      </c>
      <c r="I869" s="4" t="s">
        <v>1111</v>
      </c>
      <c r="J869" s="4" t="str">
        <f>MID(Table13[[#This Row],[Function Col]],5,2)</f>
        <v>25</v>
      </c>
      <c r="K869" s="4" t="s">
        <v>1123</v>
      </c>
      <c r="L869" s="4" t="str">
        <f>RIGHT(Table13[[#This Row],[Function Col]],4)</f>
        <v>2023</v>
      </c>
      <c r="M869" s="4" t="s">
        <v>1146</v>
      </c>
      <c r="N869" s="4" t="str">
        <f>IF(Table13[[#This Row],[Function Col5]]="","",_xlfn.CONCAT(Table13[[#This Row],[Day Col]],"/",Table13[[#This Row],[Month Col]],"/",Table13[[#This Row],[Year Col]]))</f>
        <v>25/Dec/2023</v>
      </c>
      <c r="O869" s="4" t="s">
        <v>1203</v>
      </c>
      <c r="P869" s="4" t="str">
        <f>IF(ISNUMBER(Table13[[#This Row],[Claim_Date2]]),Table13[[#This Row],[Claim_Date2]],Table13[[#This Row],[Function Col32]])</f>
        <v>25/Dec/2023</v>
      </c>
      <c r="Q869" s="4">
        <v>45285</v>
      </c>
      <c r="R869" s="1" t="s">
        <v>16</v>
      </c>
      <c r="S869" s="1" t="s">
        <v>53</v>
      </c>
      <c r="T869" s="1" t="s">
        <v>54</v>
      </c>
      <c r="U869" s="1"/>
      <c r="V869" s="1">
        <v>1157.77</v>
      </c>
      <c r="W869" s="1">
        <f>IF(Table1[[#This Row],[Claim_Amount]]&lt;0,0,Table1[[#This Row],[Claim_Amount]])</f>
        <v>1157.77</v>
      </c>
      <c r="X869" s="1">
        <f>IF(Table1[[#This Row],[Column1]]=0,"",Table1[[#This Row],[Column1]])</f>
        <v>1157.77</v>
      </c>
      <c r="Y869" s="1">
        <v>1157.77</v>
      </c>
      <c r="Z869" s="1">
        <v>1157.77</v>
      </c>
      <c r="AA869">
        <v>832</v>
      </c>
      <c r="AB869" s="1" t="s">
        <v>17</v>
      </c>
      <c r="AC869" s="1" t="s">
        <v>1093</v>
      </c>
      <c r="AD869">
        <v>9</v>
      </c>
      <c r="AE869" s="3" t="s">
        <v>27</v>
      </c>
    </row>
    <row r="870" spans="1:31" ht="15.75" customHeight="1" x14ac:dyDescent="0.35">
      <c r="A870" s="1" t="s">
        <v>163</v>
      </c>
      <c r="B870" t="s">
        <v>1083</v>
      </c>
      <c r="C870" t="s">
        <v>1084</v>
      </c>
      <c r="D870" s="1" t="s">
        <v>239</v>
      </c>
      <c r="E870" s="5" t="s">
        <v>239</v>
      </c>
      <c r="F870" s="4" t="str">
        <f>IF(ISNUMBER(Table13[[#This Row],[Claim_Date2]]),"",Table13[[#This Row],[Claim_Date2]])</f>
        <v>Jun 08 2023</v>
      </c>
      <c r="G870" s="4" t="s">
        <v>239</v>
      </c>
      <c r="H870" s="4" t="str">
        <f>LEFT(Table13[[#This Row],[Values Col 1]],3)</f>
        <v>Jun</v>
      </c>
      <c r="I870" s="4" t="s">
        <v>1108</v>
      </c>
      <c r="J870" s="4" t="str">
        <f>MID(Table13[[#This Row],[Function Col]],5,2)</f>
        <v>08</v>
      </c>
      <c r="K870" s="4" t="s">
        <v>1119</v>
      </c>
      <c r="L870" s="4" t="str">
        <f>RIGHT(Table13[[#This Row],[Function Col]],4)</f>
        <v>2023</v>
      </c>
      <c r="M870" s="4" t="s">
        <v>1146</v>
      </c>
      <c r="N870" s="4" t="str">
        <f>IF(Table13[[#This Row],[Function Col5]]="","",_xlfn.CONCAT(Table13[[#This Row],[Day Col]],"/",Table13[[#This Row],[Month Col]],"/",Table13[[#This Row],[Year Col]]))</f>
        <v>08/Jun/2023</v>
      </c>
      <c r="O870" s="4" t="s">
        <v>1177</v>
      </c>
      <c r="P870" s="4" t="str">
        <f>IF(ISNUMBER(Table13[[#This Row],[Claim_Date2]]),Table13[[#This Row],[Claim_Date2]],Table13[[#This Row],[Function Col32]])</f>
        <v>08/Jun/2023</v>
      </c>
      <c r="Q870" s="4">
        <v>45085</v>
      </c>
      <c r="R870" s="1" t="s">
        <v>92</v>
      </c>
      <c r="S870" s="1" t="s">
        <v>93</v>
      </c>
      <c r="T870" s="1" t="s">
        <v>24</v>
      </c>
      <c r="U870" s="1"/>
      <c r="W870">
        <f>IF(Table1[[#This Row],[Claim_Amount]]&lt;0,0,Table1[[#This Row],[Claim_Amount]])</f>
        <v>0</v>
      </c>
      <c r="X870" t="str">
        <f>IF(Table1[[#This Row],[Column1]]=0,"",Table1[[#This Row],[Column1]])</f>
        <v/>
      </c>
      <c r="Y870" t="s">
        <v>1098</v>
      </c>
      <c r="Z870">
        <v>2481</v>
      </c>
      <c r="AA870" s="1">
        <v>232.15</v>
      </c>
      <c r="AB870" s="1" t="s">
        <v>1091</v>
      </c>
      <c r="AC870" s="1" t="s">
        <v>26</v>
      </c>
      <c r="AD870" s="1">
        <v>9</v>
      </c>
      <c r="AE870" s="3" t="s">
        <v>37</v>
      </c>
    </row>
    <row r="871" spans="1:31" ht="15.75" customHeight="1" x14ac:dyDescent="0.35">
      <c r="A871" s="1" t="s">
        <v>277</v>
      </c>
      <c r="B871" t="s">
        <v>1083</v>
      </c>
      <c r="C871" t="s">
        <v>1084</v>
      </c>
      <c r="D871" s="1" t="s">
        <v>294</v>
      </c>
      <c r="E871" s="5" t="s">
        <v>294</v>
      </c>
      <c r="F871" s="4" t="str">
        <f>IF(ISNUMBER(Table13[[#This Row],[Claim_Date2]]),"",Table13[[#This Row],[Claim_Date2]])</f>
        <v>Jun 13 2023</v>
      </c>
      <c r="G871" s="4" t="s">
        <v>294</v>
      </c>
      <c r="H871" s="4" t="str">
        <f>LEFT(Table13[[#This Row],[Values Col 1]],3)</f>
        <v>Jun</v>
      </c>
      <c r="I871" s="4" t="s">
        <v>1108</v>
      </c>
      <c r="J871" s="4" t="str">
        <f>MID(Table13[[#This Row],[Function Col]],5,2)</f>
        <v>13</v>
      </c>
      <c r="K871" s="4" t="s">
        <v>1114</v>
      </c>
      <c r="L871" s="4" t="str">
        <f>RIGHT(Table13[[#This Row],[Function Col]],4)</f>
        <v>2023</v>
      </c>
      <c r="M871" s="4" t="s">
        <v>1146</v>
      </c>
      <c r="N871" s="4" t="str">
        <f>IF(Table13[[#This Row],[Function Col5]]="","",_xlfn.CONCAT(Table13[[#This Row],[Day Col]],"/",Table13[[#This Row],[Month Col]],"/",Table13[[#This Row],[Year Col]]))</f>
        <v>13/Jun/2023</v>
      </c>
      <c r="O871" s="4" t="s">
        <v>1186</v>
      </c>
      <c r="P871" s="4" t="str">
        <f>IF(ISNUMBER(Table13[[#This Row],[Claim_Date2]]),Table13[[#This Row],[Claim_Date2]],Table13[[#This Row],[Function Col32]])</f>
        <v>13/Jun/2023</v>
      </c>
      <c r="Q871" s="4">
        <v>45090</v>
      </c>
      <c r="R871" s="1" t="s">
        <v>85</v>
      </c>
      <c r="S871" t="s">
        <v>1085</v>
      </c>
      <c r="T871" s="1" t="s">
        <v>48</v>
      </c>
      <c r="U871" s="1"/>
      <c r="W871">
        <f>IF(Table1[[#This Row],[Claim_Amount]]&lt;0,0,Table1[[#This Row],[Claim_Amount]])</f>
        <v>0</v>
      </c>
      <c r="X871" t="str">
        <f>IF(Table1[[#This Row],[Column1]]=0,"",Table1[[#This Row],[Column1]])</f>
        <v/>
      </c>
      <c r="Y871" t="s">
        <v>1098</v>
      </c>
      <c r="Z871">
        <v>2481</v>
      </c>
      <c r="AA871" s="1">
        <v>4690.3100000000004</v>
      </c>
      <c r="AB871" s="1" t="s">
        <v>25</v>
      </c>
      <c r="AC871" s="1" t="s">
        <v>26</v>
      </c>
      <c r="AD871" s="1">
        <v>23</v>
      </c>
      <c r="AE871" s="3" t="s">
        <v>37</v>
      </c>
    </row>
    <row r="872" spans="1:31" ht="15.75" customHeight="1" x14ac:dyDescent="0.35">
      <c r="A872" s="1" t="s">
        <v>212</v>
      </c>
      <c r="B872" s="1" t="s">
        <v>917</v>
      </c>
      <c r="C872" s="1" t="s">
        <v>416</v>
      </c>
      <c r="D872" s="1" t="s">
        <v>991</v>
      </c>
      <c r="E872" s="5">
        <v>45126</v>
      </c>
      <c r="F872" s="4" t="str">
        <f>IF(ISNUMBER(Table13[[#This Row],[Claim_Date2]]),"",Table13[[#This Row],[Claim_Date2]])</f>
        <v/>
      </c>
      <c r="G872" s="4" t="s">
        <v>1098</v>
      </c>
      <c r="H872" s="4" t="str">
        <f>LEFT(Table13[[#This Row],[Values Col 1]],3)</f>
        <v/>
      </c>
      <c r="I872" s="4" t="s">
        <v>1098</v>
      </c>
      <c r="J872" s="4" t="str">
        <f>MID(Table13[[#This Row],[Function Col]],5,2)</f>
        <v/>
      </c>
      <c r="K872" s="4" t="s">
        <v>1098</v>
      </c>
      <c r="L872" s="4" t="str">
        <f>RIGHT(Table13[[#This Row],[Function Col]],4)</f>
        <v/>
      </c>
      <c r="M872" s="4" t="s">
        <v>1098</v>
      </c>
      <c r="N872" s="4" t="str">
        <f>IF(Table13[[#This Row],[Function Col5]]="","",_xlfn.CONCAT(Table13[[#This Row],[Day Col]],"/",Table13[[#This Row],[Month Col]],"/",Table13[[#This Row],[Year Col]]))</f>
        <v/>
      </c>
      <c r="O872" s="4" t="s">
        <v>1098</v>
      </c>
      <c r="P872" s="4">
        <f>IF(ISNUMBER(Table13[[#This Row],[Claim_Date2]]),Table13[[#This Row],[Claim_Date2]],Table13[[#This Row],[Function Col32]])</f>
        <v>45126</v>
      </c>
      <c r="Q872" s="4">
        <v>45126</v>
      </c>
      <c r="R872" s="1" t="s">
        <v>77</v>
      </c>
      <c r="S872" t="s">
        <v>1085</v>
      </c>
      <c r="T872" s="1" t="s">
        <v>48</v>
      </c>
      <c r="U872" s="1"/>
      <c r="V872" s="1">
        <v>-92</v>
      </c>
      <c r="W872" s="1">
        <f>IF(Table1[[#This Row],[Claim_Amount]]&lt;0,0,Table1[[#This Row],[Claim_Amount]])</f>
        <v>0</v>
      </c>
      <c r="X872" s="1" t="str">
        <f>IF(Table1[[#This Row],[Column1]]=0,"",Table1[[#This Row],[Column1]])</f>
        <v/>
      </c>
      <c r="Y872" s="1" t="s">
        <v>1098</v>
      </c>
      <c r="Z872" s="1">
        <v>2481</v>
      </c>
      <c r="AA872">
        <v>832</v>
      </c>
      <c r="AB872" s="1" t="s">
        <v>25</v>
      </c>
      <c r="AC872" s="1" t="s">
        <v>32</v>
      </c>
      <c r="AD872">
        <v>9</v>
      </c>
      <c r="AE872" s="3" t="s">
        <v>65</v>
      </c>
    </row>
    <row r="873" spans="1:31" ht="15.75" customHeight="1" x14ac:dyDescent="0.35">
      <c r="A873" s="1" t="s">
        <v>89</v>
      </c>
      <c r="B873" t="s">
        <v>1083</v>
      </c>
      <c r="C873" s="1" t="s">
        <v>363</v>
      </c>
      <c r="D873" s="1" t="s">
        <v>837</v>
      </c>
      <c r="E873" s="5">
        <v>45176</v>
      </c>
      <c r="F873" s="4" t="str">
        <f>IF(ISNUMBER(Table13[[#This Row],[Claim_Date2]]),"",Table13[[#This Row],[Claim_Date2]])</f>
        <v/>
      </c>
      <c r="G873" s="4" t="s">
        <v>1098</v>
      </c>
      <c r="H873" s="4" t="str">
        <f>LEFT(Table13[[#This Row],[Values Col 1]],3)</f>
        <v/>
      </c>
      <c r="I873" s="4" t="s">
        <v>1098</v>
      </c>
      <c r="J873" s="4" t="str">
        <f>MID(Table13[[#This Row],[Function Col]],5,2)</f>
        <v/>
      </c>
      <c r="K873" s="4" t="s">
        <v>1098</v>
      </c>
      <c r="L873" s="4" t="str">
        <f>RIGHT(Table13[[#This Row],[Function Col]],4)</f>
        <v/>
      </c>
      <c r="M873" s="4" t="s">
        <v>1098</v>
      </c>
      <c r="N873" s="4" t="str">
        <f>IF(Table13[[#This Row],[Function Col5]]="","",_xlfn.CONCAT(Table13[[#This Row],[Day Col]],"/",Table13[[#This Row],[Month Col]],"/",Table13[[#This Row],[Year Col]]))</f>
        <v/>
      </c>
      <c r="O873" s="4" t="s">
        <v>1098</v>
      </c>
      <c r="P873" s="4">
        <f>IF(ISNUMBER(Table13[[#This Row],[Claim_Date2]]),Table13[[#This Row],[Claim_Date2]],Table13[[#This Row],[Function Col32]])</f>
        <v>45176</v>
      </c>
      <c r="Q873" s="4">
        <v>45176</v>
      </c>
      <c r="R873" s="1" t="s">
        <v>85</v>
      </c>
      <c r="S873" s="1" t="s">
        <v>93</v>
      </c>
      <c r="T873" s="1" t="s">
        <v>54</v>
      </c>
      <c r="U873" s="1"/>
      <c r="W873">
        <f>IF(Table1[[#This Row],[Claim_Amount]]&lt;0,0,Table1[[#This Row],[Claim_Amount]])</f>
        <v>0</v>
      </c>
      <c r="X873" t="str">
        <f>IF(Table1[[#This Row],[Column1]]=0,"",Table1[[#This Row],[Column1]])</f>
        <v/>
      </c>
      <c r="Y873" t="s">
        <v>1098</v>
      </c>
      <c r="Z873">
        <v>2481</v>
      </c>
      <c r="AA873">
        <v>832</v>
      </c>
      <c r="AB873" s="1" t="s">
        <v>25</v>
      </c>
      <c r="AC873" s="1" t="s">
        <v>26</v>
      </c>
      <c r="AD873">
        <v>9</v>
      </c>
      <c r="AE873" s="3" t="s">
        <v>27</v>
      </c>
    </row>
    <row r="874" spans="1:31" ht="15.75" customHeight="1" x14ac:dyDescent="0.35">
      <c r="A874" s="1" t="s">
        <v>110</v>
      </c>
      <c r="B874" t="s">
        <v>1083</v>
      </c>
      <c r="C874" s="1" t="s">
        <v>290</v>
      </c>
      <c r="D874" s="1" t="s">
        <v>992</v>
      </c>
      <c r="E874" s="5">
        <v>45174</v>
      </c>
      <c r="F874" s="4" t="str">
        <f>IF(ISNUMBER(Table13[[#This Row],[Claim_Date2]]),"",Table13[[#This Row],[Claim_Date2]])</f>
        <v/>
      </c>
      <c r="G874" s="4" t="s">
        <v>1098</v>
      </c>
      <c r="H874" s="4" t="str">
        <f>LEFT(Table13[[#This Row],[Values Col 1]],3)</f>
        <v/>
      </c>
      <c r="I874" s="4" t="s">
        <v>1098</v>
      </c>
      <c r="J874" s="4" t="str">
        <f>MID(Table13[[#This Row],[Function Col]],5,2)</f>
        <v/>
      </c>
      <c r="K874" s="4" t="s">
        <v>1098</v>
      </c>
      <c r="L874" s="4" t="str">
        <f>RIGHT(Table13[[#This Row],[Function Col]],4)</f>
        <v/>
      </c>
      <c r="M874" s="4" t="s">
        <v>1098</v>
      </c>
      <c r="N874" s="4" t="str">
        <f>IF(Table13[[#This Row],[Function Col5]]="","",_xlfn.CONCAT(Table13[[#This Row],[Day Col]],"/",Table13[[#This Row],[Month Col]],"/",Table13[[#This Row],[Year Col]]))</f>
        <v/>
      </c>
      <c r="O874" s="4" t="s">
        <v>1098</v>
      </c>
      <c r="P874" s="4">
        <f>IF(ISNUMBER(Table13[[#This Row],[Claim_Date2]]),Table13[[#This Row],[Claim_Date2]],Table13[[#This Row],[Function Col32]])</f>
        <v>45174</v>
      </c>
      <c r="Q874" s="4">
        <v>45174</v>
      </c>
      <c r="R874" s="1" t="s">
        <v>85</v>
      </c>
      <c r="S874" s="1" t="s">
        <v>31</v>
      </c>
      <c r="T874" t="s">
        <v>1086</v>
      </c>
      <c r="W874">
        <f>IF(Table1[[#This Row],[Claim_Amount]]&lt;0,0,Table1[[#This Row],[Claim_Amount]])</f>
        <v>0</v>
      </c>
      <c r="X874" t="str">
        <f>IF(Table1[[#This Row],[Column1]]=0,"",Table1[[#This Row],[Column1]])</f>
        <v/>
      </c>
      <c r="Y874" t="s">
        <v>1098</v>
      </c>
      <c r="Z874">
        <v>2481</v>
      </c>
      <c r="AA874">
        <v>832</v>
      </c>
      <c r="AB874" s="1" t="s">
        <v>1091</v>
      </c>
      <c r="AC874" s="1" t="s">
        <v>57</v>
      </c>
      <c r="AD874">
        <v>9</v>
      </c>
      <c r="AE874" s="3" t="s">
        <v>65</v>
      </c>
    </row>
    <row r="875" spans="1:31" ht="15.75" customHeight="1" x14ac:dyDescent="0.35">
      <c r="A875" s="1" t="s">
        <v>62</v>
      </c>
      <c r="B875" t="s">
        <v>1083</v>
      </c>
      <c r="C875" t="s">
        <v>1084</v>
      </c>
      <c r="D875" s="1" t="s">
        <v>993</v>
      </c>
      <c r="E875" s="5" t="s">
        <v>993</v>
      </c>
      <c r="F875" s="4" t="str">
        <f>IF(ISNUMBER(Table13[[#This Row],[Claim_Date2]]),"",Table13[[#This Row],[Claim_Date2]])</f>
        <v>May 29 2023</v>
      </c>
      <c r="G875" s="4" t="s">
        <v>993</v>
      </c>
      <c r="H875" s="4" t="str">
        <f>LEFT(Table13[[#This Row],[Values Col 1]],3)</f>
        <v>May</v>
      </c>
      <c r="I875" s="4" t="s">
        <v>1110</v>
      </c>
      <c r="J875" s="4" t="str">
        <f>MID(Table13[[#This Row],[Function Col]],5,2)</f>
        <v>29</v>
      </c>
      <c r="K875" s="4" t="s">
        <v>1139</v>
      </c>
      <c r="L875" s="4" t="str">
        <f>RIGHT(Table13[[#This Row],[Function Col]],4)</f>
        <v>2023</v>
      </c>
      <c r="M875" s="4" t="s">
        <v>1146</v>
      </c>
      <c r="N875" s="4" t="str">
        <f>IF(Table13[[#This Row],[Function Col5]]="","",_xlfn.CONCAT(Table13[[#This Row],[Day Col]],"/",Table13[[#This Row],[Month Col]],"/",Table13[[#This Row],[Year Col]]))</f>
        <v>29/May/2023</v>
      </c>
      <c r="O875" s="4" t="s">
        <v>1346</v>
      </c>
      <c r="P875" s="4" t="str">
        <f>IF(ISNUMBER(Table13[[#This Row],[Claim_Date2]]),Table13[[#This Row],[Claim_Date2]],Table13[[#This Row],[Function Col32]])</f>
        <v>29/May/2023</v>
      </c>
      <c r="Q875" s="4">
        <v>45075</v>
      </c>
      <c r="R875" s="1" t="s">
        <v>85</v>
      </c>
      <c r="S875" s="1" t="s">
        <v>53</v>
      </c>
      <c r="T875" s="1" t="s">
        <v>61</v>
      </c>
      <c r="U875" s="1"/>
      <c r="V875" s="1">
        <v>-14</v>
      </c>
      <c r="W875" s="1">
        <f>IF(Table1[[#This Row],[Claim_Amount]]&lt;0,0,Table1[[#This Row],[Claim_Amount]])</f>
        <v>0</v>
      </c>
      <c r="X875" s="1" t="str">
        <f>IF(Table1[[#This Row],[Column1]]=0,"",Table1[[#This Row],[Column1]])</f>
        <v/>
      </c>
      <c r="Y875" s="1" t="s">
        <v>1098</v>
      </c>
      <c r="Z875" s="1">
        <v>2481</v>
      </c>
      <c r="AA875" s="1">
        <v>2967.14</v>
      </c>
      <c r="AB875" s="1" t="s">
        <v>25</v>
      </c>
      <c r="AC875" s="1" t="s">
        <v>1093</v>
      </c>
      <c r="AD875">
        <v>9</v>
      </c>
      <c r="AE875" s="3" t="s">
        <v>1097</v>
      </c>
    </row>
    <row r="876" spans="1:31" ht="15.75" customHeight="1" x14ac:dyDescent="0.35">
      <c r="A876" s="1" t="s">
        <v>209</v>
      </c>
      <c r="B876" t="s">
        <v>1083</v>
      </c>
      <c r="C876" s="1" t="s">
        <v>463</v>
      </c>
      <c r="D876" s="1" t="s">
        <v>734</v>
      </c>
      <c r="E876" s="5" t="s">
        <v>734</v>
      </c>
      <c r="F876" s="4" t="str">
        <f>IF(ISNUMBER(Table13[[#This Row],[Claim_Date2]]),"",Table13[[#This Row],[Claim_Date2]])</f>
        <v>Jun 03 2023</v>
      </c>
      <c r="G876" s="4" t="s">
        <v>734</v>
      </c>
      <c r="H876" s="4" t="str">
        <f>LEFT(Table13[[#This Row],[Values Col 1]],3)</f>
        <v>Jun</v>
      </c>
      <c r="I876" s="4" t="s">
        <v>1108</v>
      </c>
      <c r="J876" s="4" t="str">
        <f>MID(Table13[[#This Row],[Function Col]],5,2)</f>
        <v>03</v>
      </c>
      <c r="K876" s="4" t="s">
        <v>1141</v>
      </c>
      <c r="L876" s="4" t="str">
        <f>RIGHT(Table13[[#This Row],[Function Col]],4)</f>
        <v>2023</v>
      </c>
      <c r="M876" s="4" t="s">
        <v>1146</v>
      </c>
      <c r="N876" s="4" t="str">
        <f>IF(Table13[[#This Row],[Function Col5]]="","",_xlfn.CONCAT(Table13[[#This Row],[Day Col]],"/",Table13[[#This Row],[Month Col]],"/",Table13[[#This Row],[Year Col]]))</f>
        <v>03/Jun/2023</v>
      </c>
      <c r="O876" s="4" t="s">
        <v>1285</v>
      </c>
      <c r="P876" s="4" t="str">
        <f>IF(ISNUMBER(Table13[[#This Row],[Claim_Date2]]),Table13[[#This Row],[Claim_Date2]],Table13[[#This Row],[Function Col32]])</f>
        <v>03/Jun/2023</v>
      </c>
      <c r="Q876" s="4">
        <v>45080</v>
      </c>
      <c r="R876" s="1" t="s">
        <v>85</v>
      </c>
      <c r="S876" s="1" t="s">
        <v>23</v>
      </c>
      <c r="T876" s="1" t="s">
        <v>24</v>
      </c>
      <c r="U876" s="1"/>
      <c r="W876">
        <f>IF(Table1[[#This Row],[Claim_Amount]]&lt;0,0,Table1[[#This Row],[Claim_Amount]])</f>
        <v>0</v>
      </c>
      <c r="X876" t="str">
        <f>IF(Table1[[#This Row],[Column1]]=0,"",Table1[[#This Row],[Column1]])</f>
        <v/>
      </c>
      <c r="Y876" t="s">
        <v>1098</v>
      </c>
      <c r="Z876">
        <v>2481</v>
      </c>
      <c r="AA876" s="1">
        <v>2004.32</v>
      </c>
      <c r="AB876" s="1" t="s">
        <v>1091</v>
      </c>
      <c r="AC876" s="1" t="s">
        <v>18</v>
      </c>
      <c r="AD876" s="1">
        <v>2</v>
      </c>
      <c r="AE876" s="3" t="s">
        <v>37</v>
      </c>
    </row>
    <row r="877" spans="1:31" ht="15.75" customHeight="1" x14ac:dyDescent="0.35">
      <c r="A877" s="1" t="s">
        <v>170</v>
      </c>
      <c r="B877" s="1" t="s">
        <v>994</v>
      </c>
      <c r="C877" s="1" t="s">
        <v>100</v>
      </c>
      <c r="D877" s="1" t="s">
        <v>995</v>
      </c>
      <c r="E877" s="5" t="s">
        <v>995</v>
      </c>
      <c r="F877" s="4" t="str">
        <f>IF(ISNUMBER(Table13[[#This Row],[Claim_Date2]]),"",Table13[[#This Row],[Claim_Date2]])</f>
        <v>Oct 02 2023</v>
      </c>
      <c r="G877" s="4" t="s">
        <v>995</v>
      </c>
      <c r="H877" s="4" t="str">
        <f>LEFT(Table13[[#This Row],[Values Col 1]],3)</f>
        <v>Oct</v>
      </c>
      <c r="I877" s="4" t="s">
        <v>1103</v>
      </c>
      <c r="J877" s="4" t="str">
        <f>MID(Table13[[#This Row],[Function Col]],5,2)</f>
        <v>02</v>
      </c>
      <c r="K877" s="4" t="s">
        <v>1130</v>
      </c>
      <c r="L877" s="4" t="str">
        <f>RIGHT(Table13[[#This Row],[Function Col]],4)</f>
        <v>2023</v>
      </c>
      <c r="M877" s="4" t="s">
        <v>1146</v>
      </c>
      <c r="N877" s="4" t="str">
        <f>IF(Table13[[#This Row],[Function Col5]]="","",_xlfn.CONCAT(Table13[[#This Row],[Day Col]],"/",Table13[[#This Row],[Month Col]],"/",Table13[[#This Row],[Year Col]]))</f>
        <v>02/Oct/2023</v>
      </c>
      <c r="O877" s="4" t="s">
        <v>1347</v>
      </c>
      <c r="P877" s="4" t="str">
        <f>IF(ISNUMBER(Table13[[#This Row],[Claim_Date2]]),Table13[[#This Row],[Claim_Date2]],Table13[[#This Row],[Function Col32]])</f>
        <v>02/Oct/2023</v>
      </c>
      <c r="Q877" s="4">
        <v>45201</v>
      </c>
      <c r="R877" s="1" t="s">
        <v>77</v>
      </c>
      <c r="S877" s="1" t="s">
        <v>23</v>
      </c>
      <c r="T877" s="1" t="s">
        <v>54</v>
      </c>
      <c r="U877" s="1"/>
      <c r="W877">
        <f>IF(Table1[[#This Row],[Claim_Amount]]&lt;0,0,Table1[[#This Row],[Claim_Amount]])</f>
        <v>0</v>
      </c>
      <c r="X877" t="str">
        <f>IF(Table1[[#This Row],[Column1]]=0,"",Table1[[#This Row],[Column1]])</f>
        <v/>
      </c>
      <c r="Y877" t="s">
        <v>1098</v>
      </c>
      <c r="Z877">
        <v>2481</v>
      </c>
      <c r="AA877">
        <v>832</v>
      </c>
      <c r="AB877" s="1" t="s">
        <v>25</v>
      </c>
      <c r="AC877" s="1" t="s">
        <v>1093</v>
      </c>
      <c r="AD877" s="1">
        <v>37</v>
      </c>
      <c r="AE877" s="3" t="s">
        <v>1097</v>
      </c>
    </row>
    <row r="878" spans="1:31" ht="15.75" customHeight="1" x14ac:dyDescent="0.35">
      <c r="A878" s="1" t="s">
        <v>249</v>
      </c>
      <c r="B878" t="s">
        <v>1083</v>
      </c>
      <c r="C878" s="1" t="s">
        <v>509</v>
      </c>
      <c r="D878" s="1" t="s">
        <v>996</v>
      </c>
      <c r="E878" s="5" t="s">
        <v>996</v>
      </c>
      <c r="F878" s="4" t="str">
        <f>IF(ISNUMBER(Table13[[#This Row],[Claim_Date2]]),"",Table13[[#This Row],[Claim_Date2]])</f>
        <v>Oct 15 2023</v>
      </c>
      <c r="G878" s="4" t="s">
        <v>996</v>
      </c>
      <c r="H878" s="4" t="str">
        <f>LEFT(Table13[[#This Row],[Values Col 1]],3)</f>
        <v>Oct</v>
      </c>
      <c r="I878" s="4" t="s">
        <v>1103</v>
      </c>
      <c r="J878" s="4" t="str">
        <f>MID(Table13[[#This Row],[Function Col]],5,2)</f>
        <v>15</v>
      </c>
      <c r="K878" s="4" t="s">
        <v>1116</v>
      </c>
      <c r="L878" s="4" t="str">
        <f>RIGHT(Table13[[#This Row],[Function Col]],4)</f>
        <v>2023</v>
      </c>
      <c r="M878" s="4" t="s">
        <v>1146</v>
      </c>
      <c r="N878" s="4" t="str">
        <f>IF(Table13[[#This Row],[Function Col5]]="","",_xlfn.CONCAT(Table13[[#This Row],[Day Col]],"/",Table13[[#This Row],[Month Col]],"/",Table13[[#This Row],[Year Col]]))</f>
        <v>15/Oct/2023</v>
      </c>
      <c r="O878" s="4" t="s">
        <v>1348</v>
      </c>
      <c r="P878" s="4" t="str">
        <f>IF(ISNUMBER(Table13[[#This Row],[Claim_Date2]]),Table13[[#This Row],[Claim_Date2]],Table13[[#This Row],[Function Col32]])</f>
        <v>15/Oct/2023</v>
      </c>
      <c r="Q878" s="4">
        <v>45214</v>
      </c>
      <c r="R878" s="1" t="s">
        <v>92</v>
      </c>
      <c r="S878" s="1" t="s">
        <v>93</v>
      </c>
      <c r="T878" s="1" t="s">
        <v>54</v>
      </c>
      <c r="U878" s="1"/>
      <c r="V878" s="1">
        <v>-13</v>
      </c>
      <c r="W878" s="1">
        <f>IF(Table1[[#This Row],[Claim_Amount]]&lt;0,0,Table1[[#This Row],[Claim_Amount]])</f>
        <v>0</v>
      </c>
      <c r="X878" s="1" t="str">
        <f>IF(Table1[[#This Row],[Column1]]=0,"",Table1[[#This Row],[Column1]])</f>
        <v/>
      </c>
      <c r="Y878" s="1" t="s">
        <v>1098</v>
      </c>
      <c r="Z878" s="1">
        <v>2481</v>
      </c>
      <c r="AA878">
        <v>832</v>
      </c>
      <c r="AB878" s="1" t="s">
        <v>17</v>
      </c>
      <c r="AC878" s="1" t="s">
        <v>1093</v>
      </c>
      <c r="AD878" s="1">
        <v>1</v>
      </c>
      <c r="AE878" s="3" t="s">
        <v>65</v>
      </c>
    </row>
    <row r="879" spans="1:31" ht="15.75" customHeight="1" x14ac:dyDescent="0.35">
      <c r="A879" s="1" t="s">
        <v>148</v>
      </c>
      <c r="B879" t="s">
        <v>1083</v>
      </c>
      <c r="C879" t="s">
        <v>1084</v>
      </c>
      <c r="D879" s="1" t="s">
        <v>997</v>
      </c>
      <c r="E879" s="5">
        <v>45270</v>
      </c>
      <c r="F879" s="4" t="str">
        <f>IF(ISNUMBER(Table13[[#This Row],[Claim_Date2]]),"",Table13[[#This Row],[Claim_Date2]])</f>
        <v/>
      </c>
      <c r="G879" s="4" t="s">
        <v>1098</v>
      </c>
      <c r="H879" s="4" t="str">
        <f>LEFT(Table13[[#This Row],[Values Col 1]],3)</f>
        <v/>
      </c>
      <c r="I879" s="4" t="s">
        <v>1098</v>
      </c>
      <c r="J879" s="4" t="str">
        <f>MID(Table13[[#This Row],[Function Col]],5,2)</f>
        <v/>
      </c>
      <c r="K879" s="4" t="s">
        <v>1098</v>
      </c>
      <c r="L879" s="4" t="str">
        <f>RIGHT(Table13[[#This Row],[Function Col]],4)</f>
        <v/>
      </c>
      <c r="M879" s="4" t="s">
        <v>1098</v>
      </c>
      <c r="N879" s="4" t="str">
        <f>IF(Table13[[#This Row],[Function Col5]]="","",_xlfn.CONCAT(Table13[[#This Row],[Day Col]],"/",Table13[[#This Row],[Month Col]],"/",Table13[[#This Row],[Year Col]]))</f>
        <v/>
      </c>
      <c r="O879" s="4" t="s">
        <v>1098</v>
      </c>
      <c r="P879" s="4">
        <f>IF(ISNUMBER(Table13[[#This Row],[Claim_Date2]]),Table13[[#This Row],[Claim_Date2]],Table13[[#This Row],[Function Col32]])</f>
        <v>45270</v>
      </c>
      <c r="Q879" s="4">
        <v>45270</v>
      </c>
      <c r="R879" s="1" t="s">
        <v>77</v>
      </c>
      <c r="S879" s="1" t="s">
        <v>93</v>
      </c>
      <c r="T879" t="s">
        <v>1086</v>
      </c>
      <c r="W879">
        <f>IF(Table1[[#This Row],[Claim_Amount]]&lt;0,0,Table1[[#This Row],[Claim_Amount]])</f>
        <v>0</v>
      </c>
      <c r="X879" t="str">
        <f>IF(Table1[[#This Row],[Column1]]=0,"",Table1[[#This Row],[Column1]])</f>
        <v/>
      </c>
      <c r="Y879" t="s">
        <v>1098</v>
      </c>
      <c r="Z879">
        <v>2481</v>
      </c>
      <c r="AA879">
        <v>832</v>
      </c>
      <c r="AB879" s="1" t="s">
        <v>1091</v>
      </c>
      <c r="AC879" s="1" t="s">
        <v>26</v>
      </c>
      <c r="AD879" s="1">
        <v>4</v>
      </c>
      <c r="AE879" s="3" t="s">
        <v>19</v>
      </c>
    </row>
    <row r="880" spans="1:31" ht="15.75" customHeight="1" x14ac:dyDescent="0.35">
      <c r="A880" s="1" t="s">
        <v>89</v>
      </c>
      <c r="B880" s="1" t="s">
        <v>998</v>
      </c>
      <c r="C880" t="s">
        <v>1084</v>
      </c>
      <c r="D880" s="1" t="s">
        <v>849</v>
      </c>
      <c r="E880" s="5">
        <v>44985</v>
      </c>
      <c r="F880" s="4" t="str">
        <f>IF(ISNUMBER(Table13[[#This Row],[Claim_Date2]]),"",Table13[[#This Row],[Claim_Date2]])</f>
        <v/>
      </c>
      <c r="G880" s="4" t="s">
        <v>1098</v>
      </c>
      <c r="H880" s="4" t="str">
        <f>LEFT(Table13[[#This Row],[Values Col 1]],3)</f>
        <v/>
      </c>
      <c r="I880" s="4" t="s">
        <v>1098</v>
      </c>
      <c r="J880" s="4" t="str">
        <f>MID(Table13[[#This Row],[Function Col]],5,2)</f>
        <v/>
      </c>
      <c r="K880" s="4" t="s">
        <v>1098</v>
      </c>
      <c r="L880" s="4" t="str">
        <f>RIGHT(Table13[[#This Row],[Function Col]],4)</f>
        <v/>
      </c>
      <c r="M880" s="4" t="s">
        <v>1098</v>
      </c>
      <c r="N880" s="4" t="str">
        <f>IF(Table13[[#This Row],[Function Col5]]="","",_xlfn.CONCAT(Table13[[#This Row],[Day Col]],"/",Table13[[#This Row],[Month Col]],"/",Table13[[#This Row],[Year Col]]))</f>
        <v/>
      </c>
      <c r="O880" s="4" t="s">
        <v>1098</v>
      </c>
      <c r="P880" s="4">
        <f>IF(ISNUMBER(Table13[[#This Row],[Claim_Date2]]),Table13[[#This Row],[Claim_Date2]],Table13[[#This Row],[Function Col32]])</f>
        <v>44985</v>
      </c>
      <c r="Q880" s="4">
        <v>44985</v>
      </c>
      <c r="R880" s="1" t="s">
        <v>16</v>
      </c>
      <c r="S880" s="1" t="s">
        <v>47</v>
      </c>
      <c r="T880" s="1" t="s">
        <v>54</v>
      </c>
      <c r="U880" s="1"/>
      <c r="V880" s="1">
        <v>-41</v>
      </c>
      <c r="W880" s="1">
        <f>IF(Table1[[#This Row],[Claim_Amount]]&lt;0,0,Table1[[#This Row],[Claim_Amount]])</f>
        <v>0</v>
      </c>
      <c r="X880" s="1" t="str">
        <f>IF(Table1[[#This Row],[Column1]]=0,"",Table1[[#This Row],[Column1]])</f>
        <v/>
      </c>
      <c r="Y880" s="1" t="s">
        <v>1098</v>
      </c>
      <c r="Z880" s="1">
        <v>2481</v>
      </c>
      <c r="AA880">
        <v>832</v>
      </c>
      <c r="AB880" s="1" t="s">
        <v>25</v>
      </c>
      <c r="AC880" s="1" t="s">
        <v>32</v>
      </c>
      <c r="AD880" s="1">
        <v>50</v>
      </c>
      <c r="AE880" s="3" t="s">
        <v>27</v>
      </c>
    </row>
    <row r="881" spans="1:31" ht="15.75" customHeight="1" x14ac:dyDescent="0.35">
      <c r="A881" s="1" t="s">
        <v>102</v>
      </c>
      <c r="B881" s="1" t="s">
        <v>677</v>
      </c>
      <c r="C881" t="s">
        <v>1084</v>
      </c>
      <c r="D881" s="1" t="s">
        <v>223</v>
      </c>
      <c r="E881" s="5">
        <v>44936</v>
      </c>
      <c r="F881" s="4" t="str">
        <f>IF(ISNUMBER(Table13[[#This Row],[Claim_Date2]]),"",Table13[[#This Row],[Claim_Date2]])</f>
        <v/>
      </c>
      <c r="G881" s="4" t="s">
        <v>1098</v>
      </c>
      <c r="H881" s="4" t="str">
        <f>LEFT(Table13[[#This Row],[Values Col 1]],3)</f>
        <v/>
      </c>
      <c r="I881" s="4" t="s">
        <v>1098</v>
      </c>
      <c r="J881" s="4" t="str">
        <f>MID(Table13[[#This Row],[Function Col]],5,2)</f>
        <v/>
      </c>
      <c r="K881" s="4" t="s">
        <v>1098</v>
      </c>
      <c r="L881" s="4" t="str">
        <f>RIGHT(Table13[[#This Row],[Function Col]],4)</f>
        <v/>
      </c>
      <c r="M881" s="4" t="s">
        <v>1098</v>
      </c>
      <c r="N881" s="4" t="str">
        <f>IF(Table13[[#This Row],[Function Col5]]="","",_xlfn.CONCAT(Table13[[#This Row],[Day Col]],"/",Table13[[#This Row],[Month Col]],"/",Table13[[#This Row],[Year Col]]))</f>
        <v/>
      </c>
      <c r="O881" s="4" t="s">
        <v>1098</v>
      </c>
      <c r="P881" s="4">
        <f>IF(ISNUMBER(Table13[[#This Row],[Claim_Date2]]),Table13[[#This Row],[Claim_Date2]],Table13[[#This Row],[Function Col32]])</f>
        <v>44936</v>
      </c>
      <c r="Q881" s="4">
        <v>44936</v>
      </c>
      <c r="R881" s="1" t="s">
        <v>85</v>
      </c>
      <c r="S881" s="1" t="s">
        <v>93</v>
      </c>
      <c r="T881" s="1" t="s">
        <v>41</v>
      </c>
      <c r="U881" s="1"/>
      <c r="W881">
        <f>IF(Table1[[#This Row],[Claim_Amount]]&lt;0,0,Table1[[#This Row],[Claim_Amount]])</f>
        <v>0</v>
      </c>
      <c r="X881" t="str">
        <f>IF(Table1[[#This Row],[Column1]]=0,"",Table1[[#This Row],[Column1]])</f>
        <v/>
      </c>
      <c r="Y881" t="s">
        <v>1098</v>
      </c>
      <c r="Z881">
        <v>2481</v>
      </c>
      <c r="AA881">
        <v>832</v>
      </c>
      <c r="AB881" s="1" t="s">
        <v>42</v>
      </c>
      <c r="AC881" s="1" t="s">
        <v>26</v>
      </c>
      <c r="AD881">
        <v>9</v>
      </c>
      <c r="AE881" s="3" t="s">
        <v>37</v>
      </c>
    </row>
    <row r="882" spans="1:31" ht="15.75" customHeight="1" x14ac:dyDescent="0.35">
      <c r="A882" s="1" t="s">
        <v>108</v>
      </c>
      <c r="B882" t="s">
        <v>1083</v>
      </c>
      <c r="C882" s="1" t="s">
        <v>620</v>
      </c>
      <c r="D882" s="1" t="s">
        <v>999</v>
      </c>
      <c r="E882" s="5">
        <v>45244</v>
      </c>
      <c r="F882" s="4" t="str">
        <f>IF(ISNUMBER(Table13[[#This Row],[Claim_Date2]]),"",Table13[[#This Row],[Claim_Date2]])</f>
        <v/>
      </c>
      <c r="G882" s="4" t="s">
        <v>1098</v>
      </c>
      <c r="H882" s="4" t="str">
        <f>LEFT(Table13[[#This Row],[Values Col 1]],3)</f>
        <v/>
      </c>
      <c r="I882" s="4" t="s">
        <v>1098</v>
      </c>
      <c r="J882" s="4" t="str">
        <f>MID(Table13[[#This Row],[Function Col]],5,2)</f>
        <v/>
      </c>
      <c r="K882" s="4" t="s">
        <v>1098</v>
      </c>
      <c r="L882" s="4" t="str">
        <f>RIGHT(Table13[[#This Row],[Function Col]],4)</f>
        <v/>
      </c>
      <c r="M882" s="4" t="s">
        <v>1098</v>
      </c>
      <c r="N882" s="4" t="str">
        <f>IF(Table13[[#This Row],[Function Col5]]="","",_xlfn.CONCAT(Table13[[#This Row],[Day Col]],"/",Table13[[#This Row],[Month Col]],"/",Table13[[#This Row],[Year Col]]))</f>
        <v/>
      </c>
      <c r="O882" s="4" t="s">
        <v>1098</v>
      </c>
      <c r="P882" s="4">
        <f>IF(ISNUMBER(Table13[[#This Row],[Claim_Date2]]),Table13[[#This Row],[Claim_Date2]],Table13[[#This Row],[Function Col32]])</f>
        <v>45244</v>
      </c>
      <c r="Q882" s="4">
        <v>45244</v>
      </c>
      <c r="R882" s="1" t="s">
        <v>85</v>
      </c>
      <c r="S882" s="1" t="s">
        <v>47</v>
      </c>
      <c r="T882" t="s">
        <v>1086</v>
      </c>
      <c r="W882">
        <f>IF(Table1[[#This Row],[Claim_Amount]]&lt;0,0,Table1[[#This Row],[Claim_Amount]])</f>
        <v>0</v>
      </c>
      <c r="X882" t="str">
        <f>IF(Table1[[#This Row],[Column1]]=0,"",Table1[[#This Row],[Column1]])</f>
        <v/>
      </c>
      <c r="Y882" t="s">
        <v>1098</v>
      </c>
      <c r="Z882">
        <v>2481</v>
      </c>
      <c r="AA882">
        <v>832</v>
      </c>
      <c r="AB882" s="1" t="s">
        <v>1091</v>
      </c>
      <c r="AC882" s="1" t="s">
        <v>1093</v>
      </c>
      <c r="AD882">
        <v>9</v>
      </c>
      <c r="AE882" s="3" t="s">
        <v>27</v>
      </c>
    </row>
    <row r="883" spans="1:31" ht="15.75" customHeight="1" x14ac:dyDescent="0.35">
      <c r="A883" s="1" t="s">
        <v>212</v>
      </c>
      <c r="B883" s="1" t="s">
        <v>1000</v>
      </c>
      <c r="C883" s="1" t="s">
        <v>232</v>
      </c>
      <c r="D883" s="1" t="s">
        <v>56</v>
      </c>
      <c r="E883" s="5">
        <v>44928</v>
      </c>
      <c r="F883" s="4" t="str">
        <f>IF(ISNUMBER(Table13[[#This Row],[Claim_Date2]]),"",Table13[[#This Row],[Claim_Date2]])</f>
        <v/>
      </c>
      <c r="G883" s="4" t="s">
        <v>1098</v>
      </c>
      <c r="H883" s="4" t="str">
        <f>LEFT(Table13[[#This Row],[Values Col 1]],3)</f>
        <v/>
      </c>
      <c r="I883" s="4" t="s">
        <v>1098</v>
      </c>
      <c r="J883" s="4" t="str">
        <f>MID(Table13[[#This Row],[Function Col]],5,2)</f>
        <v/>
      </c>
      <c r="K883" s="4" t="s">
        <v>1098</v>
      </c>
      <c r="L883" s="4" t="str">
        <f>RIGHT(Table13[[#This Row],[Function Col]],4)</f>
        <v/>
      </c>
      <c r="M883" s="4" t="s">
        <v>1098</v>
      </c>
      <c r="N883" s="4" t="str">
        <f>IF(Table13[[#This Row],[Function Col5]]="","",_xlfn.CONCAT(Table13[[#This Row],[Day Col]],"/",Table13[[#This Row],[Month Col]],"/",Table13[[#This Row],[Year Col]]))</f>
        <v/>
      </c>
      <c r="O883" s="4" t="s">
        <v>1098</v>
      </c>
      <c r="P883" s="4">
        <f>IF(ISNUMBER(Table13[[#This Row],[Claim_Date2]]),Table13[[#This Row],[Claim_Date2]],Table13[[#This Row],[Function Col32]])</f>
        <v>44928</v>
      </c>
      <c r="Q883" s="4">
        <v>44928</v>
      </c>
      <c r="R883" s="1" t="s">
        <v>16</v>
      </c>
      <c r="S883" s="1" t="s">
        <v>31</v>
      </c>
      <c r="T883" t="s">
        <v>1086</v>
      </c>
      <c r="W883">
        <f>IF(Table1[[#This Row],[Claim_Amount]]&lt;0,0,Table1[[#This Row],[Claim_Amount]])</f>
        <v>0</v>
      </c>
      <c r="X883" t="str">
        <f>IF(Table1[[#This Row],[Column1]]=0,"",Table1[[#This Row],[Column1]])</f>
        <v/>
      </c>
      <c r="Y883" t="s">
        <v>1098</v>
      </c>
      <c r="Z883">
        <v>2481</v>
      </c>
      <c r="AA883" s="1">
        <v>4316.93</v>
      </c>
      <c r="AB883" s="1" t="s">
        <v>17</v>
      </c>
      <c r="AC883" s="1" t="s">
        <v>26</v>
      </c>
      <c r="AD883">
        <v>9</v>
      </c>
      <c r="AE883" s="3" t="s">
        <v>1097</v>
      </c>
    </row>
    <row r="884" spans="1:31" ht="15.75" customHeight="1" x14ac:dyDescent="0.35">
      <c r="A884" s="1" t="s">
        <v>202</v>
      </c>
      <c r="B884" t="s">
        <v>1083</v>
      </c>
      <c r="C884" t="s">
        <v>1084</v>
      </c>
      <c r="D884" s="1" t="s">
        <v>1001</v>
      </c>
      <c r="E884" s="5" t="s">
        <v>1001</v>
      </c>
      <c r="F884" s="4" t="str">
        <f>IF(ISNUMBER(Table13[[#This Row],[Claim_Date2]]),"",Table13[[#This Row],[Claim_Date2]])</f>
        <v>Oct 10 2023</v>
      </c>
      <c r="G884" s="4" t="s">
        <v>1001</v>
      </c>
      <c r="H884" s="4" t="str">
        <f>LEFT(Table13[[#This Row],[Values Col 1]],3)</f>
        <v>Oct</v>
      </c>
      <c r="I884" s="4" t="s">
        <v>1103</v>
      </c>
      <c r="J884" s="4" t="str">
        <f>MID(Table13[[#This Row],[Function Col]],5,2)</f>
        <v>10</v>
      </c>
      <c r="K884" s="4" t="s">
        <v>1128</v>
      </c>
      <c r="L884" s="4" t="str">
        <f>RIGHT(Table13[[#This Row],[Function Col]],4)</f>
        <v>2023</v>
      </c>
      <c r="M884" s="4" t="s">
        <v>1146</v>
      </c>
      <c r="N884" s="4" t="str">
        <f>IF(Table13[[#This Row],[Function Col5]]="","",_xlfn.CONCAT(Table13[[#This Row],[Day Col]],"/",Table13[[#This Row],[Month Col]],"/",Table13[[#This Row],[Year Col]]))</f>
        <v>10/Oct/2023</v>
      </c>
      <c r="O884" s="4" t="s">
        <v>1349</v>
      </c>
      <c r="P884" s="4" t="str">
        <f>IF(ISNUMBER(Table13[[#This Row],[Claim_Date2]]),Table13[[#This Row],[Claim_Date2]],Table13[[#This Row],[Function Col32]])</f>
        <v>10/Oct/2023</v>
      </c>
      <c r="Q884" s="4">
        <v>45209</v>
      </c>
      <c r="R884" s="1" t="s">
        <v>85</v>
      </c>
      <c r="S884" s="1" t="s">
        <v>31</v>
      </c>
      <c r="T884" s="1" t="s">
        <v>61</v>
      </c>
      <c r="U884" s="1"/>
      <c r="W884">
        <f>IF(Table1[[#This Row],[Claim_Amount]]&lt;0,0,Table1[[#This Row],[Claim_Amount]])</f>
        <v>0</v>
      </c>
      <c r="X884" t="str">
        <f>IF(Table1[[#This Row],[Column1]]=0,"",Table1[[#This Row],[Column1]])</f>
        <v/>
      </c>
      <c r="Y884" t="s">
        <v>1098</v>
      </c>
      <c r="Z884">
        <v>2481</v>
      </c>
      <c r="AA884">
        <v>832</v>
      </c>
      <c r="AB884" s="1" t="s">
        <v>25</v>
      </c>
      <c r="AC884" s="1" t="s">
        <v>32</v>
      </c>
      <c r="AD884" s="1">
        <v>2</v>
      </c>
      <c r="AE884" s="3" t="s">
        <v>19</v>
      </c>
    </row>
    <row r="885" spans="1:31" ht="15.75" customHeight="1" x14ac:dyDescent="0.35">
      <c r="A885" s="1" t="s">
        <v>192</v>
      </c>
      <c r="B885" s="1" t="s">
        <v>943</v>
      </c>
      <c r="C885" t="s">
        <v>1084</v>
      </c>
      <c r="D885" s="1" t="s">
        <v>1002</v>
      </c>
      <c r="E885" s="5">
        <v>45005</v>
      </c>
      <c r="F885" s="4" t="str">
        <f>IF(ISNUMBER(Table13[[#This Row],[Claim_Date2]]),"",Table13[[#This Row],[Claim_Date2]])</f>
        <v/>
      </c>
      <c r="G885" s="4" t="s">
        <v>1098</v>
      </c>
      <c r="H885" s="4" t="str">
        <f>LEFT(Table13[[#This Row],[Values Col 1]],3)</f>
        <v/>
      </c>
      <c r="I885" s="4" t="s">
        <v>1098</v>
      </c>
      <c r="J885" s="4" t="str">
        <f>MID(Table13[[#This Row],[Function Col]],5,2)</f>
        <v/>
      </c>
      <c r="K885" s="4" t="s">
        <v>1098</v>
      </c>
      <c r="L885" s="4" t="str">
        <f>RIGHT(Table13[[#This Row],[Function Col]],4)</f>
        <v/>
      </c>
      <c r="M885" s="4" t="s">
        <v>1098</v>
      </c>
      <c r="N885" s="4" t="str">
        <f>IF(Table13[[#This Row],[Function Col5]]="","",_xlfn.CONCAT(Table13[[#This Row],[Day Col]],"/",Table13[[#This Row],[Month Col]],"/",Table13[[#This Row],[Year Col]]))</f>
        <v/>
      </c>
      <c r="O885" s="4" t="s">
        <v>1098</v>
      </c>
      <c r="P885" s="4">
        <f>IF(ISNUMBER(Table13[[#This Row],[Claim_Date2]]),Table13[[#This Row],[Claim_Date2]],Table13[[#This Row],[Function Col32]])</f>
        <v>45005</v>
      </c>
      <c r="Q885" s="4">
        <v>45005</v>
      </c>
      <c r="R885" s="1" t="s">
        <v>85</v>
      </c>
      <c r="S885" s="1" t="s">
        <v>53</v>
      </c>
      <c r="T885" s="1" t="s">
        <v>61</v>
      </c>
      <c r="U885" s="1"/>
      <c r="V885" s="1">
        <v>4876.8900000000003</v>
      </c>
      <c r="W885" s="1">
        <f>IF(Table1[[#This Row],[Claim_Amount]]&lt;0,0,Table1[[#This Row],[Claim_Amount]])</f>
        <v>4876.8900000000003</v>
      </c>
      <c r="X885" s="1">
        <f>IF(Table1[[#This Row],[Column1]]=0,"",Table1[[#This Row],[Column1]])</f>
        <v>4876.8900000000003</v>
      </c>
      <c r="Y885" s="1">
        <v>4876.8900000000003</v>
      </c>
      <c r="Z885" s="1">
        <v>4876.8900000000003</v>
      </c>
      <c r="AA885">
        <v>832</v>
      </c>
      <c r="AB885" s="1" t="s">
        <v>42</v>
      </c>
      <c r="AC885" s="1" t="s">
        <v>1093</v>
      </c>
      <c r="AD885" s="1">
        <v>1</v>
      </c>
      <c r="AE885" s="3" t="s">
        <v>27</v>
      </c>
    </row>
    <row r="886" spans="1:31" ht="15.75" customHeight="1" x14ac:dyDescent="0.35">
      <c r="A886" s="1" t="s">
        <v>58</v>
      </c>
      <c r="B886" t="s">
        <v>1083</v>
      </c>
      <c r="C886" s="1" t="s">
        <v>816</v>
      </c>
      <c r="D886" s="1" t="s">
        <v>1003</v>
      </c>
      <c r="E886" s="5">
        <v>45195</v>
      </c>
      <c r="F886" s="4" t="str">
        <f>IF(ISNUMBER(Table13[[#This Row],[Claim_Date2]]),"",Table13[[#This Row],[Claim_Date2]])</f>
        <v/>
      </c>
      <c r="G886" s="4" t="s">
        <v>1098</v>
      </c>
      <c r="H886" s="4" t="str">
        <f>LEFT(Table13[[#This Row],[Values Col 1]],3)</f>
        <v/>
      </c>
      <c r="I886" s="4" t="s">
        <v>1098</v>
      </c>
      <c r="J886" s="4" t="str">
        <f>MID(Table13[[#This Row],[Function Col]],5,2)</f>
        <v/>
      </c>
      <c r="K886" s="4" t="s">
        <v>1098</v>
      </c>
      <c r="L886" s="4" t="str">
        <f>RIGHT(Table13[[#This Row],[Function Col]],4)</f>
        <v/>
      </c>
      <c r="M886" s="4" t="s">
        <v>1098</v>
      </c>
      <c r="N886" s="4" t="str">
        <f>IF(Table13[[#This Row],[Function Col5]]="","",_xlfn.CONCAT(Table13[[#This Row],[Day Col]],"/",Table13[[#This Row],[Month Col]],"/",Table13[[#This Row],[Year Col]]))</f>
        <v/>
      </c>
      <c r="O886" s="4" t="s">
        <v>1098</v>
      </c>
      <c r="P886" s="4">
        <f>IF(ISNUMBER(Table13[[#This Row],[Claim_Date2]]),Table13[[#This Row],[Claim_Date2]],Table13[[#This Row],[Function Col32]])</f>
        <v>45195</v>
      </c>
      <c r="Q886" s="4">
        <v>45195</v>
      </c>
      <c r="R886" s="1" t="s">
        <v>92</v>
      </c>
      <c r="S886" s="1" t="s">
        <v>23</v>
      </c>
      <c r="T886" s="1" t="s">
        <v>61</v>
      </c>
      <c r="U886" s="1"/>
      <c r="W886">
        <f>IF(Table1[[#This Row],[Claim_Amount]]&lt;0,0,Table1[[#This Row],[Claim_Amount]])</f>
        <v>0</v>
      </c>
      <c r="X886" t="str">
        <f>IF(Table1[[#This Row],[Column1]]=0,"",Table1[[#This Row],[Column1]])</f>
        <v/>
      </c>
      <c r="Y886" t="s">
        <v>1098</v>
      </c>
      <c r="Z886">
        <v>2481</v>
      </c>
      <c r="AA886" s="1">
        <v>4447.62</v>
      </c>
      <c r="AB886" s="1" t="s">
        <v>1091</v>
      </c>
      <c r="AC886" s="1" t="s">
        <v>18</v>
      </c>
      <c r="AD886" s="1">
        <v>37</v>
      </c>
      <c r="AE886" s="3" t="s">
        <v>65</v>
      </c>
    </row>
    <row r="887" spans="1:31" ht="15.75" customHeight="1" x14ac:dyDescent="0.35">
      <c r="A887" s="1" t="s">
        <v>82</v>
      </c>
      <c r="B887" t="s">
        <v>1083</v>
      </c>
      <c r="C887" s="1" t="s">
        <v>245</v>
      </c>
      <c r="D887" s="1" t="s">
        <v>1004</v>
      </c>
      <c r="E887" s="5" t="s">
        <v>1004</v>
      </c>
      <c r="F887" s="4" t="str">
        <f>IF(ISNUMBER(Table13[[#This Row],[Claim_Date2]]),"",Table13[[#This Row],[Claim_Date2]])</f>
        <v>Oct 23 2023</v>
      </c>
      <c r="G887" s="4" t="s">
        <v>1004</v>
      </c>
      <c r="H887" s="4" t="str">
        <f>LEFT(Table13[[#This Row],[Values Col 1]],3)</f>
        <v>Oct</v>
      </c>
      <c r="I887" s="4" t="s">
        <v>1103</v>
      </c>
      <c r="J887" s="4" t="str">
        <f>MID(Table13[[#This Row],[Function Col]],5,2)</f>
        <v>23</v>
      </c>
      <c r="K887" s="4" t="s">
        <v>1143</v>
      </c>
      <c r="L887" s="4" t="str">
        <f>RIGHT(Table13[[#This Row],[Function Col]],4)</f>
        <v>2023</v>
      </c>
      <c r="M887" s="4" t="s">
        <v>1146</v>
      </c>
      <c r="N887" s="4" t="str">
        <f>IF(Table13[[#This Row],[Function Col5]]="","",_xlfn.CONCAT(Table13[[#This Row],[Day Col]],"/",Table13[[#This Row],[Month Col]],"/",Table13[[#This Row],[Year Col]]))</f>
        <v>23/Oct/2023</v>
      </c>
      <c r="O887" s="4" t="s">
        <v>1350</v>
      </c>
      <c r="P887" s="4" t="str">
        <f>IF(ISNUMBER(Table13[[#This Row],[Claim_Date2]]),Table13[[#This Row],[Claim_Date2]],Table13[[#This Row],[Function Col32]])</f>
        <v>23/Oct/2023</v>
      </c>
      <c r="Q887" s="4">
        <v>45222</v>
      </c>
      <c r="R887" s="1" t="s">
        <v>30</v>
      </c>
      <c r="S887" s="1" t="s">
        <v>31</v>
      </c>
      <c r="T887" s="1" t="s">
        <v>54</v>
      </c>
      <c r="U887" s="1"/>
      <c r="V887" s="1">
        <v>-35</v>
      </c>
      <c r="W887" s="1">
        <f>IF(Table1[[#This Row],[Claim_Amount]]&lt;0,0,Table1[[#This Row],[Claim_Amount]])</f>
        <v>0</v>
      </c>
      <c r="X887" s="1" t="str">
        <f>IF(Table1[[#This Row],[Column1]]=0,"",Table1[[#This Row],[Column1]])</f>
        <v/>
      </c>
      <c r="Y887" s="1" t="s">
        <v>1098</v>
      </c>
      <c r="Z887" s="1">
        <v>2481</v>
      </c>
      <c r="AA887" s="1">
        <v>3773.89</v>
      </c>
      <c r="AB887" s="1" t="s">
        <v>42</v>
      </c>
      <c r="AC887" s="1" t="s">
        <v>1093</v>
      </c>
      <c r="AD887">
        <v>9</v>
      </c>
      <c r="AE887" s="3" t="s">
        <v>27</v>
      </c>
    </row>
    <row r="888" spans="1:31" ht="15.75" customHeight="1" x14ac:dyDescent="0.35">
      <c r="A888" s="1" t="s">
        <v>38</v>
      </c>
      <c r="B888" s="1" t="s">
        <v>1005</v>
      </c>
      <c r="C888" s="1" t="s">
        <v>422</v>
      </c>
      <c r="D888" s="1" t="s">
        <v>1006</v>
      </c>
      <c r="E888" s="5">
        <v>44975</v>
      </c>
      <c r="F888" s="4" t="str">
        <f>IF(ISNUMBER(Table13[[#This Row],[Claim_Date2]]),"",Table13[[#This Row],[Claim_Date2]])</f>
        <v/>
      </c>
      <c r="G888" s="4" t="s">
        <v>1098</v>
      </c>
      <c r="H888" s="4" t="str">
        <f>LEFT(Table13[[#This Row],[Values Col 1]],3)</f>
        <v/>
      </c>
      <c r="I888" s="4" t="s">
        <v>1098</v>
      </c>
      <c r="J888" s="4" t="str">
        <f>MID(Table13[[#This Row],[Function Col]],5,2)</f>
        <v/>
      </c>
      <c r="K888" s="4" t="s">
        <v>1098</v>
      </c>
      <c r="L888" s="4" t="str">
        <f>RIGHT(Table13[[#This Row],[Function Col]],4)</f>
        <v/>
      </c>
      <c r="M888" s="4" t="s">
        <v>1098</v>
      </c>
      <c r="N888" s="4" t="str">
        <f>IF(Table13[[#This Row],[Function Col5]]="","",_xlfn.CONCAT(Table13[[#This Row],[Day Col]],"/",Table13[[#This Row],[Month Col]],"/",Table13[[#This Row],[Year Col]]))</f>
        <v/>
      </c>
      <c r="O888" s="4" t="s">
        <v>1098</v>
      </c>
      <c r="P888" s="4">
        <f>IF(ISNUMBER(Table13[[#This Row],[Claim_Date2]]),Table13[[#This Row],[Claim_Date2]],Table13[[#This Row],[Function Col32]])</f>
        <v>44975</v>
      </c>
      <c r="Q888" s="4">
        <v>44975</v>
      </c>
      <c r="R888" s="1" t="s">
        <v>77</v>
      </c>
      <c r="S888" s="1" t="s">
        <v>23</v>
      </c>
      <c r="T888" s="1" t="s">
        <v>48</v>
      </c>
      <c r="U888" s="1"/>
      <c r="V888" s="1">
        <v>4057.03</v>
      </c>
      <c r="W888" s="1">
        <f>IF(Table1[[#This Row],[Claim_Amount]]&lt;0,0,Table1[[#This Row],[Claim_Amount]])</f>
        <v>4057.03</v>
      </c>
      <c r="X888" s="1">
        <f>IF(Table1[[#This Row],[Column1]]=0,"",Table1[[#This Row],[Column1]])</f>
        <v>4057.03</v>
      </c>
      <c r="Y888" s="1">
        <v>4057.03</v>
      </c>
      <c r="Z888" s="1">
        <v>4057.03</v>
      </c>
      <c r="AA888">
        <v>832</v>
      </c>
      <c r="AB888" s="1" t="s">
        <v>1091</v>
      </c>
      <c r="AC888" s="1" t="s">
        <v>18</v>
      </c>
      <c r="AD888">
        <v>9</v>
      </c>
      <c r="AE888" s="3" t="s">
        <v>65</v>
      </c>
    </row>
    <row r="889" spans="1:31" ht="15.75" customHeight="1" x14ac:dyDescent="0.35">
      <c r="A889" s="1" t="s">
        <v>102</v>
      </c>
      <c r="B889" t="s">
        <v>1083</v>
      </c>
      <c r="C889" s="1" t="s">
        <v>592</v>
      </c>
      <c r="D889" s="1" t="s">
        <v>565</v>
      </c>
      <c r="E889" s="5">
        <v>45249</v>
      </c>
      <c r="F889" s="4" t="str">
        <f>IF(ISNUMBER(Table13[[#This Row],[Claim_Date2]]),"",Table13[[#This Row],[Claim_Date2]])</f>
        <v/>
      </c>
      <c r="G889" s="4" t="s">
        <v>1098</v>
      </c>
      <c r="H889" s="4" t="str">
        <f>LEFT(Table13[[#This Row],[Values Col 1]],3)</f>
        <v/>
      </c>
      <c r="I889" s="4" t="s">
        <v>1098</v>
      </c>
      <c r="J889" s="4" t="str">
        <f>MID(Table13[[#This Row],[Function Col]],5,2)</f>
        <v/>
      </c>
      <c r="K889" s="4" t="s">
        <v>1098</v>
      </c>
      <c r="L889" s="4" t="str">
        <f>RIGHT(Table13[[#This Row],[Function Col]],4)</f>
        <v/>
      </c>
      <c r="M889" s="4" t="s">
        <v>1098</v>
      </c>
      <c r="N889" s="4" t="str">
        <f>IF(Table13[[#This Row],[Function Col5]]="","",_xlfn.CONCAT(Table13[[#This Row],[Day Col]],"/",Table13[[#This Row],[Month Col]],"/",Table13[[#This Row],[Year Col]]))</f>
        <v/>
      </c>
      <c r="O889" s="4" t="s">
        <v>1098</v>
      </c>
      <c r="P889" s="4">
        <f>IF(ISNUMBER(Table13[[#This Row],[Claim_Date2]]),Table13[[#This Row],[Claim_Date2]],Table13[[#This Row],[Function Col32]])</f>
        <v>45249</v>
      </c>
      <c r="Q889" s="4">
        <v>45249</v>
      </c>
      <c r="R889" s="1" t="s">
        <v>16</v>
      </c>
      <c r="S889" t="s">
        <v>1085</v>
      </c>
      <c r="T889" s="1" t="s">
        <v>24</v>
      </c>
      <c r="U889" s="1"/>
      <c r="W889">
        <f>IF(Table1[[#This Row],[Claim_Amount]]&lt;0,0,Table1[[#This Row],[Claim_Amount]])</f>
        <v>0</v>
      </c>
      <c r="X889" t="str">
        <f>IF(Table1[[#This Row],[Column1]]=0,"",Table1[[#This Row],[Column1]])</f>
        <v/>
      </c>
      <c r="Y889" t="s">
        <v>1098</v>
      </c>
      <c r="Z889">
        <v>2481</v>
      </c>
      <c r="AA889" s="1">
        <v>4948.75</v>
      </c>
      <c r="AB889" s="1" t="s">
        <v>1091</v>
      </c>
      <c r="AC889" s="1" t="s">
        <v>32</v>
      </c>
      <c r="AD889">
        <v>9</v>
      </c>
      <c r="AE889" s="3" t="s">
        <v>65</v>
      </c>
    </row>
    <row r="890" spans="1:31" ht="15.75" customHeight="1" x14ac:dyDescent="0.35">
      <c r="A890" s="1" t="s">
        <v>117</v>
      </c>
      <c r="B890" s="1" t="s">
        <v>1007</v>
      </c>
      <c r="C890" t="s">
        <v>1084</v>
      </c>
      <c r="D890" s="1" t="s">
        <v>1008</v>
      </c>
      <c r="E890" s="5">
        <v>45240</v>
      </c>
      <c r="F890" s="4" t="str">
        <f>IF(ISNUMBER(Table13[[#This Row],[Claim_Date2]]),"",Table13[[#This Row],[Claim_Date2]])</f>
        <v/>
      </c>
      <c r="G890" s="4" t="s">
        <v>1098</v>
      </c>
      <c r="H890" s="4" t="str">
        <f>LEFT(Table13[[#This Row],[Values Col 1]],3)</f>
        <v/>
      </c>
      <c r="I890" s="4" t="s">
        <v>1098</v>
      </c>
      <c r="J890" s="4" t="str">
        <f>MID(Table13[[#This Row],[Function Col]],5,2)</f>
        <v/>
      </c>
      <c r="K890" s="4" t="s">
        <v>1098</v>
      </c>
      <c r="L890" s="4" t="str">
        <f>RIGHT(Table13[[#This Row],[Function Col]],4)</f>
        <v/>
      </c>
      <c r="M890" s="4" t="s">
        <v>1098</v>
      </c>
      <c r="N890" s="4" t="str">
        <f>IF(Table13[[#This Row],[Function Col5]]="","",_xlfn.CONCAT(Table13[[#This Row],[Day Col]],"/",Table13[[#This Row],[Month Col]],"/",Table13[[#This Row],[Year Col]]))</f>
        <v/>
      </c>
      <c r="O890" s="4" t="s">
        <v>1098</v>
      </c>
      <c r="P890" s="4">
        <f>IF(ISNUMBER(Table13[[#This Row],[Claim_Date2]]),Table13[[#This Row],[Claim_Date2]],Table13[[#This Row],[Function Col32]])</f>
        <v>45240</v>
      </c>
      <c r="Q890" s="4">
        <v>45240</v>
      </c>
      <c r="R890" s="1" t="s">
        <v>85</v>
      </c>
      <c r="S890" s="1" t="s">
        <v>47</v>
      </c>
      <c r="T890" s="1" t="s">
        <v>41</v>
      </c>
      <c r="U890" s="1"/>
      <c r="V890" s="1">
        <v>-113</v>
      </c>
      <c r="W890" s="1">
        <f>IF(Table1[[#This Row],[Claim_Amount]]&lt;0,0,Table1[[#This Row],[Claim_Amount]])</f>
        <v>0</v>
      </c>
      <c r="X890" s="1" t="str">
        <f>IF(Table1[[#This Row],[Column1]]=0,"",Table1[[#This Row],[Column1]])</f>
        <v/>
      </c>
      <c r="Y890" s="1" t="s">
        <v>1098</v>
      </c>
      <c r="Z890" s="1">
        <v>2481</v>
      </c>
      <c r="AA890">
        <v>832</v>
      </c>
      <c r="AB890" s="1" t="s">
        <v>42</v>
      </c>
      <c r="AC890" s="1" t="s">
        <v>18</v>
      </c>
      <c r="AD890" s="1">
        <v>39</v>
      </c>
      <c r="AE890" s="3" t="s">
        <v>37</v>
      </c>
    </row>
    <row r="891" spans="1:31" ht="15.75" customHeight="1" x14ac:dyDescent="0.35">
      <c r="A891" s="1" t="s">
        <v>247</v>
      </c>
      <c r="B891" t="s">
        <v>1083</v>
      </c>
      <c r="C891" s="1" t="s">
        <v>625</v>
      </c>
      <c r="D891" s="1" t="s">
        <v>199</v>
      </c>
      <c r="E891" s="5">
        <v>44985</v>
      </c>
      <c r="F891" s="4" t="str">
        <f>IF(ISNUMBER(Table13[[#This Row],[Claim_Date2]]),"",Table13[[#This Row],[Claim_Date2]])</f>
        <v/>
      </c>
      <c r="G891" s="4" t="s">
        <v>1098</v>
      </c>
      <c r="H891" s="4" t="str">
        <f>LEFT(Table13[[#This Row],[Values Col 1]],3)</f>
        <v/>
      </c>
      <c r="I891" s="4" t="s">
        <v>1098</v>
      </c>
      <c r="J891" s="4" t="str">
        <f>MID(Table13[[#This Row],[Function Col]],5,2)</f>
        <v/>
      </c>
      <c r="K891" s="4" t="s">
        <v>1098</v>
      </c>
      <c r="L891" s="4" t="str">
        <f>RIGHT(Table13[[#This Row],[Function Col]],4)</f>
        <v/>
      </c>
      <c r="M891" s="4" t="s">
        <v>1098</v>
      </c>
      <c r="N891" s="4" t="str">
        <f>IF(Table13[[#This Row],[Function Col5]]="","",_xlfn.CONCAT(Table13[[#This Row],[Day Col]],"/",Table13[[#This Row],[Month Col]],"/",Table13[[#This Row],[Year Col]]))</f>
        <v/>
      </c>
      <c r="O891" s="4" t="s">
        <v>1098</v>
      </c>
      <c r="P891" s="4">
        <f>IF(ISNUMBER(Table13[[#This Row],[Claim_Date2]]),Table13[[#This Row],[Claim_Date2]],Table13[[#This Row],[Function Col32]])</f>
        <v>44985</v>
      </c>
      <c r="Q891" s="4">
        <v>44985</v>
      </c>
      <c r="R891" s="1" t="s">
        <v>16</v>
      </c>
      <c r="S891" s="1" t="s">
        <v>31</v>
      </c>
      <c r="T891" t="s">
        <v>1086</v>
      </c>
      <c r="V891" s="1">
        <v>684.55</v>
      </c>
      <c r="W891" s="1">
        <f>IF(Table1[[#This Row],[Claim_Amount]]&lt;0,0,Table1[[#This Row],[Claim_Amount]])</f>
        <v>684.55</v>
      </c>
      <c r="X891" s="1">
        <f>IF(Table1[[#This Row],[Column1]]=0,"",Table1[[#This Row],[Column1]])</f>
        <v>684.55</v>
      </c>
      <c r="Y891" s="1">
        <v>684.55</v>
      </c>
      <c r="Z891" s="1">
        <v>684.55</v>
      </c>
      <c r="AA891" s="1">
        <v>4837.51</v>
      </c>
      <c r="AB891" s="1" t="s">
        <v>17</v>
      </c>
      <c r="AC891" s="1" t="s">
        <v>26</v>
      </c>
      <c r="AD891" s="1">
        <v>14</v>
      </c>
      <c r="AE891" s="3" t="s">
        <v>19</v>
      </c>
    </row>
    <row r="892" spans="1:31" ht="15.75" customHeight="1" x14ac:dyDescent="0.35">
      <c r="A892" s="1" t="s">
        <v>168</v>
      </c>
      <c r="B892" t="s">
        <v>1083</v>
      </c>
      <c r="C892" s="1" t="s">
        <v>331</v>
      </c>
      <c r="D892" s="1" t="s">
        <v>1009</v>
      </c>
      <c r="E892" s="5" t="s">
        <v>1009</v>
      </c>
      <c r="F892" s="4" t="str">
        <f>IF(ISNUMBER(Table13[[#This Row],[Claim_Date2]]),"",Table13[[#This Row],[Claim_Date2]])</f>
        <v>Feb 27 2023</v>
      </c>
      <c r="G892" s="4" t="s">
        <v>1009</v>
      </c>
      <c r="H892" s="4" t="str">
        <f>LEFT(Table13[[#This Row],[Values Col 1]],3)</f>
        <v>Feb</v>
      </c>
      <c r="I892" s="4" t="s">
        <v>1109</v>
      </c>
      <c r="J892" s="4" t="str">
        <f>MID(Table13[[#This Row],[Function Col]],5,2)</f>
        <v>27</v>
      </c>
      <c r="K892" s="4" t="s">
        <v>1124</v>
      </c>
      <c r="L892" s="4" t="str">
        <f>RIGHT(Table13[[#This Row],[Function Col]],4)</f>
        <v>2023</v>
      </c>
      <c r="M892" s="4" t="s">
        <v>1146</v>
      </c>
      <c r="N892" s="4" t="str">
        <f>IF(Table13[[#This Row],[Function Col5]]="","",_xlfn.CONCAT(Table13[[#This Row],[Day Col]],"/",Table13[[#This Row],[Month Col]],"/",Table13[[#This Row],[Year Col]]))</f>
        <v>27/Feb/2023</v>
      </c>
      <c r="O892" s="4" t="s">
        <v>1351</v>
      </c>
      <c r="P892" s="4" t="str">
        <f>IF(ISNUMBER(Table13[[#This Row],[Claim_Date2]]),Table13[[#This Row],[Claim_Date2]],Table13[[#This Row],[Function Col32]])</f>
        <v>27/Feb/2023</v>
      </c>
      <c r="Q892" s="4">
        <v>44984</v>
      </c>
      <c r="R892" s="1" t="s">
        <v>16</v>
      </c>
      <c r="S892" t="s">
        <v>1085</v>
      </c>
      <c r="T892" s="1" t="s">
        <v>24</v>
      </c>
      <c r="U892" s="1"/>
      <c r="V892" s="1">
        <v>3600.32</v>
      </c>
      <c r="W892" s="1">
        <f>IF(Table1[[#This Row],[Claim_Amount]]&lt;0,0,Table1[[#This Row],[Claim_Amount]])</f>
        <v>3600.32</v>
      </c>
      <c r="X892" s="1">
        <f>IF(Table1[[#This Row],[Column1]]=0,"",Table1[[#This Row],[Column1]])</f>
        <v>3600.32</v>
      </c>
      <c r="Y892" s="1">
        <v>3600.32</v>
      </c>
      <c r="Z892" s="1">
        <v>3600.32</v>
      </c>
      <c r="AA892">
        <v>832</v>
      </c>
      <c r="AB892" s="1" t="s">
        <v>17</v>
      </c>
      <c r="AC892" s="1" t="s">
        <v>1093</v>
      </c>
      <c r="AD892" s="1">
        <v>9</v>
      </c>
      <c r="AE892" s="3" t="s">
        <v>19</v>
      </c>
    </row>
    <row r="893" spans="1:31" ht="15.75" customHeight="1" x14ac:dyDescent="0.35">
      <c r="A893" s="1" t="s">
        <v>242</v>
      </c>
      <c r="B893" t="s">
        <v>1083</v>
      </c>
      <c r="C893" t="s">
        <v>1084</v>
      </c>
      <c r="D893" s="1" t="s">
        <v>438</v>
      </c>
      <c r="E893" s="5" t="s">
        <v>438</v>
      </c>
      <c r="F893" s="4" t="str">
        <f>IF(ISNUMBER(Table13[[#This Row],[Claim_Date2]]),"",Table13[[#This Row],[Claim_Date2]])</f>
        <v>Apr 14 2023</v>
      </c>
      <c r="G893" s="4" t="s">
        <v>438</v>
      </c>
      <c r="H893" s="4" t="str">
        <f>LEFT(Table13[[#This Row],[Values Col 1]],3)</f>
        <v>Apr</v>
      </c>
      <c r="I893" s="4" t="s">
        <v>1104</v>
      </c>
      <c r="J893" s="4" t="str">
        <f>MID(Table13[[#This Row],[Function Col]],5,2)</f>
        <v>14</v>
      </c>
      <c r="K893" s="4" t="s">
        <v>1131</v>
      </c>
      <c r="L893" s="4" t="str">
        <f>RIGHT(Table13[[#This Row],[Function Col]],4)</f>
        <v>2023</v>
      </c>
      <c r="M893" s="4" t="s">
        <v>1146</v>
      </c>
      <c r="N893" s="4" t="str">
        <f>IF(Table13[[#This Row],[Function Col5]]="","",_xlfn.CONCAT(Table13[[#This Row],[Day Col]],"/",Table13[[#This Row],[Month Col]],"/",Table13[[#This Row],[Year Col]]))</f>
        <v>14/Apr/2023</v>
      </c>
      <c r="O893" s="4" t="s">
        <v>1224</v>
      </c>
      <c r="P893" s="4" t="str">
        <f>IF(ISNUMBER(Table13[[#This Row],[Claim_Date2]]),Table13[[#This Row],[Claim_Date2]],Table13[[#This Row],[Function Col32]])</f>
        <v>14/Apr/2023</v>
      </c>
      <c r="Q893" s="4">
        <v>45030</v>
      </c>
      <c r="R893" s="1" t="s">
        <v>85</v>
      </c>
      <c r="S893" s="1" t="s">
        <v>93</v>
      </c>
      <c r="T893" s="1" t="s">
        <v>48</v>
      </c>
      <c r="U893" s="1"/>
      <c r="W893">
        <f>IF(Table1[[#This Row],[Claim_Amount]]&lt;0,0,Table1[[#This Row],[Claim_Amount]])</f>
        <v>0</v>
      </c>
      <c r="X893" t="str">
        <f>IF(Table1[[#This Row],[Column1]]=0,"",Table1[[#This Row],[Column1]])</f>
        <v/>
      </c>
      <c r="Y893" t="s">
        <v>1098</v>
      </c>
      <c r="Z893">
        <v>2481</v>
      </c>
      <c r="AA893">
        <v>832</v>
      </c>
      <c r="AB893" s="1" t="s">
        <v>25</v>
      </c>
      <c r="AC893" s="1" t="s">
        <v>26</v>
      </c>
      <c r="AD893" s="1">
        <v>16</v>
      </c>
      <c r="AE893" s="3" t="s">
        <v>37</v>
      </c>
    </row>
    <row r="894" spans="1:31" ht="15.75" customHeight="1" x14ac:dyDescent="0.35">
      <c r="A894" s="1" t="s">
        <v>173</v>
      </c>
      <c r="B894" s="1" t="s">
        <v>950</v>
      </c>
      <c r="C894" t="s">
        <v>1084</v>
      </c>
      <c r="D894" s="1" t="s">
        <v>276</v>
      </c>
      <c r="E894" s="5">
        <v>45075</v>
      </c>
      <c r="F894" s="4" t="str">
        <f>IF(ISNUMBER(Table13[[#This Row],[Claim_Date2]]),"",Table13[[#This Row],[Claim_Date2]])</f>
        <v/>
      </c>
      <c r="G894" s="4" t="s">
        <v>1098</v>
      </c>
      <c r="H894" s="4" t="str">
        <f>LEFT(Table13[[#This Row],[Values Col 1]],3)</f>
        <v/>
      </c>
      <c r="I894" s="4" t="s">
        <v>1098</v>
      </c>
      <c r="J894" s="4" t="str">
        <f>MID(Table13[[#This Row],[Function Col]],5,2)</f>
        <v/>
      </c>
      <c r="K894" s="4" t="s">
        <v>1098</v>
      </c>
      <c r="L894" s="4" t="str">
        <f>RIGHT(Table13[[#This Row],[Function Col]],4)</f>
        <v/>
      </c>
      <c r="M894" s="4" t="s">
        <v>1098</v>
      </c>
      <c r="N894" s="4" t="str">
        <f>IF(Table13[[#This Row],[Function Col5]]="","",_xlfn.CONCAT(Table13[[#This Row],[Day Col]],"/",Table13[[#This Row],[Month Col]],"/",Table13[[#This Row],[Year Col]]))</f>
        <v/>
      </c>
      <c r="O894" s="4" t="s">
        <v>1098</v>
      </c>
      <c r="P894" s="4">
        <f>IF(ISNUMBER(Table13[[#This Row],[Claim_Date2]]),Table13[[#This Row],[Claim_Date2]],Table13[[#This Row],[Function Col32]])</f>
        <v>45075</v>
      </c>
      <c r="Q894" s="4">
        <v>45075</v>
      </c>
      <c r="R894" s="1" t="s">
        <v>16</v>
      </c>
      <c r="S894" s="1" t="s">
        <v>31</v>
      </c>
      <c r="T894" s="1" t="s">
        <v>24</v>
      </c>
      <c r="U894" s="1"/>
      <c r="V894" s="1">
        <v>-55</v>
      </c>
      <c r="W894" s="1">
        <f>IF(Table1[[#This Row],[Claim_Amount]]&lt;0,0,Table1[[#This Row],[Claim_Amount]])</f>
        <v>0</v>
      </c>
      <c r="X894" s="1" t="str">
        <f>IF(Table1[[#This Row],[Column1]]=0,"",Table1[[#This Row],[Column1]])</f>
        <v/>
      </c>
      <c r="Y894" s="1" t="s">
        <v>1098</v>
      </c>
      <c r="Z894" s="1">
        <v>2481</v>
      </c>
      <c r="AA894">
        <v>832</v>
      </c>
      <c r="AB894" s="1" t="s">
        <v>1091</v>
      </c>
      <c r="AC894" s="1" t="s">
        <v>26</v>
      </c>
      <c r="AD894">
        <v>9</v>
      </c>
      <c r="AE894" s="3" t="s">
        <v>27</v>
      </c>
    </row>
    <row r="895" spans="1:31" ht="15.75" customHeight="1" x14ac:dyDescent="0.35">
      <c r="A895" s="1" t="s">
        <v>192</v>
      </c>
      <c r="B895" s="1" t="s">
        <v>578</v>
      </c>
      <c r="C895" s="1" t="s">
        <v>232</v>
      </c>
      <c r="D895" s="1" t="s">
        <v>1010</v>
      </c>
      <c r="E895" s="5">
        <v>45068</v>
      </c>
      <c r="F895" s="4" t="str">
        <f>IF(ISNUMBER(Table13[[#This Row],[Claim_Date2]]),"",Table13[[#This Row],[Claim_Date2]])</f>
        <v/>
      </c>
      <c r="G895" s="4" t="s">
        <v>1098</v>
      </c>
      <c r="H895" s="4" t="str">
        <f>LEFT(Table13[[#This Row],[Values Col 1]],3)</f>
        <v/>
      </c>
      <c r="I895" s="4" t="s">
        <v>1098</v>
      </c>
      <c r="J895" s="4" t="str">
        <f>MID(Table13[[#This Row],[Function Col]],5,2)</f>
        <v/>
      </c>
      <c r="K895" s="4" t="s">
        <v>1098</v>
      </c>
      <c r="L895" s="4" t="str">
        <f>RIGHT(Table13[[#This Row],[Function Col]],4)</f>
        <v/>
      </c>
      <c r="M895" s="4" t="s">
        <v>1098</v>
      </c>
      <c r="N895" s="4" t="str">
        <f>IF(Table13[[#This Row],[Function Col5]]="","",_xlfn.CONCAT(Table13[[#This Row],[Day Col]],"/",Table13[[#This Row],[Month Col]],"/",Table13[[#This Row],[Year Col]]))</f>
        <v/>
      </c>
      <c r="O895" s="4" t="s">
        <v>1098</v>
      </c>
      <c r="P895" s="4">
        <f>IF(ISNUMBER(Table13[[#This Row],[Claim_Date2]]),Table13[[#This Row],[Claim_Date2]],Table13[[#This Row],[Function Col32]])</f>
        <v>45068</v>
      </c>
      <c r="Q895" s="4">
        <v>45068</v>
      </c>
      <c r="R895" s="1" t="s">
        <v>92</v>
      </c>
      <c r="S895" s="1" t="s">
        <v>93</v>
      </c>
      <c r="T895" s="1" t="s">
        <v>48</v>
      </c>
      <c r="U895" s="1"/>
      <c r="V895" s="1">
        <v>1141.8</v>
      </c>
      <c r="W895" s="1">
        <f>IF(Table1[[#This Row],[Claim_Amount]]&lt;0,0,Table1[[#This Row],[Claim_Amount]])</f>
        <v>1141.8</v>
      </c>
      <c r="X895" s="1">
        <f>IF(Table1[[#This Row],[Column1]]=0,"",Table1[[#This Row],[Column1]])</f>
        <v>1141.8</v>
      </c>
      <c r="Y895" s="1">
        <v>1141.8</v>
      </c>
      <c r="Z895" s="1">
        <v>1141.8</v>
      </c>
      <c r="AA895">
        <v>832</v>
      </c>
      <c r="AB895" s="1" t="s">
        <v>25</v>
      </c>
      <c r="AC895" s="1" t="s">
        <v>1093</v>
      </c>
      <c r="AD895">
        <v>9</v>
      </c>
      <c r="AE895" s="3" t="s">
        <v>1097</v>
      </c>
    </row>
    <row r="896" spans="1:31" ht="15.75" customHeight="1" x14ac:dyDescent="0.35">
      <c r="A896" s="1" t="s">
        <v>43</v>
      </c>
      <c r="B896" s="1" t="s">
        <v>694</v>
      </c>
      <c r="C896" t="s">
        <v>1084</v>
      </c>
      <c r="D896" s="1" t="s">
        <v>1011</v>
      </c>
      <c r="E896" s="5">
        <v>45194</v>
      </c>
      <c r="F896" s="4" t="str">
        <f>IF(ISNUMBER(Table13[[#This Row],[Claim_Date2]]),"",Table13[[#This Row],[Claim_Date2]])</f>
        <v/>
      </c>
      <c r="G896" s="4" t="s">
        <v>1098</v>
      </c>
      <c r="H896" s="4" t="str">
        <f>LEFT(Table13[[#This Row],[Values Col 1]],3)</f>
        <v/>
      </c>
      <c r="I896" s="4" t="s">
        <v>1098</v>
      </c>
      <c r="J896" s="4" t="str">
        <f>MID(Table13[[#This Row],[Function Col]],5,2)</f>
        <v/>
      </c>
      <c r="K896" s="4" t="s">
        <v>1098</v>
      </c>
      <c r="L896" s="4" t="str">
        <f>RIGHT(Table13[[#This Row],[Function Col]],4)</f>
        <v/>
      </c>
      <c r="M896" s="4" t="s">
        <v>1098</v>
      </c>
      <c r="N896" s="4" t="str">
        <f>IF(Table13[[#This Row],[Function Col5]]="","",_xlfn.CONCAT(Table13[[#This Row],[Day Col]],"/",Table13[[#This Row],[Month Col]],"/",Table13[[#This Row],[Year Col]]))</f>
        <v/>
      </c>
      <c r="O896" s="4" t="s">
        <v>1098</v>
      </c>
      <c r="P896" s="4">
        <f>IF(ISNUMBER(Table13[[#This Row],[Claim_Date2]]),Table13[[#This Row],[Claim_Date2]],Table13[[#This Row],[Function Col32]])</f>
        <v>45194</v>
      </c>
      <c r="Q896" s="4">
        <v>45194</v>
      </c>
      <c r="R896" s="1" t="s">
        <v>92</v>
      </c>
      <c r="S896" t="s">
        <v>1085</v>
      </c>
      <c r="T896" s="1" t="s">
        <v>54</v>
      </c>
      <c r="U896" s="1"/>
      <c r="V896" s="1">
        <v>4007.33</v>
      </c>
      <c r="W896" s="1">
        <f>IF(Table1[[#This Row],[Claim_Amount]]&lt;0,0,Table1[[#This Row],[Claim_Amount]])</f>
        <v>4007.33</v>
      </c>
      <c r="X896" s="1">
        <f>IF(Table1[[#This Row],[Column1]]=0,"",Table1[[#This Row],[Column1]])</f>
        <v>4007.33</v>
      </c>
      <c r="Y896" s="1">
        <v>4007.33</v>
      </c>
      <c r="Z896" s="1">
        <v>4007.33</v>
      </c>
      <c r="AA896" s="1">
        <v>361.69</v>
      </c>
      <c r="AB896" s="1" t="s">
        <v>17</v>
      </c>
      <c r="AC896" s="1" t="s">
        <v>32</v>
      </c>
      <c r="AD896" s="1">
        <v>16</v>
      </c>
      <c r="AE896" s="3" t="s">
        <v>1097</v>
      </c>
    </row>
    <row r="897" spans="1:31" ht="15.75" customHeight="1" x14ac:dyDescent="0.35">
      <c r="A897" s="1" t="s">
        <v>110</v>
      </c>
      <c r="B897" t="s">
        <v>1083</v>
      </c>
      <c r="C897" t="s">
        <v>1084</v>
      </c>
      <c r="D897" s="1" t="s">
        <v>1012</v>
      </c>
      <c r="E897" s="5">
        <v>45197</v>
      </c>
      <c r="F897" s="4" t="str">
        <f>IF(ISNUMBER(Table13[[#This Row],[Claim_Date2]]),"",Table13[[#This Row],[Claim_Date2]])</f>
        <v/>
      </c>
      <c r="G897" s="4" t="s">
        <v>1098</v>
      </c>
      <c r="H897" s="4" t="str">
        <f>LEFT(Table13[[#This Row],[Values Col 1]],3)</f>
        <v/>
      </c>
      <c r="I897" s="4" t="s">
        <v>1098</v>
      </c>
      <c r="J897" s="4" t="str">
        <f>MID(Table13[[#This Row],[Function Col]],5,2)</f>
        <v/>
      </c>
      <c r="K897" s="4" t="s">
        <v>1098</v>
      </c>
      <c r="L897" s="4" t="str">
        <f>RIGHT(Table13[[#This Row],[Function Col]],4)</f>
        <v/>
      </c>
      <c r="M897" s="4" t="s">
        <v>1098</v>
      </c>
      <c r="N897" s="4" t="str">
        <f>IF(Table13[[#This Row],[Function Col5]]="","",_xlfn.CONCAT(Table13[[#This Row],[Day Col]],"/",Table13[[#This Row],[Month Col]],"/",Table13[[#This Row],[Year Col]]))</f>
        <v/>
      </c>
      <c r="O897" s="4" t="s">
        <v>1098</v>
      </c>
      <c r="P897" s="4">
        <f>IF(ISNUMBER(Table13[[#This Row],[Claim_Date2]]),Table13[[#This Row],[Claim_Date2]],Table13[[#This Row],[Function Col32]])</f>
        <v>45197</v>
      </c>
      <c r="Q897" s="4">
        <v>45197</v>
      </c>
      <c r="R897" s="1" t="s">
        <v>92</v>
      </c>
      <c r="S897" t="s">
        <v>1085</v>
      </c>
      <c r="T897" s="1" t="s">
        <v>54</v>
      </c>
      <c r="U897" s="1"/>
      <c r="V897" s="1">
        <v>2127.64</v>
      </c>
      <c r="W897" s="1">
        <f>IF(Table1[[#This Row],[Claim_Amount]]&lt;0,0,Table1[[#This Row],[Claim_Amount]])</f>
        <v>2127.64</v>
      </c>
      <c r="X897" s="1">
        <f>IF(Table1[[#This Row],[Column1]]=0,"",Table1[[#This Row],[Column1]])</f>
        <v>2127.64</v>
      </c>
      <c r="Y897" s="1">
        <v>2127.64</v>
      </c>
      <c r="Z897" s="1">
        <v>2127.64</v>
      </c>
      <c r="AA897" s="1">
        <v>2431.0500000000002</v>
      </c>
      <c r="AB897" s="1" t="s">
        <v>25</v>
      </c>
      <c r="AC897" s="1" t="s">
        <v>32</v>
      </c>
      <c r="AD897">
        <v>9</v>
      </c>
      <c r="AE897" s="3" t="s">
        <v>27</v>
      </c>
    </row>
    <row r="898" spans="1:31" ht="15.75" customHeight="1" x14ac:dyDescent="0.35">
      <c r="A898" s="1" t="s">
        <v>321</v>
      </c>
      <c r="B898" t="s">
        <v>1083</v>
      </c>
      <c r="C898" t="s">
        <v>1084</v>
      </c>
      <c r="D898" s="1" t="s">
        <v>461</v>
      </c>
      <c r="E898" s="5" t="s">
        <v>461</v>
      </c>
      <c r="F898" s="4" t="str">
        <f>IF(ISNUMBER(Table13[[#This Row],[Claim_Date2]]),"",Table13[[#This Row],[Claim_Date2]])</f>
        <v>Oct 17 2023</v>
      </c>
      <c r="G898" s="4" t="s">
        <v>461</v>
      </c>
      <c r="H898" s="4" t="str">
        <f>LEFT(Table13[[#This Row],[Values Col 1]],3)</f>
        <v>Oct</v>
      </c>
      <c r="I898" s="4" t="s">
        <v>1103</v>
      </c>
      <c r="J898" s="4" t="str">
        <f>MID(Table13[[#This Row],[Function Col]],5,2)</f>
        <v>17</v>
      </c>
      <c r="K898" s="4" t="s">
        <v>1140</v>
      </c>
      <c r="L898" s="4" t="str">
        <f>RIGHT(Table13[[#This Row],[Function Col]],4)</f>
        <v>2023</v>
      </c>
      <c r="M898" s="4" t="s">
        <v>1146</v>
      </c>
      <c r="N898" s="4" t="str">
        <f>IF(Table13[[#This Row],[Function Col5]]="","",_xlfn.CONCAT(Table13[[#This Row],[Day Col]],"/",Table13[[#This Row],[Month Col]],"/",Table13[[#This Row],[Year Col]]))</f>
        <v>17/Oct/2023</v>
      </c>
      <c r="O898" s="4" t="s">
        <v>1229</v>
      </c>
      <c r="P898" s="4" t="str">
        <f>IF(ISNUMBER(Table13[[#This Row],[Claim_Date2]]),Table13[[#This Row],[Claim_Date2]],Table13[[#This Row],[Function Col32]])</f>
        <v>17/Oct/2023</v>
      </c>
      <c r="Q898" s="4">
        <v>45216</v>
      </c>
      <c r="R898" s="1" t="s">
        <v>92</v>
      </c>
      <c r="S898" s="1" t="s">
        <v>23</v>
      </c>
      <c r="T898" s="1" t="s">
        <v>48</v>
      </c>
      <c r="U898" s="1"/>
      <c r="W898">
        <f>IF(Table1[[#This Row],[Claim_Amount]]&lt;0,0,Table1[[#This Row],[Claim_Amount]])</f>
        <v>0</v>
      </c>
      <c r="X898" t="str">
        <f>IF(Table1[[#This Row],[Column1]]=0,"",Table1[[#This Row],[Column1]])</f>
        <v/>
      </c>
      <c r="Y898" t="s">
        <v>1098</v>
      </c>
      <c r="Z898">
        <v>2481</v>
      </c>
      <c r="AA898">
        <v>832</v>
      </c>
      <c r="AB898" s="1" t="s">
        <v>42</v>
      </c>
      <c r="AC898" s="1" t="s">
        <v>1093</v>
      </c>
      <c r="AD898" s="1">
        <v>48</v>
      </c>
      <c r="AE898" s="3" t="s">
        <v>1097</v>
      </c>
    </row>
    <row r="899" spans="1:31" ht="15.75" customHeight="1" x14ac:dyDescent="0.35">
      <c r="A899" s="1" t="s">
        <v>114</v>
      </c>
      <c r="B899" s="1" t="s">
        <v>688</v>
      </c>
      <c r="C899" s="1" t="s">
        <v>100</v>
      </c>
      <c r="D899" s="1" t="s">
        <v>551</v>
      </c>
      <c r="E899" s="5" t="s">
        <v>551</v>
      </c>
      <c r="F899" s="4" t="str">
        <f>IF(ISNUMBER(Table13[[#This Row],[Claim_Date2]]),"",Table13[[#This Row],[Claim_Date2]])</f>
        <v>Feb 22 2023</v>
      </c>
      <c r="G899" s="4" t="s">
        <v>551</v>
      </c>
      <c r="H899" s="4" t="str">
        <f>LEFT(Table13[[#This Row],[Values Col 1]],3)</f>
        <v>Feb</v>
      </c>
      <c r="I899" s="4" t="s">
        <v>1109</v>
      </c>
      <c r="J899" s="4" t="str">
        <f>MID(Table13[[#This Row],[Function Col]],5,2)</f>
        <v>22</v>
      </c>
      <c r="K899" s="4" t="s">
        <v>1122</v>
      </c>
      <c r="L899" s="4" t="str">
        <f>RIGHT(Table13[[#This Row],[Function Col]],4)</f>
        <v>2023</v>
      </c>
      <c r="M899" s="4" t="s">
        <v>1146</v>
      </c>
      <c r="N899" s="4" t="str">
        <f>IF(Table13[[#This Row],[Function Col5]]="","",_xlfn.CONCAT(Table13[[#This Row],[Day Col]],"/",Table13[[#This Row],[Month Col]],"/",Table13[[#This Row],[Year Col]]))</f>
        <v>22/Feb/2023</v>
      </c>
      <c r="O899" s="4" t="s">
        <v>1244</v>
      </c>
      <c r="P899" s="4" t="str">
        <f>IF(ISNUMBER(Table13[[#This Row],[Claim_Date2]]),Table13[[#This Row],[Claim_Date2]],Table13[[#This Row],[Function Col32]])</f>
        <v>22/Feb/2023</v>
      </c>
      <c r="Q899" s="4">
        <v>44979</v>
      </c>
      <c r="R899" s="1" t="s">
        <v>85</v>
      </c>
      <c r="S899" s="1" t="s">
        <v>93</v>
      </c>
      <c r="T899" s="1" t="s">
        <v>48</v>
      </c>
      <c r="U899" s="1"/>
      <c r="V899" s="1">
        <v>-62</v>
      </c>
      <c r="W899" s="1">
        <f>IF(Table1[[#This Row],[Claim_Amount]]&lt;0,0,Table1[[#This Row],[Claim_Amount]])</f>
        <v>0</v>
      </c>
      <c r="X899" s="1" t="str">
        <f>IF(Table1[[#This Row],[Column1]]=0,"",Table1[[#This Row],[Column1]])</f>
        <v/>
      </c>
      <c r="Y899" s="1" t="s">
        <v>1098</v>
      </c>
      <c r="Z899" s="1">
        <v>2481</v>
      </c>
      <c r="AA899">
        <v>832</v>
      </c>
      <c r="AB899" s="1" t="s">
        <v>25</v>
      </c>
      <c r="AC899" s="1" t="s">
        <v>26</v>
      </c>
      <c r="AD899">
        <v>9</v>
      </c>
      <c r="AE899" s="3" t="s">
        <v>37</v>
      </c>
    </row>
    <row r="900" spans="1:31" ht="15.75" customHeight="1" x14ac:dyDescent="0.35">
      <c r="A900" s="1" t="s">
        <v>137</v>
      </c>
      <c r="B900" s="1" t="s">
        <v>382</v>
      </c>
      <c r="C900" s="1" t="s">
        <v>278</v>
      </c>
      <c r="D900" s="1" t="s">
        <v>288</v>
      </c>
      <c r="E900" s="5">
        <v>45038</v>
      </c>
      <c r="F900" s="4" t="str">
        <f>IF(ISNUMBER(Table13[[#This Row],[Claim_Date2]]),"",Table13[[#This Row],[Claim_Date2]])</f>
        <v/>
      </c>
      <c r="G900" s="4" t="s">
        <v>1098</v>
      </c>
      <c r="H900" s="4" t="str">
        <f>LEFT(Table13[[#This Row],[Values Col 1]],3)</f>
        <v/>
      </c>
      <c r="I900" s="4" t="s">
        <v>1098</v>
      </c>
      <c r="J900" s="4" t="str">
        <f>MID(Table13[[#This Row],[Function Col]],5,2)</f>
        <v/>
      </c>
      <c r="K900" s="4" t="s">
        <v>1098</v>
      </c>
      <c r="L900" s="4" t="str">
        <f>RIGHT(Table13[[#This Row],[Function Col]],4)</f>
        <v/>
      </c>
      <c r="M900" s="4" t="s">
        <v>1098</v>
      </c>
      <c r="N900" s="4" t="str">
        <f>IF(Table13[[#This Row],[Function Col5]]="","",_xlfn.CONCAT(Table13[[#This Row],[Day Col]],"/",Table13[[#This Row],[Month Col]],"/",Table13[[#This Row],[Year Col]]))</f>
        <v/>
      </c>
      <c r="O900" s="4" t="s">
        <v>1098</v>
      </c>
      <c r="P900" s="4">
        <f>IF(ISNUMBER(Table13[[#This Row],[Claim_Date2]]),Table13[[#This Row],[Claim_Date2]],Table13[[#This Row],[Function Col32]])</f>
        <v>45038</v>
      </c>
      <c r="Q900" s="4">
        <v>45038</v>
      </c>
      <c r="R900" s="1" t="s">
        <v>92</v>
      </c>
      <c r="S900" s="1" t="s">
        <v>23</v>
      </c>
      <c r="T900" s="1" t="s">
        <v>54</v>
      </c>
      <c r="U900" s="1"/>
      <c r="V900" s="1">
        <v>-81</v>
      </c>
      <c r="W900" s="1">
        <f>IF(Table1[[#This Row],[Claim_Amount]]&lt;0,0,Table1[[#This Row],[Claim_Amount]])</f>
        <v>0</v>
      </c>
      <c r="X900" s="1" t="str">
        <f>IF(Table1[[#This Row],[Column1]]=0,"",Table1[[#This Row],[Column1]])</f>
        <v/>
      </c>
      <c r="Y900" s="1" t="s">
        <v>1098</v>
      </c>
      <c r="Z900" s="1">
        <v>2481</v>
      </c>
      <c r="AA900" s="1">
        <v>4470.8599999999997</v>
      </c>
      <c r="AB900" s="1" t="s">
        <v>42</v>
      </c>
      <c r="AC900" s="1" t="s">
        <v>18</v>
      </c>
      <c r="AD900" s="1">
        <v>39</v>
      </c>
      <c r="AE900" s="3" t="s">
        <v>19</v>
      </c>
    </row>
    <row r="901" spans="1:31" ht="15.75" customHeight="1" x14ac:dyDescent="0.35">
      <c r="A901" s="1" t="s">
        <v>247</v>
      </c>
      <c r="B901" t="s">
        <v>1083</v>
      </c>
      <c r="C901" s="1" t="s">
        <v>133</v>
      </c>
      <c r="D901" s="1" t="s">
        <v>1013</v>
      </c>
      <c r="E901" s="5">
        <v>45170</v>
      </c>
      <c r="F901" s="4" t="str">
        <f>IF(ISNUMBER(Table13[[#This Row],[Claim_Date2]]),"",Table13[[#This Row],[Claim_Date2]])</f>
        <v/>
      </c>
      <c r="G901" s="4" t="s">
        <v>1098</v>
      </c>
      <c r="H901" s="4" t="str">
        <f>LEFT(Table13[[#This Row],[Values Col 1]],3)</f>
        <v/>
      </c>
      <c r="I901" s="4" t="s">
        <v>1098</v>
      </c>
      <c r="J901" s="4" t="str">
        <f>MID(Table13[[#This Row],[Function Col]],5,2)</f>
        <v/>
      </c>
      <c r="K901" s="4" t="s">
        <v>1098</v>
      </c>
      <c r="L901" s="4" t="str">
        <f>RIGHT(Table13[[#This Row],[Function Col]],4)</f>
        <v/>
      </c>
      <c r="M901" s="4" t="s">
        <v>1098</v>
      </c>
      <c r="N901" s="4" t="str">
        <f>IF(Table13[[#This Row],[Function Col5]]="","",_xlfn.CONCAT(Table13[[#This Row],[Day Col]],"/",Table13[[#This Row],[Month Col]],"/",Table13[[#This Row],[Year Col]]))</f>
        <v/>
      </c>
      <c r="O901" s="4" t="s">
        <v>1098</v>
      </c>
      <c r="P901" s="4">
        <f>IF(ISNUMBER(Table13[[#This Row],[Claim_Date2]]),Table13[[#This Row],[Claim_Date2]],Table13[[#This Row],[Function Col32]])</f>
        <v>45170</v>
      </c>
      <c r="Q901" s="4">
        <v>45170</v>
      </c>
      <c r="R901" s="1" t="s">
        <v>30</v>
      </c>
      <c r="S901" s="1" t="s">
        <v>93</v>
      </c>
      <c r="T901" t="s">
        <v>1086</v>
      </c>
      <c r="V901" s="1">
        <v>3798.77</v>
      </c>
      <c r="W901" s="1">
        <f>IF(Table1[[#This Row],[Claim_Amount]]&lt;0,0,Table1[[#This Row],[Claim_Amount]])</f>
        <v>3798.77</v>
      </c>
      <c r="X901" s="1">
        <f>IF(Table1[[#This Row],[Column1]]=0,"",Table1[[#This Row],[Column1]])</f>
        <v>3798.77</v>
      </c>
      <c r="Y901" s="1">
        <v>3798.77</v>
      </c>
      <c r="Z901" s="1">
        <v>3798.77</v>
      </c>
      <c r="AA901">
        <v>832</v>
      </c>
      <c r="AB901" s="1" t="s">
        <v>17</v>
      </c>
      <c r="AC901" s="1" t="s">
        <v>1093</v>
      </c>
      <c r="AD901">
        <v>9</v>
      </c>
      <c r="AE901" s="3" t="s">
        <v>19</v>
      </c>
    </row>
    <row r="902" spans="1:31" ht="15.75" customHeight="1" x14ac:dyDescent="0.35">
      <c r="A902" s="1" t="s">
        <v>96</v>
      </c>
      <c r="B902" t="s">
        <v>1083</v>
      </c>
      <c r="C902" t="s">
        <v>1084</v>
      </c>
      <c r="D902" s="1" t="s">
        <v>606</v>
      </c>
      <c r="E902" s="5">
        <v>45145</v>
      </c>
      <c r="F902" s="4" t="str">
        <f>IF(ISNUMBER(Table13[[#This Row],[Claim_Date2]]),"",Table13[[#This Row],[Claim_Date2]])</f>
        <v/>
      </c>
      <c r="G902" s="4" t="s">
        <v>1098</v>
      </c>
      <c r="H902" s="4" t="str">
        <f>LEFT(Table13[[#This Row],[Values Col 1]],3)</f>
        <v/>
      </c>
      <c r="I902" s="4" t="s">
        <v>1098</v>
      </c>
      <c r="J902" s="4" t="str">
        <f>MID(Table13[[#This Row],[Function Col]],5,2)</f>
        <v/>
      </c>
      <c r="K902" s="4" t="s">
        <v>1098</v>
      </c>
      <c r="L902" s="4" t="str">
        <f>RIGHT(Table13[[#This Row],[Function Col]],4)</f>
        <v/>
      </c>
      <c r="M902" s="4" t="s">
        <v>1098</v>
      </c>
      <c r="N902" s="4" t="str">
        <f>IF(Table13[[#This Row],[Function Col5]]="","",_xlfn.CONCAT(Table13[[#This Row],[Day Col]],"/",Table13[[#This Row],[Month Col]],"/",Table13[[#This Row],[Year Col]]))</f>
        <v/>
      </c>
      <c r="O902" s="4" t="s">
        <v>1098</v>
      </c>
      <c r="P902" s="4">
        <f>IF(ISNUMBER(Table13[[#This Row],[Claim_Date2]]),Table13[[#This Row],[Claim_Date2]],Table13[[#This Row],[Function Col32]])</f>
        <v>45145</v>
      </c>
      <c r="Q902" s="4">
        <v>45145</v>
      </c>
      <c r="R902" s="1" t="s">
        <v>92</v>
      </c>
      <c r="S902" s="1" t="s">
        <v>53</v>
      </c>
      <c r="T902" s="1" t="s">
        <v>54</v>
      </c>
      <c r="U902" s="1"/>
      <c r="V902" s="1">
        <v>3494.9</v>
      </c>
      <c r="W902" s="1">
        <f>IF(Table1[[#This Row],[Claim_Amount]]&lt;0,0,Table1[[#This Row],[Claim_Amount]])</f>
        <v>3494.9</v>
      </c>
      <c r="X902" s="1">
        <f>IF(Table1[[#This Row],[Column1]]=0,"",Table1[[#This Row],[Column1]])</f>
        <v>3494.9</v>
      </c>
      <c r="Y902" s="1">
        <v>3494.9</v>
      </c>
      <c r="Z902" s="1">
        <v>3494.9</v>
      </c>
      <c r="AA902">
        <v>832</v>
      </c>
      <c r="AB902" s="1" t="s">
        <v>25</v>
      </c>
      <c r="AC902" s="1" t="s">
        <v>32</v>
      </c>
      <c r="AD902" s="1">
        <v>12</v>
      </c>
      <c r="AE902" s="3" t="s">
        <v>65</v>
      </c>
    </row>
    <row r="903" spans="1:31" ht="15.75" customHeight="1" x14ac:dyDescent="0.35">
      <c r="A903" s="1" t="s">
        <v>198</v>
      </c>
      <c r="B903" s="1" t="s">
        <v>406</v>
      </c>
      <c r="C903" s="1" t="s">
        <v>183</v>
      </c>
      <c r="D903" s="1" t="s">
        <v>1014</v>
      </c>
      <c r="E903" s="5">
        <v>45027</v>
      </c>
      <c r="F903" s="4" t="str">
        <f>IF(ISNUMBER(Table13[[#This Row],[Claim_Date2]]),"",Table13[[#This Row],[Claim_Date2]])</f>
        <v/>
      </c>
      <c r="G903" s="4" t="s">
        <v>1098</v>
      </c>
      <c r="H903" s="4" t="str">
        <f>LEFT(Table13[[#This Row],[Values Col 1]],3)</f>
        <v/>
      </c>
      <c r="I903" s="4" t="s">
        <v>1098</v>
      </c>
      <c r="J903" s="4" t="str">
        <f>MID(Table13[[#This Row],[Function Col]],5,2)</f>
        <v/>
      </c>
      <c r="K903" s="4" t="s">
        <v>1098</v>
      </c>
      <c r="L903" s="4" t="str">
        <f>RIGHT(Table13[[#This Row],[Function Col]],4)</f>
        <v/>
      </c>
      <c r="M903" s="4" t="s">
        <v>1098</v>
      </c>
      <c r="N903" s="4" t="str">
        <f>IF(Table13[[#This Row],[Function Col5]]="","",_xlfn.CONCAT(Table13[[#This Row],[Day Col]],"/",Table13[[#This Row],[Month Col]],"/",Table13[[#This Row],[Year Col]]))</f>
        <v/>
      </c>
      <c r="O903" s="4" t="s">
        <v>1098</v>
      </c>
      <c r="P903" s="4">
        <f>IF(ISNUMBER(Table13[[#This Row],[Claim_Date2]]),Table13[[#This Row],[Claim_Date2]],Table13[[#This Row],[Function Col32]])</f>
        <v>45027</v>
      </c>
      <c r="Q903" s="4">
        <v>45027</v>
      </c>
      <c r="R903" s="1" t="s">
        <v>92</v>
      </c>
      <c r="S903" s="1" t="s">
        <v>53</v>
      </c>
      <c r="T903" s="1" t="s">
        <v>61</v>
      </c>
      <c r="U903" s="1"/>
      <c r="W903">
        <f>IF(Table1[[#This Row],[Claim_Amount]]&lt;0,0,Table1[[#This Row],[Claim_Amount]])</f>
        <v>0</v>
      </c>
      <c r="X903" t="str">
        <f>IF(Table1[[#This Row],[Column1]]=0,"",Table1[[#This Row],[Column1]])</f>
        <v/>
      </c>
      <c r="Y903" t="s">
        <v>1098</v>
      </c>
      <c r="Z903">
        <v>2481</v>
      </c>
      <c r="AA903">
        <v>832</v>
      </c>
      <c r="AB903" s="1" t="s">
        <v>17</v>
      </c>
      <c r="AC903" s="1" t="s">
        <v>32</v>
      </c>
      <c r="AD903">
        <v>9</v>
      </c>
      <c r="AE903" s="3" t="s">
        <v>37</v>
      </c>
    </row>
    <row r="904" spans="1:31" ht="15.75" customHeight="1" x14ac:dyDescent="0.35">
      <c r="A904" s="1" t="s">
        <v>50</v>
      </c>
      <c r="B904" s="1" t="s">
        <v>1015</v>
      </c>
      <c r="C904" t="s">
        <v>1084</v>
      </c>
      <c r="D904" s="1" t="s">
        <v>1016</v>
      </c>
      <c r="E904" s="5">
        <v>44930</v>
      </c>
      <c r="F904" s="4" t="str">
        <f>IF(ISNUMBER(Table13[[#This Row],[Claim_Date2]]),"",Table13[[#This Row],[Claim_Date2]])</f>
        <v/>
      </c>
      <c r="G904" s="4" t="s">
        <v>1098</v>
      </c>
      <c r="H904" s="4" t="str">
        <f>LEFT(Table13[[#This Row],[Values Col 1]],3)</f>
        <v/>
      </c>
      <c r="I904" s="4" t="s">
        <v>1098</v>
      </c>
      <c r="J904" s="4" t="str">
        <f>MID(Table13[[#This Row],[Function Col]],5,2)</f>
        <v/>
      </c>
      <c r="K904" s="4" t="s">
        <v>1098</v>
      </c>
      <c r="L904" s="4" t="str">
        <f>RIGHT(Table13[[#This Row],[Function Col]],4)</f>
        <v/>
      </c>
      <c r="M904" s="4" t="s">
        <v>1098</v>
      </c>
      <c r="N904" s="4" t="str">
        <f>IF(Table13[[#This Row],[Function Col5]]="","",_xlfn.CONCAT(Table13[[#This Row],[Day Col]],"/",Table13[[#This Row],[Month Col]],"/",Table13[[#This Row],[Year Col]]))</f>
        <v/>
      </c>
      <c r="O904" s="4" t="s">
        <v>1098</v>
      </c>
      <c r="P904" s="4">
        <f>IF(ISNUMBER(Table13[[#This Row],[Claim_Date2]]),Table13[[#This Row],[Claim_Date2]],Table13[[#This Row],[Function Col32]])</f>
        <v>44930</v>
      </c>
      <c r="Q904" s="4">
        <v>44930</v>
      </c>
      <c r="R904" s="1" t="s">
        <v>16</v>
      </c>
      <c r="S904" s="1" t="s">
        <v>47</v>
      </c>
      <c r="T904" s="1" t="s">
        <v>24</v>
      </c>
      <c r="U904" s="1"/>
      <c r="V904" s="1">
        <v>3437.98</v>
      </c>
      <c r="W904" s="1">
        <f>IF(Table1[[#This Row],[Claim_Amount]]&lt;0,0,Table1[[#This Row],[Claim_Amount]])</f>
        <v>3437.98</v>
      </c>
      <c r="X904" s="1">
        <f>IF(Table1[[#This Row],[Column1]]=0,"",Table1[[#This Row],[Column1]])</f>
        <v>3437.98</v>
      </c>
      <c r="Y904" s="1">
        <v>3437.98</v>
      </c>
      <c r="Z904" s="1">
        <v>3437.98</v>
      </c>
      <c r="AA904" s="1">
        <v>469.9</v>
      </c>
      <c r="AB904" s="1" t="s">
        <v>17</v>
      </c>
      <c r="AC904" s="1" t="s">
        <v>26</v>
      </c>
      <c r="AD904">
        <v>9</v>
      </c>
      <c r="AE904" s="3" t="s">
        <v>19</v>
      </c>
    </row>
    <row r="905" spans="1:31" ht="15.75" customHeight="1" x14ac:dyDescent="0.35">
      <c r="A905" s="1" t="s">
        <v>62</v>
      </c>
      <c r="B905" t="s">
        <v>1083</v>
      </c>
      <c r="C905" t="s">
        <v>1084</v>
      </c>
      <c r="D905" s="1" t="s">
        <v>1017</v>
      </c>
      <c r="E905" s="5" t="s">
        <v>1017</v>
      </c>
      <c r="F905" s="4" t="str">
        <f>IF(ISNUMBER(Table13[[#This Row],[Claim_Date2]]),"",Table13[[#This Row],[Claim_Date2]])</f>
        <v>Jan 01 2024</v>
      </c>
      <c r="G905" s="4" t="s">
        <v>1017</v>
      </c>
      <c r="H905" s="4" t="str">
        <f>LEFT(Table13[[#This Row],[Values Col 1]],3)</f>
        <v>Jan</v>
      </c>
      <c r="I905" s="4" t="s">
        <v>1107</v>
      </c>
      <c r="J905" s="4" t="str">
        <f>MID(Table13[[#This Row],[Function Col]],5,2)</f>
        <v>01</v>
      </c>
      <c r="K905" s="4" t="s">
        <v>1138</v>
      </c>
      <c r="L905" s="4" t="str">
        <f>RIGHT(Table13[[#This Row],[Function Col]],4)</f>
        <v>2024</v>
      </c>
      <c r="M905" s="4" t="s">
        <v>1147</v>
      </c>
      <c r="N905" s="4" t="str">
        <f>IF(Table13[[#This Row],[Function Col5]]="","",_xlfn.CONCAT(Table13[[#This Row],[Day Col]],"/",Table13[[#This Row],[Month Col]],"/",Table13[[#This Row],[Year Col]]))</f>
        <v>01/Jan/2024</v>
      </c>
      <c r="O905" s="4" t="s">
        <v>1352</v>
      </c>
      <c r="P905" s="4" t="str">
        <f>IF(ISNUMBER(Table13[[#This Row],[Claim_Date2]]),Table13[[#This Row],[Claim_Date2]],Table13[[#This Row],[Function Col32]])</f>
        <v>01/Jan/2024</v>
      </c>
      <c r="Q905" s="4">
        <v>45292</v>
      </c>
      <c r="R905" s="1" t="s">
        <v>16</v>
      </c>
      <c r="S905" s="1" t="s">
        <v>47</v>
      </c>
      <c r="T905" s="1" t="s">
        <v>54</v>
      </c>
      <c r="U905" s="1"/>
      <c r="W905">
        <f>IF(Table1[[#This Row],[Claim_Amount]]&lt;0,0,Table1[[#This Row],[Claim_Amount]])</f>
        <v>0</v>
      </c>
      <c r="X905" t="str">
        <f>IF(Table1[[#This Row],[Column1]]=0,"",Table1[[#This Row],[Column1]])</f>
        <v/>
      </c>
      <c r="Y905" t="s">
        <v>1098</v>
      </c>
      <c r="Z905">
        <v>2481</v>
      </c>
      <c r="AA905" s="1">
        <v>4437.62</v>
      </c>
      <c r="AB905" s="1" t="s">
        <v>1091</v>
      </c>
      <c r="AC905" s="1" t="s">
        <v>57</v>
      </c>
      <c r="AD905">
        <v>9</v>
      </c>
      <c r="AE905" s="3" t="s">
        <v>65</v>
      </c>
    </row>
    <row r="906" spans="1:31" ht="15.75" customHeight="1" x14ac:dyDescent="0.35">
      <c r="A906" s="1" t="s">
        <v>215</v>
      </c>
      <c r="B906" s="1" t="s">
        <v>763</v>
      </c>
      <c r="C906" t="s">
        <v>1084</v>
      </c>
      <c r="D906" s="1" t="s">
        <v>428</v>
      </c>
      <c r="E906" s="5" t="s">
        <v>428</v>
      </c>
      <c r="F906" s="4" t="str">
        <f>IF(ISNUMBER(Table13[[#This Row],[Claim_Date2]]),"",Table13[[#This Row],[Claim_Date2]])</f>
        <v>May 14 2023</v>
      </c>
      <c r="G906" s="4" t="s">
        <v>428</v>
      </c>
      <c r="H906" s="4" t="str">
        <f>LEFT(Table13[[#This Row],[Values Col 1]],3)</f>
        <v>May</v>
      </c>
      <c r="I906" s="4" t="s">
        <v>1110</v>
      </c>
      <c r="J906" s="4" t="str">
        <f>MID(Table13[[#This Row],[Function Col]],5,2)</f>
        <v>14</v>
      </c>
      <c r="K906" s="4" t="s">
        <v>1131</v>
      </c>
      <c r="L906" s="4" t="str">
        <f>RIGHT(Table13[[#This Row],[Function Col]],4)</f>
        <v>2023</v>
      </c>
      <c r="M906" s="4" t="s">
        <v>1146</v>
      </c>
      <c r="N906" s="4" t="str">
        <f>IF(Table13[[#This Row],[Function Col5]]="","",_xlfn.CONCAT(Table13[[#This Row],[Day Col]],"/",Table13[[#This Row],[Month Col]],"/",Table13[[#This Row],[Year Col]]))</f>
        <v>14/May/2023</v>
      </c>
      <c r="O906" s="4" t="s">
        <v>1218</v>
      </c>
      <c r="P906" s="4" t="str">
        <f>IF(ISNUMBER(Table13[[#This Row],[Claim_Date2]]),Table13[[#This Row],[Claim_Date2]],Table13[[#This Row],[Function Col32]])</f>
        <v>14/May/2023</v>
      </c>
      <c r="Q906" s="4">
        <v>45060</v>
      </c>
      <c r="R906" s="1" t="s">
        <v>85</v>
      </c>
      <c r="S906" t="s">
        <v>1085</v>
      </c>
      <c r="T906" s="1" t="s">
        <v>61</v>
      </c>
      <c r="U906" s="1"/>
      <c r="V906" s="1">
        <v>-85</v>
      </c>
      <c r="W906" s="1">
        <f>IF(Table1[[#This Row],[Claim_Amount]]&lt;0,0,Table1[[#This Row],[Claim_Amount]])</f>
        <v>0</v>
      </c>
      <c r="X906" s="1" t="str">
        <f>IF(Table1[[#This Row],[Column1]]=0,"",Table1[[#This Row],[Column1]])</f>
        <v/>
      </c>
      <c r="Y906" s="1" t="s">
        <v>1098</v>
      </c>
      <c r="Z906" s="1">
        <v>2481</v>
      </c>
      <c r="AA906">
        <v>832</v>
      </c>
      <c r="AB906" s="1" t="s">
        <v>25</v>
      </c>
      <c r="AC906" s="1" t="s">
        <v>57</v>
      </c>
      <c r="AD906">
        <v>9</v>
      </c>
      <c r="AE906" s="3" t="s">
        <v>65</v>
      </c>
    </row>
    <row r="907" spans="1:31" ht="15.75" customHeight="1" x14ac:dyDescent="0.35">
      <c r="A907" s="1" t="s">
        <v>82</v>
      </c>
      <c r="B907" t="s">
        <v>1083</v>
      </c>
      <c r="C907" s="1" t="s">
        <v>592</v>
      </c>
      <c r="D907" s="1" t="s">
        <v>1018</v>
      </c>
      <c r="E907" s="5" t="s">
        <v>1018</v>
      </c>
      <c r="F907" s="4" t="str">
        <f>IF(ISNUMBER(Table13[[#This Row],[Claim_Date2]]),"",Table13[[#This Row],[Claim_Date2]])</f>
        <v>Jul 22 2023</v>
      </c>
      <c r="G907" s="4" t="s">
        <v>1018</v>
      </c>
      <c r="H907" s="4" t="str">
        <f>LEFT(Table13[[#This Row],[Values Col 1]],3)</f>
        <v>Jul</v>
      </c>
      <c r="I907" s="4" t="s">
        <v>1101</v>
      </c>
      <c r="J907" s="4" t="str">
        <f>MID(Table13[[#This Row],[Function Col]],5,2)</f>
        <v>22</v>
      </c>
      <c r="K907" s="4" t="s">
        <v>1122</v>
      </c>
      <c r="L907" s="4" t="str">
        <f>RIGHT(Table13[[#This Row],[Function Col]],4)</f>
        <v>2023</v>
      </c>
      <c r="M907" s="4" t="s">
        <v>1146</v>
      </c>
      <c r="N907" s="4" t="str">
        <f>IF(Table13[[#This Row],[Function Col5]]="","",_xlfn.CONCAT(Table13[[#This Row],[Day Col]],"/",Table13[[#This Row],[Month Col]],"/",Table13[[#This Row],[Year Col]]))</f>
        <v>22/Jul/2023</v>
      </c>
      <c r="O907" s="4" t="s">
        <v>1353</v>
      </c>
      <c r="P907" s="4" t="str">
        <f>IF(ISNUMBER(Table13[[#This Row],[Claim_Date2]]),Table13[[#This Row],[Claim_Date2]],Table13[[#This Row],[Function Col32]])</f>
        <v>22/Jul/2023</v>
      </c>
      <c r="Q907" s="4">
        <v>45129</v>
      </c>
      <c r="R907" s="1" t="s">
        <v>30</v>
      </c>
      <c r="S907" t="s">
        <v>1085</v>
      </c>
      <c r="T907" t="s">
        <v>1086</v>
      </c>
      <c r="W907">
        <f>IF(Table1[[#This Row],[Claim_Amount]]&lt;0,0,Table1[[#This Row],[Claim_Amount]])</f>
        <v>0</v>
      </c>
      <c r="X907" t="str">
        <f>IF(Table1[[#This Row],[Column1]]=0,"",Table1[[#This Row],[Column1]])</f>
        <v/>
      </c>
      <c r="Y907" t="s">
        <v>1098</v>
      </c>
      <c r="Z907">
        <v>2481</v>
      </c>
      <c r="AA907" s="1">
        <v>2718.18</v>
      </c>
      <c r="AB907" s="1" t="s">
        <v>17</v>
      </c>
      <c r="AC907" s="1" t="s">
        <v>18</v>
      </c>
      <c r="AD907" s="1">
        <v>58</v>
      </c>
      <c r="AE907" s="3" t="s">
        <v>1097</v>
      </c>
    </row>
    <row r="908" spans="1:31" ht="15.75" customHeight="1" x14ac:dyDescent="0.35">
      <c r="A908" s="1" t="s">
        <v>154</v>
      </c>
      <c r="B908" s="1" t="s">
        <v>1019</v>
      </c>
      <c r="C908" s="1" t="s">
        <v>453</v>
      </c>
      <c r="D908" s="1" t="s">
        <v>692</v>
      </c>
      <c r="E908" s="5">
        <v>45100</v>
      </c>
      <c r="F908" s="4" t="str">
        <f>IF(ISNUMBER(Table13[[#This Row],[Claim_Date2]]),"",Table13[[#This Row],[Claim_Date2]])</f>
        <v/>
      </c>
      <c r="G908" s="4" t="s">
        <v>1098</v>
      </c>
      <c r="H908" s="4" t="str">
        <f>LEFT(Table13[[#This Row],[Values Col 1]],3)</f>
        <v/>
      </c>
      <c r="I908" s="4" t="s">
        <v>1098</v>
      </c>
      <c r="J908" s="4" t="str">
        <f>MID(Table13[[#This Row],[Function Col]],5,2)</f>
        <v/>
      </c>
      <c r="K908" s="4" t="s">
        <v>1098</v>
      </c>
      <c r="L908" s="4" t="str">
        <f>RIGHT(Table13[[#This Row],[Function Col]],4)</f>
        <v/>
      </c>
      <c r="M908" s="4" t="s">
        <v>1098</v>
      </c>
      <c r="N908" s="4" t="str">
        <f>IF(Table13[[#This Row],[Function Col5]]="","",_xlfn.CONCAT(Table13[[#This Row],[Day Col]],"/",Table13[[#This Row],[Month Col]],"/",Table13[[#This Row],[Year Col]]))</f>
        <v/>
      </c>
      <c r="O908" s="4" t="s">
        <v>1098</v>
      </c>
      <c r="P908" s="4">
        <f>IF(ISNUMBER(Table13[[#This Row],[Claim_Date2]]),Table13[[#This Row],[Claim_Date2]],Table13[[#This Row],[Function Col32]])</f>
        <v>45100</v>
      </c>
      <c r="Q908" s="4">
        <v>45100</v>
      </c>
      <c r="R908" s="1" t="s">
        <v>92</v>
      </c>
      <c r="S908" s="1" t="s">
        <v>31</v>
      </c>
      <c r="T908" s="1" t="s">
        <v>41</v>
      </c>
      <c r="U908" s="1"/>
      <c r="V908" s="1">
        <v>2767.09</v>
      </c>
      <c r="W908" s="1">
        <f>IF(Table1[[#This Row],[Claim_Amount]]&lt;0,0,Table1[[#This Row],[Claim_Amount]])</f>
        <v>2767.09</v>
      </c>
      <c r="X908" s="1">
        <f>IF(Table1[[#This Row],[Column1]]=0,"",Table1[[#This Row],[Column1]])</f>
        <v>2767.09</v>
      </c>
      <c r="Y908" s="1">
        <v>2767.09</v>
      </c>
      <c r="Z908" s="1">
        <v>2767.09</v>
      </c>
      <c r="AA908" s="1">
        <v>2167.2199999999998</v>
      </c>
      <c r="AB908" s="1" t="s">
        <v>17</v>
      </c>
      <c r="AC908" s="1" t="s">
        <v>18</v>
      </c>
      <c r="AD908">
        <v>9</v>
      </c>
      <c r="AE908" s="3" t="s">
        <v>19</v>
      </c>
    </row>
    <row r="909" spans="1:31" ht="15.75" customHeight="1" x14ac:dyDescent="0.35">
      <c r="A909" s="1" t="s">
        <v>302</v>
      </c>
      <c r="B909" t="s">
        <v>1083</v>
      </c>
      <c r="C909" s="1" t="s">
        <v>218</v>
      </c>
      <c r="D909" s="1" t="s">
        <v>1020</v>
      </c>
      <c r="E909" s="5">
        <v>45143</v>
      </c>
      <c r="F909" s="4" t="str">
        <f>IF(ISNUMBER(Table13[[#This Row],[Claim_Date2]]),"",Table13[[#This Row],[Claim_Date2]])</f>
        <v/>
      </c>
      <c r="G909" s="4" t="s">
        <v>1098</v>
      </c>
      <c r="H909" s="4" t="str">
        <f>LEFT(Table13[[#This Row],[Values Col 1]],3)</f>
        <v/>
      </c>
      <c r="I909" s="4" t="s">
        <v>1098</v>
      </c>
      <c r="J909" s="4" t="str">
        <f>MID(Table13[[#This Row],[Function Col]],5,2)</f>
        <v/>
      </c>
      <c r="K909" s="4" t="s">
        <v>1098</v>
      </c>
      <c r="L909" s="4" t="str">
        <f>RIGHT(Table13[[#This Row],[Function Col]],4)</f>
        <v/>
      </c>
      <c r="M909" s="4" t="s">
        <v>1098</v>
      </c>
      <c r="N909" s="4" t="str">
        <f>IF(Table13[[#This Row],[Function Col5]]="","",_xlfn.CONCAT(Table13[[#This Row],[Day Col]],"/",Table13[[#This Row],[Month Col]],"/",Table13[[#This Row],[Year Col]]))</f>
        <v/>
      </c>
      <c r="O909" s="4" t="s">
        <v>1098</v>
      </c>
      <c r="P909" s="4">
        <f>IF(ISNUMBER(Table13[[#This Row],[Claim_Date2]]),Table13[[#This Row],[Claim_Date2]],Table13[[#This Row],[Function Col32]])</f>
        <v>45143</v>
      </c>
      <c r="Q909" s="4">
        <v>45143</v>
      </c>
      <c r="R909" s="1" t="s">
        <v>16</v>
      </c>
      <c r="S909" s="1" t="s">
        <v>31</v>
      </c>
      <c r="T909" s="1" t="s">
        <v>48</v>
      </c>
      <c r="U909" s="1"/>
      <c r="W909">
        <f>IF(Table1[[#This Row],[Claim_Amount]]&lt;0,0,Table1[[#This Row],[Claim_Amount]])</f>
        <v>0</v>
      </c>
      <c r="X909" t="str">
        <f>IF(Table1[[#This Row],[Column1]]=0,"",Table1[[#This Row],[Column1]])</f>
        <v/>
      </c>
      <c r="Y909" t="s">
        <v>1098</v>
      </c>
      <c r="Z909">
        <v>2481</v>
      </c>
      <c r="AA909" s="1">
        <v>198.3</v>
      </c>
      <c r="AB909" s="1" t="s">
        <v>25</v>
      </c>
      <c r="AC909" s="1" t="s">
        <v>26</v>
      </c>
      <c r="AD909">
        <v>9</v>
      </c>
      <c r="AE909" s="3" t="s">
        <v>19</v>
      </c>
    </row>
    <row r="910" spans="1:31" ht="15.75" customHeight="1" x14ac:dyDescent="0.35">
      <c r="A910" s="1" t="s">
        <v>96</v>
      </c>
      <c r="B910" s="1" t="s">
        <v>1021</v>
      </c>
      <c r="C910" s="1" t="s">
        <v>63</v>
      </c>
      <c r="D910" s="1" t="s">
        <v>785</v>
      </c>
      <c r="E910" s="5">
        <v>45279</v>
      </c>
      <c r="F910" s="4" t="str">
        <f>IF(ISNUMBER(Table13[[#This Row],[Claim_Date2]]),"",Table13[[#This Row],[Claim_Date2]])</f>
        <v/>
      </c>
      <c r="G910" s="4" t="s">
        <v>1098</v>
      </c>
      <c r="H910" s="4" t="str">
        <f>LEFT(Table13[[#This Row],[Values Col 1]],3)</f>
        <v/>
      </c>
      <c r="I910" s="4" t="s">
        <v>1098</v>
      </c>
      <c r="J910" s="4" t="str">
        <f>MID(Table13[[#This Row],[Function Col]],5,2)</f>
        <v/>
      </c>
      <c r="K910" s="4" t="s">
        <v>1098</v>
      </c>
      <c r="L910" s="4" t="str">
        <f>RIGHT(Table13[[#This Row],[Function Col]],4)</f>
        <v/>
      </c>
      <c r="M910" s="4" t="s">
        <v>1098</v>
      </c>
      <c r="N910" s="4" t="str">
        <f>IF(Table13[[#This Row],[Function Col5]]="","",_xlfn.CONCAT(Table13[[#This Row],[Day Col]],"/",Table13[[#This Row],[Month Col]],"/",Table13[[#This Row],[Year Col]]))</f>
        <v/>
      </c>
      <c r="O910" s="4" t="s">
        <v>1098</v>
      </c>
      <c r="P910" s="4">
        <f>IF(ISNUMBER(Table13[[#This Row],[Claim_Date2]]),Table13[[#This Row],[Claim_Date2]],Table13[[#This Row],[Function Col32]])</f>
        <v>45279</v>
      </c>
      <c r="Q910" s="4">
        <v>45279</v>
      </c>
      <c r="R910" s="1" t="s">
        <v>85</v>
      </c>
      <c r="S910" s="1" t="s">
        <v>23</v>
      </c>
      <c r="T910" s="1" t="s">
        <v>48</v>
      </c>
      <c r="U910" s="1"/>
      <c r="W910">
        <f>IF(Table1[[#This Row],[Claim_Amount]]&lt;0,0,Table1[[#This Row],[Claim_Amount]])</f>
        <v>0</v>
      </c>
      <c r="X910" t="str">
        <f>IF(Table1[[#This Row],[Column1]]=0,"",Table1[[#This Row],[Column1]])</f>
        <v/>
      </c>
      <c r="Y910" t="s">
        <v>1098</v>
      </c>
      <c r="Z910">
        <v>2481</v>
      </c>
      <c r="AA910">
        <v>832</v>
      </c>
      <c r="AB910" s="1" t="s">
        <v>1091</v>
      </c>
      <c r="AC910" s="1" t="s">
        <v>26</v>
      </c>
      <c r="AD910" s="1">
        <v>46</v>
      </c>
      <c r="AE910" s="3" t="s">
        <v>27</v>
      </c>
    </row>
    <row r="911" spans="1:31" ht="15.75" customHeight="1" x14ac:dyDescent="0.35">
      <c r="A911" s="1" t="s">
        <v>58</v>
      </c>
      <c r="B911" t="s">
        <v>1083</v>
      </c>
      <c r="C911" t="s">
        <v>1084</v>
      </c>
      <c r="D911" s="1" t="s">
        <v>1022</v>
      </c>
      <c r="E911" s="5">
        <v>45076</v>
      </c>
      <c r="F911" s="4" t="str">
        <f>IF(ISNUMBER(Table13[[#This Row],[Claim_Date2]]),"",Table13[[#This Row],[Claim_Date2]])</f>
        <v/>
      </c>
      <c r="G911" s="4" t="s">
        <v>1098</v>
      </c>
      <c r="H911" s="4" t="str">
        <f>LEFT(Table13[[#This Row],[Values Col 1]],3)</f>
        <v/>
      </c>
      <c r="I911" s="4" t="s">
        <v>1098</v>
      </c>
      <c r="J911" s="4" t="str">
        <f>MID(Table13[[#This Row],[Function Col]],5,2)</f>
        <v/>
      </c>
      <c r="K911" s="4" t="s">
        <v>1098</v>
      </c>
      <c r="L911" s="4" t="str">
        <f>RIGHT(Table13[[#This Row],[Function Col]],4)</f>
        <v/>
      </c>
      <c r="M911" s="4" t="s">
        <v>1098</v>
      </c>
      <c r="N911" s="4" t="str">
        <f>IF(Table13[[#This Row],[Function Col5]]="","",_xlfn.CONCAT(Table13[[#This Row],[Day Col]],"/",Table13[[#This Row],[Month Col]],"/",Table13[[#This Row],[Year Col]]))</f>
        <v/>
      </c>
      <c r="O911" s="4" t="s">
        <v>1098</v>
      </c>
      <c r="P911" s="4">
        <f>IF(ISNUMBER(Table13[[#This Row],[Claim_Date2]]),Table13[[#This Row],[Claim_Date2]],Table13[[#This Row],[Function Col32]])</f>
        <v>45076</v>
      </c>
      <c r="Q911" s="4">
        <v>45076</v>
      </c>
      <c r="R911" s="1" t="s">
        <v>30</v>
      </c>
      <c r="S911" s="1" t="s">
        <v>93</v>
      </c>
      <c r="T911" s="1" t="s">
        <v>54</v>
      </c>
      <c r="U911" s="1"/>
      <c r="V911" s="1">
        <v>-148</v>
      </c>
      <c r="W911" s="1">
        <f>IF(Table1[[#This Row],[Claim_Amount]]&lt;0,0,Table1[[#This Row],[Claim_Amount]])</f>
        <v>0</v>
      </c>
      <c r="X911" s="1" t="str">
        <f>IF(Table1[[#This Row],[Column1]]=0,"",Table1[[#This Row],[Column1]])</f>
        <v/>
      </c>
      <c r="Y911" s="1" t="s">
        <v>1098</v>
      </c>
      <c r="Z911" s="1">
        <v>2481</v>
      </c>
      <c r="AA911">
        <v>832</v>
      </c>
      <c r="AB911" s="1" t="s">
        <v>25</v>
      </c>
      <c r="AC911" s="1" t="s">
        <v>18</v>
      </c>
      <c r="AD911">
        <v>9</v>
      </c>
      <c r="AE911" s="3" t="s">
        <v>1097</v>
      </c>
    </row>
    <row r="912" spans="1:31" ht="15.75" customHeight="1" x14ac:dyDescent="0.35">
      <c r="A912" s="1" t="s">
        <v>110</v>
      </c>
      <c r="B912" t="s">
        <v>1083</v>
      </c>
      <c r="C912" t="s">
        <v>1084</v>
      </c>
      <c r="D912" s="1" t="s">
        <v>216</v>
      </c>
      <c r="E912" s="5">
        <v>45186</v>
      </c>
      <c r="F912" s="4" t="str">
        <f>IF(ISNUMBER(Table13[[#This Row],[Claim_Date2]]),"",Table13[[#This Row],[Claim_Date2]])</f>
        <v/>
      </c>
      <c r="G912" s="4" t="s">
        <v>1098</v>
      </c>
      <c r="H912" s="4" t="str">
        <f>LEFT(Table13[[#This Row],[Values Col 1]],3)</f>
        <v/>
      </c>
      <c r="I912" s="4" t="s">
        <v>1098</v>
      </c>
      <c r="J912" s="4" t="str">
        <f>MID(Table13[[#This Row],[Function Col]],5,2)</f>
        <v/>
      </c>
      <c r="K912" s="4" t="s">
        <v>1098</v>
      </c>
      <c r="L912" s="4" t="str">
        <f>RIGHT(Table13[[#This Row],[Function Col]],4)</f>
        <v/>
      </c>
      <c r="M912" s="4" t="s">
        <v>1098</v>
      </c>
      <c r="N912" s="4" t="str">
        <f>IF(Table13[[#This Row],[Function Col5]]="","",_xlfn.CONCAT(Table13[[#This Row],[Day Col]],"/",Table13[[#This Row],[Month Col]],"/",Table13[[#This Row],[Year Col]]))</f>
        <v/>
      </c>
      <c r="O912" s="4" t="s">
        <v>1098</v>
      </c>
      <c r="P912" s="4">
        <f>IF(ISNUMBER(Table13[[#This Row],[Claim_Date2]]),Table13[[#This Row],[Claim_Date2]],Table13[[#This Row],[Function Col32]])</f>
        <v>45186</v>
      </c>
      <c r="Q912" s="4">
        <v>45186</v>
      </c>
      <c r="R912" s="1" t="s">
        <v>16</v>
      </c>
      <c r="S912" s="1" t="s">
        <v>23</v>
      </c>
      <c r="T912" s="1" t="s">
        <v>54</v>
      </c>
      <c r="U912" s="1"/>
      <c r="W912">
        <f>IF(Table1[[#This Row],[Claim_Amount]]&lt;0,0,Table1[[#This Row],[Claim_Amount]])</f>
        <v>0</v>
      </c>
      <c r="X912" t="str">
        <f>IF(Table1[[#This Row],[Column1]]=0,"",Table1[[#This Row],[Column1]])</f>
        <v/>
      </c>
      <c r="Y912" t="s">
        <v>1098</v>
      </c>
      <c r="Z912">
        <v>2481</v>
      </c>
      <c r="AA912">
        <v>832</v>
      </c>
      <c r="AB912" s="1" t="s">
        <v>42</v>
      </c>
      <c r="AC912" s="1" t="s">
        <v>32</v>
      </c>
      <c r="AD912">
        <v>9</v>
      </c>
      <c r="AE912" s="3" t="s">
        <v>1097</v>
      </c>
    </row>
    <row r="913" spans="1:31" ht="15.75" customHeight="1" x14ac:dyDescent="0.35">
      <c r="A913" s="1" t="s">
        <v>38</v>
      </c>
      <c r="B913" s="1" t="s">
        <v>967</v>
      </c>
      <c r="C913" t="s">
        <v>1084</v>
      </c>
      <c r="D913" s="1" t="s">
        <v>259</v>
      </c>
      <c r="E913" s="5">
        <v>44989</v>
      </c>
      <c r="F913" s="4" t="str">
        <f>IF(ISNUMBER(Table13[[#This Row],[Claim_Date2]]),"",Table13[[#This Row],[Claim_Date2]])</f>
        <v/>
      </c>
      <c r="G913" s="4" t="s">
        <v>1098</v>
      </c>
      <c r="H913" s="4" t="str">
        <f>LEFT(Table13[[#This Row],[Values Col 1]],3)</f>
        <v/>
      </c>
      <c r="I913" s="4" t="s">
        <v>1098</v>
      </c>
      <c r="J913" s="4" t="str">
        <f>MID(Table13[[#This Row],[Function Col]],5,2)</f>
        <v/>
      </c>
      <c r="K913" s="4" t="s">
        <v>1098</v>
      </c>
      <c r="L913" s="4" t="str">
        <f>RIGHT(Table13[[#This Row],[Function Col]],4)</f>
        <v/>
      </c>
      <c r="M913" s="4" t="s">
        <v>1098</v>
      </c>
      <c r="N913" s="4" t="str">
        <f>IF(Table13[[#This Row],[Function Col5]]="","",_xlfn.CONCAT(Table13[[#This Row],[Day Col]],"/",Table13[[#This Row],[Month Col]],"/",Table13[[#This Row],[Year Col]]))</f>
        <v/>
      </c>
      <c r="O913" s="4" t="s">
        <v>1098</v>
      </c>
      <c r="P913" s="4">
        <f>IF(ISNUMBER(Table13[[#This Row],[Claim_Date2]]),Table13[[#This Row],[Claim_Date2]],Table13[[#This Row],[Function Col32]])</f>
        <v>44989</v>
      </c>
      <c r="Q913" s="4">
        <v>44989</v>
      </c>
      <c r="R913" s="1" t="s">
        <v>85</v>
      </c>
      <c r="S913" s="1" t="s">
        <v>31</v>
      </c>
      <c r="T913" s="1" t="s">
        <v>54</v>
      </c>
      <c r="U913" s="1"/>
      <c r="W913">
        <f>IF(Table1[[#This Row],[Claim_Amount]]&lt;0,0,Table1[[#This Row],[Claim_Amount]])</f>
        <v>0</v>
      </c>
      <c r="X913" t="str">
        <f>IF(Table1[[#This Row],[Column1]]=0,"",Table1[[#This Row],[Column1]])</f>
        <v/>
      </c>
      <c r="Y913" t="s">
        <v>1098</v>
      </c>
      <c r="Z913">
        <v>2481</v>
      </c>
      <c r="AA913">
        <v>832</v>
      </c>
      <c r="AB913" s="1" t="s">
        <v>42</v>
      </c>
      <c r="AC913" s="1" t="s">
        <v>18</v>
      </c>
      <c r="AD913">
        <v>9</v>
      </c>
      <c r="AE913" s="3" t="s">
        <v>37</v>
      </c>
    </row>
    <row r="914" spans="1:31" ht="15.75" customHeight="1" x14ac:dyDescent="0.35">
      <c r="A914" s="1" t="s">
        <v>168</v>
      </c>
      <c r="B914" t="s">
        <v>1083</v>
      </c>
      <c r="C914" s="1" t="s">
        <v>314</v>
      </c>
      <c r="D914" s="1" t="s">
        <v>169</v>
      </c>
      <c r="E914" s="5">
        <v>45167</v>
      </c>
      <c r="F914" s="4" t="str">
        <f>IF(ISNUMBER(Table13[[#This Row],[Claim_Date2]]),"",Table13[[#This Row],[Claim_Date2]])</f>
        <v/>
      </c>
      <c r="G914" s="4" t="s">
        <v>1098</v>
      </c>
      <c r="H914" s="4" t="str">
        <f>LEFT(Table13[[#This Row],[Values Col 1]],3)</f>
        <v/>
      </c>
      <c r="I914" s="4" t="s">
        <v>1098</v>
      </c>
      <c r="J914" s="4" t="str">
        <f>MID(Table13[[#This Row],[Function Col]],5,2)</f>
        <v/>
      </c>
      <c r="K914" s="4" t="s">
        <v>1098</v>
      </c>
      <c r="L914" s="4" t="str">
        <f>RIGHT(Table13[[#This Row],[Function Col]],4)</f>
        <v/>
      </c>
      <c r="M914" s="4" t="s">
        <v>1098</v>
      </c>
      <c r="N914" s="4" t="str">
        <f>IF(Table13[[#This Row],[Function Col5]]="","",_xlfn.CONCAT(Table13[[#This Row],[Day Col]],"/",Table13[[#This Row],[Month Col]],"/",Table13[[#This Row],[Year Col]]))</f>
        <v/>
      </c>
      <c r="O914" s="4" t="s">
        <v>1098</v>
      </c>
      <c r="P914" s="4">
        <f>IF(ISNUMBER(Table13[[#This Row],[Claim_Date2]]),Table13[[#This Row],[Claim_Date2]],Table13[[#This Row],[Function Col32]])</f>
        <v>45167</v>
      </c>
      <c r="Q914" s="4">
        <v>45167</v>
      </c>
      <c r="R914" s="1" t="s">
        <v>85</v>
      </c>
      <c r="S914" s="1" t="s">
        <v>93</v>
      </c>
      <c r="T914" s="1" t="s">
        <v>48</v>
      </c>
      <c r="U914" s="1"/>
      <c r="V914" s="1">
        <v>-167</v>
      </c>
      <c r="W914" s="1">
        <f>IF(Table1[[#This Row],[Claim_Amount]]&lt;0,0,Table1[[#This Row],[Claim_Amount]])</f>
        <v>0</v>
      </c>
      <c r="X914" s="1" t="str">
        <f>IF(Table1[[#This Row],[Column1]]=0,"",Table1[[#This Row],[Column1]])</f>
        <v/>
      </c>
      <c r="Y914" s="1" t="s">
        <v>1098</v>
      </c>
      <c r="Z914" s="1">
        <v>2481</v>
      </c>
      <c r="AA914" s="1">
        <v>3109.55</v>
      </c>
      <c r="AB914" s="1" t="s">
        <v>1091</v>
      </c>
      <c r="AC914" s="1" t="s">
        <v>57</v>
      </c>
      <c r="AD914" s="1">
        <v>11</v>
      </c>
      <c r="AE914" s="3" t="s">
        <v>19</v>
      </c>
    </row>
    <row r="915" spans="1:31" ht="15.75" customHeight="1" x14ac:dyDescent="0.35">
      <c r="A915" s="1" t="s">
        <v>82</v>
      </c>
      <c r="B915" s="1" t="s">
        <v>1023</v>
      </c>
      <c r="C915" t="s">
        <v>1084</v>
      </c>
      <c r="D915" s="1" t="s">
        <v>1024</v>
      </c>
      <c r="E915" s="5" t="s">
        <v>1024</v>
      </c>
      <c r="F915" s="4" t="str">
        <f>IF(ISNUMBER(Table13[[#This Row],[Claim_Date2]]),"",Table13[[#This Row],[Claim_Date2]])</f>
        <v>Mar 05 2023</v>
      </c>
      <c r="G915" s="4" t="s">
        <v>1024</v>
      </c>
      <c r="H915" s="4" t="str">
        <f>LEFT(Table13[[#This Row],[Values Col 1]],3)</f>
        <v>Mar</v>
      </c>
      <c r="I915" s="4" t="s">
        <v>1100</v>
      </c>
      <c r="J915" s="4" t="str">
        <f>MID(Table13[[#This Row],[Function Col]],5,2)</f>
        <v>05</v>
      </c>
      <c r="K915" s="4" t="s">
        <v>1144</v>
      </c>
      <c r="L915" s="4" t="str">
        <f>RIGHT(Table13[[#This Row],[Function Col]],4)</f>
        <v>2023</v>
      </c>
      <c r="M915" s="4" t="s">
        <v>1146</v>
      </c>
      <c r="N915" s="4" t="str">
        <f>IF(Table13[[#This Row],[Function Col5]]="","",_xlfn.CONCAT(Table13[[#This Row],[Day Col]],"/",Table13[[#This Row],[Month Col]],"/",Table13[[#This Row],[Year Col]]))</f>
        <v>05/Mar/2023</v>
      </c>
      <c r="O915" s="4" t="s">
        <v>1354</v>
      </c>
      <c r="P915" s="4" t="str">
        <f>IF(ISNUMBER(Table13[[#This Row],[Claim_Date2]]),Table13[[#This Row],[Claim_Date2]],Table13[[#This Row],[Function Col32]])</f>
        <v>05/Mar/2023</v>
      </c>
      <c r="Q915" s="4">
        <v>44990</v>
      </c>
      <c r="R915" s="1" t="s">
        <v>30</v>
      </c>
      <c r="S915" t="s">
        <v>1085</v>
      </c>
      <c r="T915" s="1" t="s">
        <v>61</v>
      </c>
      <c r="U915" s="1"/>
      <c r="W915">
        <f>IF(Table1[[#This Row],[Claim_Amount]]&lt;0,0,Table1[[#This Row],[Claim_Amount]])</f>
        <v>0</v>
      </c>
      <c r="X915" t="str">
        <f>IF(Table1[[#This Row],[Column1]]=0,"",Table1[[#This Row],[Column1]])</f>
        <v/>
      </c>
      <c r="Y915" t="s">
        <v>1098</v>
      </c>
      <c r="Z915">
        <v>2481</v>
      </c>
      <c r="AA915">
        <v>832</v>
      </c>
      <c r="AB915" s="1" t="s">
        <v>17</v>
      </c>
      <c r="AC915" s="1" t="s">
        <v>57</v>
      </c>
      <c r="AD915">
        <v>9</v>
      </c>
      <c r="AE915" s="3" t="s">
        <v>37</v>
      </c>
    </row>
    <row r="916" spans="1:31" ht="15.75" customHeight="1" x14ac:dyDescent="0.35">
      <c r="A916" s="1" t="s">
        <v>170</v>
      </c>
      <c r="B916" s="1" t="s">
        <v>1025</v>
      </c>
      <c r="C916" s="1" t="s">
        <v>80</v>
      </c>
      <c r="D916" s="1" t="s">
        <v>579</v>
      </c>
      <c r="E916" s="5">
        <v>45258</v>
      </c>
      <c r="F916" s="4" t="str">
        <f>IF(ISNUMBER(Table13[[#This Row],[Claim_Date2]]),"",Table13[[#This Row],[Claim_Date2]])</f>
        <v/>
      </c>
      <c r="G916" s="4" t="s">
        <v>1098</v>
      </c>
      <c r="H916" s="4" t="str">
        <f>LEFT(Table13[[#This Row],[Values Col 1]],3)</f>
        <v/>
      </c>
      <c r="I916" s="4" t="s">
        <v>1098</v>
      </c>
      <c r="J916" s="4" t="str">
        <f>MID(Table13[[#This Row],[Function Col]],5,2)</f>
        <v/>
      </c>
      <c r="K916" s="4" t="s">
        <v>1098</v>
      </c>
      <c r="L916" s="4" t="str">
        <f>RIGHT(Table13[[#This Row],[Function Col]],4)</f>
        <v/>
      </c>
      <c r="M916" s="4" t="s">
        <v>1098</v>
      </c>
      <c r="N916" s="4" t="str">
        <f>IF(Table13[[#This Row],[Function Col5]]="","",_xlfn.CONCAT(Table13[[#This Row],[Day Col]],"/",Table13[[#This Row],[Month Col]],"/",Table13[[#This Row],[Year Col]]))</f>
        <v/>
      </c>
      <c r="O916" s="4" t="s">
        <v>1098</v>
      </c>
      <c r="P916" s="4">
        <f>IF(ISNUMBER(Table13[[#This Row],[Claim_Date2]]),Table13[[#This Row],[Claim_Date2]],Table13[[#This Row],[Function Col32]])</f>
        <v>45258</v>
      </c>
      <c r="Q916" s="4">
        <v>45258</v>
      </c>
      <c r="R916" s="1" t="s">
        <v>92</v>
      </c>
      <c r="S916" s="1" t="s">
        <v>93</v>
      </c>
      <c r="T916" s="1" t="s">
        <v>24</v>
      </c>
      <c r="U916" s="1"/>
      <c r="V916" s="1">
        <v>-46</v>
      </c>
      <c r="W916" s="1">
        <f>IF(Table1[[#This Row],[Claim_Amount]]&lt;0,0,Table1[[#This Row],[Claim_Amount]])</f>
        <v>0</v>
      </c>
      <c r="X916" s="1" t="str">
        <f>IF(Table1[[#This Row],[Column1]]=0,"",Table1[[#This Row],[Column1]])</f>
        <v/>
      </c>
      <c r="Y916" s="1" t="s">
        <v>1098</v>
      </c>
      <c r="Z916" s="1">
        <v>2481</v>
      </c>
      <c r="AA916">
        <v>832</v>
      </c>
      <c r="AB916" s="1" t="s">
        <v>17</v>
      </c>
      <c r="AC916" s="1" t="s">
        <v>57</v>
      </c>
      <c r="AD916">
        <v>9</v>
      </c>
      <c r="AE916" s="3" t="s">
        <v>27</v>
      </c>
    </row>
    <row r="917" spans="1:31" ht="15.75" customHeight="1" x14ac:dyDescent="0.35">
      <c r="A917" s="1" t="s">
        <v>70</v>
      </c>
      <c r="B917" s="1" t="s">
        <v>638</v>
      </c>
      <c r="C917" s="1" t="s">
        <v>792</v>
      </c>
      <c r="D917" s="1" t="s">
        <v>725</v>
      </c>
      <c r="E917" s="5" t="s">
        <v>725</v>
      </c>
      <c r="F917" s="4" t="str">
        <f>IF(ISNUMBER(Table13[[#This Row],[Claim_Date2]]),"",Table13[[#This Row],[Claim_Date2]])</f>
        <v>Jul 08 2023</v>
      </c>
      <c r="G917" s="4" t="s">
        <v>725</v>
      </c>
      <c r="H917" s="4" t="str">
        <f>LEFT(Table13[[#This Row],[Values Col 1]],3)</f>
        <v>Jul</v>
      </c>
      <c r="I917" s="4" t="s">
        <v>1101</v>
      </c>
      <c r="J917" s="4" t="str">
        <f>MID(Table13[[#This Row],[Function Col]],5,2)</f>
        <v>08</v>
      </c>
      <c r="K917" s="4" t="s">
        <v>1119</v>
      </c>
      <c r="L917" s="4" t="str">
        <f>RIGHT(Table13[[#This Row],[Function Col]],4)</f>
        <v>2023</v>
      </c>
      <c r="M917" s="4" t="s">
        <v>1146</v>
      </c>
      <c r="N917" s="4" t="str">
        <f>IF(Table13[[#This Row],[Function Col5]]="","",_xlfn.CONCAT(Table13[[#This Row],[Day Col]],"/",Table13[[#This Row],[Month Col]],"/",Table13[[#This Row],[Year Col]]))</f>
        <v>08/Jul/2023</v>
      </c>
      <c r="O917" s="4" t="s">
        <v>1281</v>
      </c>
      <c r="P917" s="4" t="str">
        <f>IF(ISNUMBER(Table13[[#This Row],[Claim_Date2]]),Table13[[#This Row],[Claim_Date2]],Table13[[#This Row],[Function Col32]])</f>
        <v>08/Jul/2023</v>
      </c>
      <c r="Q917" s="4">
        <v>45115</v>
      </c>
      <c r="R917" s="1" t="s">
        <v>16</v>
      </c>
      <c r="S917" s="1" t="s">
        <v>47</v>
      </c>
      <c r="T917" s="1" t="s">
        <v>48</v>
      </c>
      <c r="U917" s="1"/>
      <c r="W917">
        <f>IF(Table1[[#This Row],[Claim_Amount]]&lt;0,0,Table1[[#This Row],[Claim_Amount]])</f>
        <v>0</v>
      </c>
      <c r="X917" t="str">
        <f>IF(Table1[[#This Row],[Column1]]=0,"",Table1[[#This Row],[Column1]])</f>
        <v/>
      </c>
      <c r="Y917" t="s">
        <v>1098</v>
      </c>
      <c r="Z917">
        <v>2481</v>
      </c>
      <c r="AA917" s="1">
        <v>456.73</v>
      </c>
      <c r="AB917" s="1" t="s">
        <v>25</v>
      </c>
      <c r="AC917" s="1" t="s">
        <v>32</v>
      </c>
      <c r="AD917">
        <v>9</v>
      </c>
      <c r="AE917" s="3" t="s">
        <v>37</v>
      </c>
    </row>
    <row r="918" spans="1:31" ht="15.75" customHeight="1" x14ac:dyDescent="0.35">
      <c r="A918" s="1" t="s">
        <v>132</v>
      </c>
      <c r="B918" t="s">
        <v>1083</v>
      </c>
      <c r="C918" t="s">
        <v>1084</v>
      </c>
      <c r="D918" s="1" t="s">
        <v>101</v>
      </c>
      <c r="E918" s="5">
        <v>44948</v>
      </c>
      <c r="F918" s="4" t="str">
        <f>IF(ISNUMBER(Table13[[#This Row],[Claim_Date2]]),"",Table13[[#This Row],[Claim_Date2]])</f>
        <v/>
      </c>
      <c r="G918" s="4" t="s">
        <v>1098</v>
      </c>
      <c r="H918" s="4" t="str">
        <f>LEFT(Table13[[#This Row],[Values Col 1]],3)</f>
        <v/>
      </c>
      <c r="I918" s="4" t="s">
        <v>1098</v>
      </c>
      <c r="J918" s="4" t="str">
        <f>MID(Table13[[#This Row],[Function Col]],5,2)</f>
        <v/>
      </c>
      <c r="K918" s="4" t="s">
        <v>1098</v>
      </c>
      <c r="L918" s="4" t="str">
        <f>RIGHT(Table13[[#This Row],[Function Col]],4)</f>
        <v/>
      </c>
      <c r="M918" s="4" t="s">
        <v>1098</v>
      </c>
      <c r="N918" s="4" t="str">
        <f>IF(Table13[[#This Row],[Function Col5]]="","",_xlfn.CONCAT(Table13[[#This Row],[Day Col]],"/",Table13[[#This Row],[Month Col]],"/",Table13[[#This Row],[Year Col]]))</f>
        <v/>
      </c>
      <c r="O918" s="4" t="s">
        <v>1098</v>
      </c>
      <c r="P918" s="4">
        <f>IF(ISNUMBER(Table13[[#This Row],[Claim_Date2]]),Table13[[#This Row],[Claim_Date2]],Table13[[#This Row],[Function Col32]])</f>
        <v>44948</v>
      </c>
      <c r="Q918" s="4">
        <v>44948</v>
      </c>
      <c r="R918" s="1" t="s">
        <v>16</v>
      </c>
      <c r="S918" t="s">
        <v>1085</v>
      </c>
      <c r="T918" s="1" t="s">
        <v>41</v>
      </c>
      <c r="U918" s="1"/>
      <c r="W918">
        <f>IF(Table1[[#This Row],[Claim_Amount]]&lt;0,0,Table1[[#This Row],[Claim_Amount]])</f>
        <v>0</v>
      </c>
      <c r="X918" t="str">
        <f>IF(Table1[[#This Row],[Column1]]=0,"",Table1[[#This Row],[Column1]])</f>
        <v/>
      </c>
      <c r="Y918" t="s">
        <v>1098</v>
      </c>
      <c r="Z918">
        <v>2481</v>
      </c>
      <c r="AA918">
        <v>832</v>
      </c>
      <c r="AB918" s="1" t="s">
        <v>25</v>
      </c>
      <c r="AC918" s="1" t="s">
        <v>26</v>
      </c>
      <c r="AD918">
        <v>9</v>
      </c>
      <c r="AE918" s="3" t="s">
        <v>27</v>
      </c>
    </row>
    <row r="919" spans="1:31" ht="15.75" customHeight="1" x14ac:dyDescent="0.35">
      <c r="A919" s="1" t="s">
        <v>70</v>
      </c>
      <c r="B919" t="s">
        <v>1083</v>
      </c>
      <c r="C919" s="1" t="s">
        <v>986</v>
      </c>
      <c r="D919" s="1" t="s">
        <v>116</v>
      </c>
      <c r="E919" s="5">
        <v>45042</v>
      </c>
      <c r="F919" s="4" t="str">
        <f>IF(ISNUMBER(Table13[[#This Row],[Claim_Date2]]),"",Table13[[#This Row],[Claim_Date2]])</f>
        <v/>
      </c>
      <c r="G919" s="4" t="s">
        <v>1098</v>
      </c>
      <c r="H919" s="4" t="str">
        <f>LEFT(Table13[[#This Row],[Values Col 1]],3)</f>
        <v/>
      </c>
      <c r="I919" s="4" t="s">
        <v>1098</v>
      </c>
      <c r="J919" s="4" t="str">
        <f>MID(Table13[[#This Row],[Function Col]],5,2)</f>
        <v/>
      </c>
      <c r="K919" s="4" t="s">
        <v>1098</v>
      </c>
      <c r="L919" s="4" t="str">
        <f>RIGHT(Table13[[#This Row],[Function Col]],4)</f>
        <v/>
      </c>
      <c r="M919" s="4" t="s">
        <v>1098</v>
      </c>
      <c r="N919" s="4" t="str">
        <f>IF(Table13[[#This Row],[Function Col5]]="","",_xlfn.CONCAT(Table13[[#This Row],[Day Col]],"/",Table13[[#This Row],[Month Col]],"/",Table13[[#This Row],[Year Col]]))</f>
        <v/>
      </c>
      <c r="O919" s="4" t="s">
        <v>1098</v>
      </c>
      <c r="P919" s="4">
        <f>IF(ISNUMBER(Table13[[#This Row],[Claim_Date2]]),Table13[[#This Row],[Claim_Date2]],Table13[[#This Row],[Function Col32]])</f>
        <v>45042</v>
      </c>
      <c r="Q919" s="4">
        <v>45042</v>
      </c>
      <c r="R919" s="1" t="s">
        <v>30</v>
      </c>
      <c r="S919" t="s">
        <v>1085</v>
      </c>
      <c r="T919" s="1" t="s">
        <v>54</v>
      </c>
      <c r="U919" s="1"/>
      <c r="W919">
        <f>IF(Table1[[#This Row],[Claim_Amount]]&lt;0,0,Table1[[#This Row],[Claim_Amount]])</f>
        <v>0</v>
      </c>
      <c r="X919" t="str">
        <f>IF(Table1[[#This Row],[Column1]]=0,"",Table1[[#This Row],[Column1]])</f>
        <v/>
      </c>
      <c r="Y919" t="s">
        <v>1098</v>
      </c>
      <c r="Z919">
        <v>2481</v>
      </c>
      <c r="AA919" s="1">
        <v>3641.2</v>
      </c>
      <c r="AB919" s="1" t="s">
        <v>25</v>
      </c>
      <c r="AC919" s="1" t="s">
        <v>57</v>
      </c>
      <c r="AD919">
        <v>9</v>
      </c>
      <c r="AE919" s="3" t="s">
        <v>19</v>
      </c>
    </row>
    <row r="920" spans="1:31" ht="15.75" customHeight="1" x14ac:dyDescent="0.35">
      <c r="A920" s="1" t="s">
        <v>275</v>
      </c>
      <c r="B920" t="s">
        <v>1083</v>
      </c>
      <c r="C920" t="s">
        <v>1084</v>
      </c>
      <c r="D920" s="1" t="s">
        <v>1026</v>
      </c>
      <c r="E920" s="5">
        <v>45254</v>
      </c>
      <c r="F920" s="4" t="str">
        <f>IF(ISNUMBER(Table13[[#This Row],[Claim_Date2]]),"",Table13[[#This Row],[Claim_Date2]])</f>
        <v/>
      </c>
      <c r="G920" s="4" t="s">
        <v>1098</v>
      </c>
      <c r="H920" s="4" t="str">
        <f>LEFT(Table13[[#This Row],[Values Col 1]],3)</f>
        <v/>
      </c>
      <c r="I920" s="4" t="s">
        <v>1098</v>
      </c>
      <c r="J920" s="4" t="str">
        <f>MID(Table13[[#This Row],[Function Col]],5,2)</f>
        <v/>
      </c>
      <c r="K920" s="4" t="s">
        <v>1098</v>
      </c>
      <c r="L920" s="4" t="str">
        <f>RIGHT(Table13[[#This Row],[Function Col]],4)</f>
        <v/>
      </c>
      <c r="M920" s="4" t="s">
        <v>1098</v>
      </c>
      <c r="N920" s="4" t="str">
        <f>IF(Table13[[#This Row],[Function Col5]]="","",_xlfn.CONCAT(Table13[[#This Row],[Day Col]],"/",Table13[[#This Row],[Month Col]],"/",Table13[[#This Row],[Year Col]]))</f>
        <v/>
      </c>
      <c r="O920" s="4" t="s">
        <v>1098</v>
      </c>
      <c r="P920" s="4">
        <f>IF(ISNUMBER(Table13[[#This Row],[Claim_Date2]]),Table13[[#This Row],[Claim_Date2]],Table13[[#This Row],[Function Col32]])</f>
        <v>45254</v>
      </c>
      <c r="Q920" s="4">
        <v>45254</v>
      </c>
      <c r="R920" s="1" t="s">
        <v>85</v>
      </c>
      <c r="S920" s="1" t="s">
        <v>93</v>
      </c>
      <c r="T920" s="1" t="s">
        <v>24</v>
      </c>
      <c r="U920" s="1"/>
      <c r="W920">
        <f>IF(Table1[[#This Row],[Claim_Amount]]&lt;0,0,Table1[[#This Row],[Claim_Amount]])</f>
        <v>0</v>
      </c>
      <c r="X920" t="str">
        <f>IF(Table1[[#This Row],[Column1]]=0,"",Table1[[#This Row],[Column1]])</f>
        <v/>
      </c>
      <c r="Y920" t="s">
        <v>1098</v>
      </c>
      <c r="Z920">
        <v>2481</v>
      </c>
      <c r="AA920">
        <v>832</v>
      </c>
      <c r="AB920" s="1" t="s">
        <v>1091</v>
      </c>
      <c r="AC920" s="1" t="s">
        <v>32</v>
      </c>
      <c r="AD920">
        <v>9</v>
      </c>
      <c r="AE920" s="3" t="s">
        <v>19</v>
      </c>
    </row>
    <row r="921" spans="1:31" ht="15.75" customHeight="1" x14ac:dyDescent="0.35">
      <c r="A921" s="1" t="s">
        <v>78</v>
      </c>
      <c r="B921" s="1" t="s">
        <v>270</v>
      </c>
      <c r="C921" s="1" t="s">
        <v>119</v>
      </c>
      <c r="D921" s="1" t="s">
        <v>250</v>
      </c>
      <c r="E921" s="5" t="s">
        <v>250</v>
      </c>
      <c r="F921" s="4" t="str">
        <f>IF(ISNUMBER(Table13[[#This Row],[Claim_Date2]]),"",Table13[[#This Row],[Claim_Date2]])</f>
        <v>Dec 31 2023</v>
      </c>
      <c r="G921" s="4" t="s">
        <v>250</v>
      </c>
      <c r="H921" s="4" t="str">
        <f>LEFT(Table13[[#This Row],[Values Col 1]],3)</f>
        <v>Dec</v>
      </c>
      <c r="I921" s="4" t="s">
        <v>1111</v>
      </c>
      <c r="J921" s="4" t="str">
        <f>MID(Table13[[#This Row],[Function Col]],5,2)</f>
        <v>31</v>
      </c>
      <c r="K921" s="4" t="s">
        <v>1133</v>
      </c>
      <c r="L921" s="4" t="str">
        <f>RIGHT(Table13[[#This Row],[Function Col]],4)</f>
        <v>2023</v>
      </c>
      <c r="M921" s="4" t="s">
        <v>1146</v>
      </c>
      <c r="N921" s="4" t="str">
        <f>IF(Table13[[#This Row],[Function Col5]]="","",_xlfn.CONCAT(Table13[[#This Row],[Day Col]],"/",Table13[[#This Row],[Month Col]],"/",Table13[[#This Row],[Year Col]]))</f>
        <v>31/Dec/2023</v>
      </c>
      <c r="O921" s="4" t="s">
        <v>1180</v>
      </c>
      <c r="P921" s="4" t="str">
        <f>IF(ISNUMBER(Table13[[#This Row],[Claim_Date2]]),Table13[[#This Row],[Claim_Date2]],Table13[[#This Row],[Function Col32]])</f>
        <v>31/Dec/2023</v>
      </c>
      <c r="Q921" s="4">
        <v>45291</v>
      </c>
      <c r="R921" s="1" t="s">
        <v>77</v>
      </c>
      <c r="S921" s="1" t="s">
        <v>47</v>
      </c>
      <c r="T921" s="1" t="s">
        <v>48</v>
      </c>
      <c r="U921" s="1"/>
      <c r="V921" s="1">
        <v>3620.2</v>
      </c>
      <c r="W921" s="1">
        <f>IF(Table1[[#This Row],[Claim_Amount]]&lt;0,0,Table1[[#This Row],[Claim_Amount]])</f>
        <v>3620.2</v>
      </c>
      <c r="X921" s="1">
        <f>IF(Table1[[#This Row],[Column1]]=0,"",Table1[[#This Row],[Column1]])</f>
        <v>3620.2</v>
      </c>
      <c r="Y921" s="1">
        <v>3620.2</v>
      </c>
      <c r="Z921" s="1">
        <v>3620.2</v>
      </c>
      <c r="AA921" s="1">
        <v>3051.96</v>
      </c>
      <c r="AB921" s="1" t="s">
        <v>17</v>
      </c>
      <c r="AC921" s="1" t="s">
        <v>57</v>
      </c>
      <c r="AD921">
        <v>9</v>
      </c>
      <c r="AE921" s="3" t="s">
        <v>65</v>
      </c>
    </row>
    <row r="922" spans="1:31" ht="15.75" customHeight="1" x14ac:dyDescent="0.35">
      <c r="A922" s="1" t="s">
        <v>117</v>
      </c>
      <c r="B922" s="1" t="s">
        <v>1027</v>
      </c>
      <c r="C922" t="s">
        <v>1084</v>
      </c>
      <c r="D922" s="1" t="s">
        <v>116</v>
      </c>
      <c r="E922" s="5">
        <v>45042</v>
      </c>
      <c r="F922" s="4" t="str">
        <f>IF(ISNUMBER(Table13[[#This Row],[Claim_Date2]]),"",Table13[[#This Row],[Claim_Date2]])</f>
        <v/>
      </c>
      <c r="G922" s="4" t="s">
        <v>1098</v>
      </c>
      <c r="H922" s="4" t="str">
        <f>LEFT(Table13[[#This Row],[Values Col 1]],3)</f>
        <v/>
      </c>
      <c r="I922" s="4" t="s">
        <v>1098</v>
      </c>
      <c r="J922" s="4" t="str">
        <f>MID(Table13[[#This Row],[Function Col]],5,2)</f>
        <v/>
      </c>
      <c r="K922" s="4" t="s">
        <v>1098</v>
      </c>
      <c r="L922" s="4" t="str">
        <f>RIGHT(Table13[[#This Row],[Function Col]],4)</f>
        <v/>
      </c>
      <c r="M922" s="4" t="s">
        <v>1098</v>
      </c>
      <c r="N922" s="4" t="str">
        <f>IF(Table13[[#This Row],[Function Col5]]="","",_xlfn.CONCAT(Table13[[#This Row],[Day Col]],"/",Table13[[#This Row],[Month Col]],"/",Table13[[#This Row],[Year Col]]))</f>
        <v/>
      </c>
      <c r="O922" s="4" t="s">
        <v>1098</v>
      </c>
      <c r="P922" s="4">
        <f>IF(ISNUMBER(Table13[[#This Row],[Claim_Date2]]),Table13[[#This Row],[Claim_Date2]],Table13[[#This Row],[Function Col32]])</f>
        <v>45042</v>
      </c>
      <c r="Q922" s="4">
        <v>45042</v>
      </c>
      <c r="R922" s="1" t="s">
        <v>16</v>
      </c>
      <c r="S922" s="1" t="s">
        <v>23</v>
      </c>
      <c r="T922" s="1" t="s">
        <v>61</v>
      </c>
      <c r="U922" s="1"/>
      <c r="V922" s="1">
        <v>-166</v>
      </c>
      <c r="W922" s="1">
        <f>IF(Table1[[#This Row],[Claim_Amount]]&lt;0,0,Table1[[#This Row],[Claim_Amount]])</f>
        <v>0</v>
      </c>
      <c r="X922" s="1" t="str">
        <f>IF(Table1[[#This Row],[Column1]]=0,"",Table1[[#This Row],[Column1]])</f>
        <v/>
      </c>
      <c r="Y922" s="1" t="s">
        <v>1098</v>
      </c>
      <c r="Z922" s="1">
        <v>2481</v>
      </c>
      <c r="AA922">
        <v>832</v>
      </c>
      <c r="AB922" s="1" t="s">
        <v>25</v>
      </c>
      <c r="AC922" s="1" t="s">
        <v>26</v>
      </c>
      <c r="AD922">
        <v>9</v>
      </c>
      <c r="AE922" s="3" t="s">
        <v>37</v>
      </c>
    </row>
    <row r="923" spans="1:31" ht="15.75" customHeight="1" x14ac:dyDescent="0.35">
      <c r="A923" s="1" t="s">
        <v>202</v>
      </c>
      <c r="B923" t="s">
        <v>1083</v>
      </c>
      <c r="C923" s="1" t="s">
        <v>530</v>
      </c>
      <c r="D923" s="1" t="s">
        <v>738</v>
      </c>
      <c r="E923" s="5">
        <v>44932</v>
      </c>
      <c r="F923" s="4" t="str">
        <f>IF(ISNUMBER(Table13[[#This Row],[Claim_Date2]]),"",Table13[[#This Row],[Claim_Date2]])</f>
        <v/>
      </c>
      <c r="G923" s="4" t="s">
        <v>1098</v>
      </c>
      <c r="H923" s="4" t="str">
        <f>LEFT(Table13[[#This Row],[Values Col 1]],3)</f>
        <v/>
      </c>
      <c r="I923" s="4" t="s">
        <v>1098</v>
      </c>
      <c r="J923" s="4" t="str">
        <f>MID(Table13[[#This Row],[Function Col]],5,2)</f>
        <v/>
      </c>
      <c r="K923" s="4" t="s">
        <v>1098</v>
      </c>
      <c r="L923" s="4" t="str">
        <f>RIGHT(Table13[[#This Row],[Function Col]],4)</f>
        <v/>
      </c>
      <c r="M923" s="4" t="s">
        <v>1098</v>
      </c>
      <c r="N923" s="4" t="str">
        <f>IF(Table13[[#This Row],[Function Col5]]="","",_xlfn.CONCAT(Table13[[#This Row],[Day Col]],"/",Table13[[#This Row],[Month Col]],"/",Table13[[#This Row],[Year Col]]))</f>
        <v/>
      </c>
      <c r="O923" s="4" t="s">
        <v>1098</v>
      </c>
      <c r="P923" s="4">
        <f>IF(ISNUMBER(Table13[[#This Row],[Claim_Date2]]),Table13[[#This Row],[Claim_Date2]],Table13[[#This Row],[Function Col32]])</f>
        <v>44932</v>
      </c>
      <c r="Q923" s="4">
        <v>44932</v>
      </c>
      <c r="R923" s="1" t="s">
        <v>85</v>
      </c>
      <c r="S923" s="1" t="s">
        <v>23</v>
      </c>
      <c r="T923" s="1" t="s">
        <v>54</v>
      </c>
      <c r="U923" s="1"/>
      <c r="V923" s="1">
        <v>578.39</v>
      </c>
      <c r="W923" s="1">
        <f>IF(Table1[[#This Row],[Claim_Amount]]&lt;0,0,Table1[[#This Row],[Claim_Amount]])</f>
        <v>578.39</v>
      </c>
      <c r="X923" s="1">
        <f>IF(Table1[[#This Row],[Column1]]=0,"",Table1[[#This Row],[Column1]])</f>
        <v>578.39</v>
      </c>
      <c r="Y923" s="1">
        <v>578.39</v>
      </c>
      <c r="Z923" s="1">
        <v>578.39</v>
      </c>
      <c r="AA923">
        <v>832</v>
      </c>
      <c r="AB923" s="1" t="s">
        <v>1091</v>
      </c>
      <c r="AC923" s="1" t="s">
        <v>26</v>
      </c>
      <c r="AD923">
        <v>9</v>
      </c>
      <c r="AE923" s="3" t="s">
        <v>37</v>
      </c>
    </row>
    <row r="924" spans="1:31" ht="15.75" customHeight="1" x14ac:dyDescent="0.35">
      <c r="A924" s="1" t="s">
        <v>114</v>
      </c>
      <c r="B924" t="s">
        <v>1083</v>
      </c>
      <c r="C924" t="s">
        <v>1084</v>
      </c>
      <c r="D924" s="1" t="s">
        <v>151</v>
      </c>
      <c r="E924" s="5">
        <v>45062</v>
      </c>
      <c r="F924" s="4" t="str">
        <f>IF(ISNUMBER(Table13[[#This Row],[Claim_Date2]]),"",Table13[[#This Row],[Claim_Date2]])</f>
        <v/>
      </c>
      <c r="G924" s="4" t="s">
        <v>1098</v>
      </c>
      <c r="H924" s="4" t="str">
        <f>LEFT(Table13[[#This Row],[Values Col 1]],3)</f>
        <v/>
      </c>
      <c r="I924" s="4" t="s">
        <v>1098</v>
      </c>
      <c r="J924" s="4" t="str">
        <f>MID(Table13[[#This Row],[Function Col]],5,2)</f>
        <v/>
      </c>
      <c r="K924" s="4" t="s">
        <v>1098</v>
      </c>
      <c r="L924" s="4" t="str">
        <f>RIGHT(Table13[[#This Row],[Function Col]],4)</f>
        <v/>
      </c>
      <c r="M924" s="4" t="s">
        <v>1098</v>
      </c>
      <c r="N924" s="4" t="str">
        <f>IF(Table13[[#This Row],[Function Col5]]="","",_xlfn.CONCAT(Table13[[#This Row],[Day Col]],"/",Table13[[#This Row],[Month Col]],"/",Table13[[#This Row],[Year Col]]))</f>
        <v/>
      </c>
      <c r="O924" s="4" t="s">
        <v>1098</v>
      </c>
      <c r="P924" s="4">
        <f>IF(ISNUMBER(Table13[[#This Row],[Claim_Date2]]),Table13[[#This Row],[Claim_Date2]],Table13[[#This Row],[Function Col32]])</f>
        <v>45062</v>
      </c>
      <c r="Q924" s="4">
        <v>45062</v>
      </c>
      <c r="R924" s="1" t="s">
        <v>16</v>
      </c>
      <c r="S924" s="1" t="s">
        <v>53</v>
      </c>
      <c r="T924" s="1" t="s">
        <v>61</v>
      </c>
      <c r="U924" s="1"/>
      <c r="W924">
        <f>IF(Table1[[#This Row],[Claim_Amount]]&lt;0,0,Table1[[#This Row],[Claim_Amount]])</f>
        <v>0</v>
      </c>
      <c r="X924" t="str">
        <f>IF(Table1[[#This Row],[Column1]]=0,"",Table1[[#This Row],[Column1]])</f>
        <v/>
      </c>
      <c r="Y924" t="s">
        <v>1098</v>
      </c>
      <c r="Z924">
        <v>2481</v>
      </c>
      <c r="AA924">
        <v>832</v>
      </c>
      <c r="AB924" s="1" t="s">
        <v>42</v>
      </c>
      <c r="AC924" s="1" t="s">
        <v>18</v>
      </c>
      <c r="AD924" s="1">
        <v>56</v>
      </c>
      <c r="AE924" s="3" t="s">
        <v>19</v>
      </c>
    </row>
    <row r="925" spans="1:31" ht="15.75" customHeight="1" x14ac:dyDescent="0.35">
      <c r="A925" s="1" t="s">
        <v>192</v>
      </c>
      <c r="B925" s="1" t="s">
        <v>575</v>
      </c>
      <c r="C925" t="s">
        <v>1084</v>
      </c>
      <c r="D925" s="1" t="s">
        <v>598</v>
      </c>
      <c r="E925" s="5">
        <v>44982</v>
      </c>
      <c r="F925" s="4" t="str">
        <f>IF(ISNUMBER(Table13[[#This Row],[Claim_Date2]]),"",Table13[[#This Row],[Claim_Date2]])</f>
        <v/>
      </c>
      <c r="G925" s="4" t="s">
        <v>1098</v>
      </c>
      <c r="H925" s="4" t="str">
        <f>LEFT(Table13[[#This Row],[Values Col 1]],3)</f>
        <v/>
      </c>
      <c r="I925" s="4" t="s">
        <v>1098</v>
      </c>
      <c r="J925" s="4" t="str">
        <f>MID(Table13[[#This Row],[Function Col]],5,2)</f>
        <v/>
      </c>
      <c r="K925" s="4" t="s">
        <v>1098</v>
      </c>
      <c r="L925" s="4" t="str">
        <f>RIGHT(Table13[[#This Row],[Function Col]],4)</f>
        <v/>
      </c>
      <c r="M925" s="4" t="s">
        <v>1098</v>
      </c>
      <c r="N925" s="4" t="str">
        <f>IF(Table13[[#This Row],[Function Col5]]="","",_xlfn.CONCAT(Table13[[#This Row],[Day Col]],"/",Table13[[#This Row],[Month Col]],"/",Table13[[#This Row],[Year Col]]))</f>
        <v/>
      </c>
      <c r="O925" s="4" t="s">
        <v>1098</v>
      </c>
      <c r="P925" s="4">
        <f>IF(ISNUMBER(Table13[[#This Row],[Claim_Date2]]),Table13[[#This Row],[Claim_Date2]],Table13[[#This Row],[Function Col32]])</f>
        <v>44982</v>
      </c>
      <c r="Q925" s="4">
        <v>44982</v>
      </c>
      <c r="R925" s="1" t="s">
        <v>85</v>
      </c>
      <c r="S925" s="1" t="s">
        <v>53</v>
      </c>
      <c r="T925" s="1" t="s">
        <v>54</v>
      </c>
      <c r="U925" s="1"/>
      <c r="W925">
        <f>IF(Table1[[#This Row],[Claim_Amount]]&lt;0,0,Table1[[#This Row],[Claim_Amount]])</f>
        <v>0</v>
      </c>
      <c r="X925" t="str">
        <f>IF(Table1[[#This Row],[Column1]]=0,"",Table1[[#This Row],[Column1]])</f>
        <v/>
      </c>
      <c r="Y925" t="s">
        <v>1098</v>
      </c>
      <c r="Z925">
        <v>2481</v>
      </c>
      <c r="AA925">
        <v>832</v>
      </c>
      <c r="AB925" s="1" t="s">
        <v>17</v>
      </c>
      <c r="AC925" s="1" t="s">
        <v>18</v>
      </c>
      <c r="AD925">
        <v>9</v>
      </c>
      <c r="AE925" s="3" t="s">
        <v>65</v>
      </c>
    </row>
    <row r="926" spans="1:31" ht="15.75" customHeight="1" x14ac:dyDescent="0.35">
      <c r="A926" s="1" t="s">
        <v>187</v>
      </c>
      <c r="B926" t="s">
        <v>1083</v>
      </c>
      <c r="C926" s="1" t="s">
        <v>613</v>
      </c>
      <c r="D926" s="1" t="s">
        <v>298</v>
      </c>
      <c r="E926" s="5">
        <v>45049</v>
      </c>
      <c r="F926" s="4" t="str">
        <f>IF(ISNUMBER(Table13[[#This Row],[Claim_Date2]]),"",Table13[[#This Row],[Claim_Date2]])</f>
        <v/>
      </c>
      <c r="G926" s="4" t="s">
        <v>1098</v>
      </c>
      <c r="H926" s="4" t="str">
        <f>LEFT(Table13[[#This Row],[Values Col 1]],3)</f>
        <v/>
      </c>
      <c r="I926" s="4" t="s">
        <v>1098</v>
      </c>
      <c r="J926" s="4" t="str">
        <f>MID(Table13[[#This Row],[Function Col]],5,2)</f>
        <v/>
      </c>
      <c r="K926" s="4" t="s">
        <v>1098</v>
      </c>
      <c r="L926" s="4" t="str">
        <f>RIGHT(Table13[[#This Row],[Function Col]],4)</f>
        <v/>
      </c>
      <c r="M926" s="4" t="s">
        <v>1098</v>
      </c>
      <c r="N926" s="4" t="str">
        <f>IF(Table13[[#This Row],[Function Col5]]="","",_xlfn.CONCAT(Table13[[#This Row],[Day Col]],"/",Table13[[#This Row],[Month Col]],"/",Table13[[#This Row],[Year Col]]))</f>
        <v/>
      </c>
      <c r="O926" s="4" t="s">
        <v>1098</v>
      </c>
      <c r="P926" s="4">
        <f>IF(ISNUMBER(Table13[[#This Row],[Claim_Date2]]),Table13[[#This Row],[Claim_Date2]],Table13[[#This Row],[Function Col32]])</f>
        <v>45049</v>
      </c>
      <c r="Q926" s="4">
        <v>45049</v>
      </c>
      <c r="R926" s="1" t="s">
        <v>92</v>
      </c>
      <c r="S926" s="1" t="s">
        <v>31</v>
      </c>
      <c r="T926" s="1" t="s">
        <v>48</v>
      </c>
      <c r="U926" s="1"/>
      <c r="V926" s="1">
        <v>429.89</v>
      </c>
      <c r="W926" s="1">
        <f>IF(Table1[[#This Row],[Claim_Amount]]&lt;0,0,Table1[[#This Row],[Claim_Amount]])</f>
        <v>429.89</v>
      </c>
      <c r="X926" s="1">
        <f>IF(Table1[[#This Row],[Column1]]=0,"",Table1[[#This Row],[Column1]])</f>
        <v>429.89</v>
      </c>
      <c r="Y926" s="1">
        <v>429.89</v>
      </c>
      <c r="Z926" s="1">
        <v>429.89</v>
      </c>
      <c r="AA926">
        <v>832</v>
      </c>
      <c r="AB926" s="1" t="s">
        <v>42</v>
      </c>
      <c r="AC926" s="1" t="s">
        <v>18</v>
      </c>
      <c r="AD926">
        <v>9</v>
      </c>
      <c r="AE926" s="3" t="s">
        <v>37</v>
      </c>
    </row>
    <row r="927" spans="1:31" ht="15.75" customHeight="1" x14ac:dyDescent="0.35">
      <c r="A927" s="1" t="s">
        <v>148</v>
      </c>
      <c r="B927" t="s">
        <v>1083</v>
      </c>
      <c r="C927" s="1" t="s">
        <v>150</v>
      </c>
      <c r="D927" s="1" t="s">
        <v>549</v>
      </c>
      <c r="E927" s="5">
        <v>45048</v>
      </c>
      <c r="F927" s="4" t="str">
        <f>IF(ISNUMBER(Table13[[#This Row],[Claim_Date2]]),"",Table13[[#This Row],[Claim_Date2]])</f>
        <v/>
      </c>
      <c r="G927" s="4" t="s">
        <v>1098</v>
      </c>
      <c r="H927" s="4" t="str">
        <f>LEFT(Table13[[#This Row],[Values Col 1]],3)</f>
        <v/>
      </c>
      <c r="I927" s="4" t="s">
        <v>1098</v>
      </c>
      <c r="J927" s="4" t="str">
        <f>MID(Table13[[#This Row],[Function Col]],5,2)</f>
        <v/>
      </c>
      <c r="K927" s="4" t="s">
        <v>1098</v>
      </c>
      <c r="L927" s="4" t="str">
        <f>RIGHT(Table13[[#This Row],[Function Col]],4)</f>
        <v/>
      </c>
      <c r="M927" s="4" t="s">
        <v>1098</v>
      </c>
      <c r="N927" s="4" t="str">
        <f>IF(Table13[[#This Row],[Function Col5]]="","",_xlfn.CONCAT(Table13[[#This Row],[Day Col]],"/",Table13[[#This Row],[Month Col]],"/",Table13[[#This Row],[Year Col]]))</f>
        <v/>
      </c>
      <c r="O927" s="4" t="s">
        <v>1098</v>
      </c>
      <c r="P927" s="4">
        <f>IF(ISNUMBER(Table13[[#This Row],[Claim_Date2]]),Table13[[#This Row],[Claim_Date2]],Table13[[#This Row],[Function Col32]])</f>
        <v>45048</v>
      </c>
      <c r="Q927" s="4">
        <v>45048</v>
      </c>
      <c r="R927" s="1" t="s">
        <v>77</v>
      </c>
      <c r="S927" s="1" t="s">
        <v>53</v>
      </c>
      <c r="T927" t="s">
        <v>1086</v>
      </c>
      <c r="V927" s="1">
        <v>279.47000000000003</v>
      </c>
      <c r="W927" s="1">
        <f>IF(Table1[[#This Row],[Claim_Amount]]&lt;0,0,Table1[[#This Row],[Claim_Amount]])</f>
        <v>279.47000000000003</v>
      </c>
      <c r="X927" s="1">
        <f>IF(Table1[[#This Row],[Column1]]=0,"",Table1[[#This Row],[Column1]])</f>
        <v>279.47000000000003</v>
      </c>
      <c r="Y927" s="1">
        <v>279.47000000000003</v>
      </c>
      <c r="Z927" s="1">
        <v>279.47000000000003</v>
      </c>
      <c r="AA927" s="1">
        <v>626.74</v>
      </c>
      <c r="AB927" s="1" t="s">
        <v>25</v>
      </c>
      <c r="AC927" s="1" t="s">
        <v>26</v>
      </c>
      <c r="AD927" s="1">
        <v>60</v>
      </c>
      <c r="AE927" s="3" t="s">
        <v>65</v>
      </c>
    </row>
    <row r="928" spans="1:31" ht="15.75" customHeight="1" x14ac:dyDescent="0.35">
      <c r="A928" s="1" t="s">
        <v>82</v>
      </c>
      <c r="B928" s="1" t="s">
        <v>691</v>
      </c>
      <c r="C928" t="s">
        <v>1084</v>
      </c>
      <c r="D928" s="1" t="s">
        <v>1028</v>
      </c>
      <c r="E928" s="5">
        <v>45130</v>
      </c>
      <c r="F928" s="4" t="str">
        <f>IF(ISNUMBER(Table13[[#This Row],[Claim_Date2]]),"",Table13[[#This Row],[Claim_Date2]])</f>
        <v/>
      </c>
      <c r="G928" s="4" t="s">
        <v>1098</v>
      </c>
      <c r="H928" s="4" t="str">
        <f>LEFT(Table13[[#This Row],[Values Col 1]],3)</f>
        <v/>
      </c>
      <c r="I928" s="4" t="s">
        <v>1098</v>
      </c>
      <c r="J928" s="4" t="str">
        <f>MID(Table13[[#This Row],[Function Col]],5,2)</f>
        <v/>
      </c>
      <c r="K928" s="4" t="s">
        <v>1098</v>
      </c>
      <c r="L928" s="4" t="str">
        <f>RIGHT(Table13[[#This Row],[Function Col]],4)</f>
        <v/>
      </c>
      <c r="M928" s="4" t="s">
        <v>1098</v>
      </c>
      <c r="N928" s="4" t="str">
        <f>IF(Table13[[#This Row],[Function Col5]]="","",_xlfn.CONCAT(Table13[[#This Row],[Day Col]],"/",Table13[[#This Row],[Month Col]],"/",Table13[[#This Row],[Year Col]]))</f>
        <v/>
      </c>
      <c r="O928" s="4" t="s">
        <v>1098</v>
      </c>
      <c r="P928" s="4">
        <f>IF(ISNUMBER(Table13[[#This Row],[Claim_Date2]]),Table13[[#This Row],[Claim_Date2]],Table13[[#This Row],[Function Col32]])</f>
        <v>45130</v>
      </c>
      <c r="Q928" s="4">
        <v>45130</v>
      </c>
      <c r="R928" s="1" t="s">
        <v>77</v>
      </c>
      <c r="S928" s="1" t="s">
        <v>93</v>
      </c>
      <c r="T928" t="s">
        <v>1086</v>
      </c>
      <c r="W928">
        <f>IF(Table1[[#This Row],[Claim_Amount]]&lt;0,0,Table1[[#This Row],[Claim_Amount]])</f>
        <v>0</v>
      </c>
      <c r="X928" t="str">
        <f>IF(Table1[[#This Row],[Column1]]=0,"",Table1[[#This Row],[Column1]])</f>
        <v/>
      </c>
      <c r="Y928" t="s">
        <v>1098</v>
      </c>
      <c r="Z928">
        <v>2481</v>
      </c>
      <c r="AA928" s="1">
        <v>544.73</v>
      </c>
      <c r="AB928" s="1" t="s">
        <v>17</v>
      </c>
      <c r="AC928" s="1" t="s">
        <v>32</v>
      </c>
      <c r="AD928">
        <v>9</v>
      </c>
      <c r="AE928" s="3" t="s">
        <v>27</v>
      </c>
    </row>
    <row r="929" spans="1:31" ht="15.75" customHeight="1" x14ac:dyDescent="0.35">
      <c r="A929" s="1" t="s">
        <v>82</v>
      </c>
      <c r="B929" t="s">
        <v>1083</v>
      </c>
      <c r="C929" s="1" t="s">
        <v>228</v>
      </c>
      <c r="D929" s="1" t="s">
        <v>1029</v>
      </c>
      <c r="E929" s="5">
        <v>45219</v>
      </c>
      <c r="F929" s="4" t="str">
        <f>IF(ISNUMBER(Table13[[#This Row],[Claim_Date2]]),"",Table13[[#This Row],[Claim_Date2]])</f>
        <v/>
      </c>
      <c r="G929" s="4" t="s">
        <v>1098</v>
      </c>
      <c r="H929" s="4" t="str">
        <f>LEFT(Table13[[#This Row],[Values Col 1]],3)</f>
        <v/>
      </c>
      <c r="I929" s="4" t="s">
        <v>1098</v>
      </c>
      <c r="J929" s="4" t="str">
        <f>MID(Table13[[#This Row],[Function Col]],5,2)</f>
        <v/>
      </c>
      <c r="K929" s="4" t="s">
        <v>1098</v>
      </c>
      <c r="L929" s="4" t="str">
        <f>RIGHT(Table13[[#This Row],[Function Col]],4)</f>
        <v/>
      </c>
      <c r="M929" s="4" t="s">
        <v>1098</v>
      </c>
      <c r="N929" s="4" t="str">
        <f>IF(Table13[[#This Row],[Function Col5]]="","",_xlfn.CONCAT(Table13[[#This Row],[Day Col]],"/",Table13[[#This Row],[Month Col]],"/",Table13[[#This Row],[Year Col]]))</f>
        <v/>
      </c>
      <c r="O929" s="4" t="s">
        <v>1098</v>
      </c>
      <c r="P929" s="4">
        <f>IF(ISNUMBER(Table13[[#This Row],[Claim_Date2]]),Table13[[#This Row],[Claim_Date2]],Table13[[#This Row],[Function Col32]])</f>
        <v>45219</v>
      </c>
      <c r="Q929" s="4">
        <v>45219</v>
      </c>
      <c r="R929" s="1" t="s">
        <v>16</v>
      </c>
      <c r="S929" s="1" t="s">
        <v>53</v>
      </c>
      <c r="T929" s="1" t="s">
        <v>48</v>
      </c>
      <c r="U929" s="1"/>
      <c r="W929">
        <f>IF(Table1[[#This Row],[Claim_Amount]]&lt;0,0,Table1[[#This Row],[Claim_Amount]])</f>
        <v>0</v>
      </c>
      <c r="X929" t="str">
        <f>IF(Table1[[#This Row],[Column1]]=0,"",Table1[[#This Row],[Column1]])</f>
        <v/>
      </c>
      <c r="Y929" t="s">
        <v>1098</v>
      </c>
      <c r="Z929">
        <v>2481</v>
      </c>
      <c r="AA929">
        <v>832</v>
      </c>
      <c r="AB929" s="1" t="s">
        <v>42</v>
      </c>
      <c r="AC929" s="1" t="s">
        <v>32</v>
      </c>
      <c r="AD929" s="1">
        <v>47</v>
      </c>
      <c r="AE929" s="3" t="s">
        <v>19</v>
      </c>
    </row>
    <row r="930" spans="1:31" ht="15.75" customHeight="1" x14ac:dyDescent="0.35">
      <c r="A930" s="1" t="s">
        <v>170</v>
      </c>
      <c r="B930" t="s">
        <v>1083</v>
      </c>
      <c r="C930" t="s">
        <v>1084</v>
      </c>
      <c r="D930" s="1" t="s">
        <v>545</v>
      </c>
      <c r="E930" s="5">
        <v>45026</v>
      </c>
      <c r="F930" s="4" t="str">
        <f>IF(ISNUMBER(Table13[[#This Row],[Claim_Date2]]),"",Table13[[#This Row],[Claim_Date2]])</f>
        <v/>
      </c>
      <c r="G930" s="4" t="s">
        <v>1098</v>
      </c>
      <c r="H930" s="4" t="str">
        <f>LEFT(Table13[[#This Row],[Values Col 1]],3)</f>
        <v/>
      </c>
      <c r="I930" s="4" t="s">
        <v>1098</v>
      </c>
      <c r="J930" s="4" t="str">
        <f>MID(Table13[[#This Row],[Function Col]],5,2)</f>
        <v/>
      </c>
      <c r="K930" s="4" t="s">
        <v>1098</v>
      </c>
      <c r="L930" s="4" t="str">
        <f>RIGHT(Table13[[#This Row],[Function Col]],4)</f>
        <v/>
      </c>
      <c r="M930" s="4" t="s">
        <v>1098</v>
      </c>
      <c r="N930" s="4" t="str">
        <f>IF(Table13[[#This Row],[Function Col5]]="","",_xlfn.CONCAT(Table13[[#This Row],[Day Col]],"/",Table13[[#This Row],[Month Col]],"/",Table13[[#This Row],[Year Col]]))</f>
        <v/>
      </c>
      <c r="O930" s="4" t="s">
        <v>1098</v>
      </c>
      <c r="P930" s="4">
        <f>IF(ISNUMBER(Table13[[#This Row],[Claim_Date2]]),Table13[[#This Row],[Claim_Date2]],Table13[[#This Row],[Function Col32]])</f>
        <v>45026</v>
      </c>
      <c r="Q930" s="4">
        <v>45026</v>
      </c>
      <c r="R930" s="1" t="s">
        <v>77</v>
      </c>
      <c r="S930" t="s">
        <v>1085</v>
      </c>
      <c r="T930" s="1" t="s">
        <v>54</v>
      </c>
      <c r="U930" s="1"/>
      <c r="W930">
        <f>IF(Table1[[#This Row],[Claim_Amount]]&lt;0,0,Table1[[#This Row],[Claim_Amount]])</f>
        <v>0</v>
      </c>
      <c r="X930" t="str">
        <f>IF(Table1[[#This Row],[Column1]]=0,"",Table1[[#This Row],[Column1]])</f>
        <v/>
      </c>
      <c r="Y930" t="s">
        <v>1098</v>
      </c>
      <c r="Z930">
        <v>2481</v>
      </c>
      <c r="AA930" s="1">
        <v>2066.91</v>
      </c>
      <c r="AB930" s="1" t="s">
        <v>17</v>
      </c>
      <c r="AC930" s="1" t="s">
        <v>32</v>
      </c>
      <c r="AD930">
        <v>9</v>
      </c>
      <c r="AE930" s="3" t="s">
        <v>19</v>
      </c>
    </row>
    <row r="931" spans="1:31" ht="15.75" customHeight="1" x14ac:dyDescent="0.35">
      <c r="A931" s="1" t="s">
        <v>82</v>
      </c>
      <c r="B931" t="s">
        <v>1083</v>
      </c>
      <c r="C931" t="s">
        <v>1084</v>
      </c>
      <c r="D931" s="1" t="s">
        <v>822</v>
      </c>
      <c r="E931" s="5" t="s">
        <v>822</v>
      </c>
      <c r="F931" s="4" t="str">
        <f>IF(ISNUMBER(Table13[[#This Row],[Claim_Date2]]),"",Table13[[#This Row],[Claim_Date2]])</f>
        <v>Jan 10 2023</v>
      </c>
      <c r="G931" s="4" t="s">
        <v>822</v>
      </c>
      <c r="H931" s="4" t="str">
        <f>LEFT(Table13[[#This Row],[Values Col 1]],3)</f>
        <v>Jan</v>
      </c>
      <c r="I931" s="4" t="s">
        <v>1107</v>
      </c>
      <c r="J931" s="4" t="str">
        <f>MID(Table13[[#This Row],[Function Col]],5,2)</f>
        <v>10</v>
      </c>
      <c r="K931" s="4" t="s">
        <v>1128</v>
      </c>
      <c r="L931" s="4" t="str">
        <f>RIGHT(Table13[[#This Row],[Function Col]],4)</f>
        <v>2023</v>
      </c>
      <c r="M931" s="4" t="s">
        <v>1146</v>
      </c>
      <c r="N931" s="4" t="str">
        <f>IF(Table13[[#This Row],[Function Col5]]="","",_xlfn.CONCAT(Table13[[#This Row],[Day Col]],"/",Table13[[#This Row],[Month Col]],"/",Table13[[#This Row],[Year Col]]))</f>
        <v>10/Jan/2023</v>
      </c>
      <c r="O931" s="4" t="s">
        <v>1306</v>
      </c>
      <c r="P931" s="4" t="str">
        <f>IF(ISNUMBER(Table13[[#This Row],[Claim_Date2]]),Table13[[#This Row],[Claim_Date2]],Table13[[#This Row],[Function Col32]])</f>
        <v>10/Jan/2023</v>
      </c>
      <c r="Q931" s="4">
        <v>44936</v>
      </c>
      <c r="R931" s="1" t="s">
        <v>85</v>
      </c>
      <c r="S931" s="1" t="s">
        <v>23</v>
      </c>
      <c r="T931" s="1" t="s">
        <v>54</v>
      </c>
      <c r="U931" s="1"/>
      <c r="V931" s="1">
        <v>1872.8</v>
      </c>
      <c r="W931" s="1">
        <f>IF(Table1[[#This Row],[Claim_Amount]]&lt;0,0,Table1[[#This Row],[Claim_Amount]])</f>
        <v>1872.8</v>
      </c>
      <c r="X931" s="1">
        <f>IF(Table1[[#This Row],[Column1]]=0,"",Table1[[#This Row],[Column1]])</f>
        <v>1872.8</v>
      </c>
      <c r="Y931" s="1">
        <v>1872.8</v>
      </c>
      <c r="Z931" s="1">
        <v>1872.8</v>
      </c>
      <c r="AA931">
        <v>832</v>
      </c>
      <c r="AB931" s="1" t="s">
        <v>1091</v>
      </c>
      <c r="AC931" s="1" t="s">
        <v>18</v>
      </c>
      <c r="AD931" s="1">
        <v>59</v>
      </c>
      <c r="AE931" s="3" t="s">
        <v>37</v>
      </c>
    </row>
    <row r="932" spans="1:31" ht="15.75" customHeight="1" x14ac:dyDescent="0.35">
      <c r="A932" s="1" t="s">
        <v>247</v>
      </c>
      <c r="B932" s="1" t="s">
        <v>631</v>
      </c>
      <c r="C932" t="s">
        <v>1084</v>
      </c>
      <c r="D932" s="1" t="s">
        <v>1030</v>
      </c>
      <c r="E932" s="5" t="s">
        <v>1030</v>
      </c>
      <c r="F932" s="4" t="str">
        <f>IF(ISNUMBER(Table13[[#This Row],[Claim_Date2]]),"",Table13[[#This Row],[Claim_Date2]])</f>
        <v>Jul 12 2023</v>
      </c>
      <c r="G932" s="4" t="s">
        <v>1030</v>
      </c>
      <c r="H932" s="4" t="str">
        <f>LEFT(Table13[[#This Row],[Values Col 1]],3)</f>
        <v>Jul</v>
      </c>
      <c r="I932" s="4" t="s">
        <v>1101</v>
      </c>
      <c r="J932" s="4" t="str">
        <f>MID(Table13[[#This Row],[Function Col]],5,2)</f>
        <v>12</v>
      </c>
      <c r="K932" s="4" t="s">
        <v>1135</v>
      </c>
      <c r="L932" s="4" t="str">
        <f>RIGHT(Table13[[#This Row],[Function Col]],4)</f>
        <v>2023</v>
      </c>
      <c r="M932" s="4" t="s">
        <v>1146</v>
      </c>
      <c r="N932" s="4" t="str">
        <f>IF(Table13[[#This Row],[Function Col5]]="","",_xlfn.CONCAT(Table13[[#This Row],[Day Col]],"/",Table13[[#This Row],[Month Col]],"/",Table13[[#This Row],[Year Col]]))</f>
        <v>12/Jul/2023</v>
      </c>
      <c r="O932" s="4" t="s">
        <v>1355</v>
      </c>
      <c r="P932" s="4" t="str">
        <f>IF(ISNUMBER(Table13[[#This Row],[Claim_Date2]]),Table13[[#This Row],[Claim_Date2]],Table13[[#This Row],[Function Col32]])</f>
        <v>12/Jul/2023</v>
      </c>
      <c r="Q932" s="4">
        <v>45119</v>
      </c>
      <c r="R932" s="1" t="s">
        <v>92</v>
      </c>
      <c r="S932" s="1" t="s">
        <v>47</v>
      </c>
      <c r="T932" t="s">
        <v>1086</v>
      </c>
      <c r="V932" s="1">
        <v>-163</v>
      </c>
      <c r="W932" s="1">
        <f>IF(Table1[[#This Row],[Claim_Amount]]&lt;0,0,Table1[[#This Row],[Claim_Amount]])</f>
        <v>0</v>
      </c>
      <c r="X932" s="1" t="str">
        <f>IF(Table1[[#This Row],[Column1]]=0,"",Table1[[#This Row],[Column1]])</f>
        <v/>
      </c>
      <c r="Y932" s="1" t="s">
        <v>1098</v>
      </c>
      <c r="Z932" s="1">
        <v>2481</v>
      </c>
      <c r="AA932">
        <v>832</v>
      </c>
      <c r="AB932" s="1" t="s">
        <v>42</v>
      </c>
      <c r="AC932" s="1" t="s">
        <v>18</v>
      </c>
      <c r="AD932">
        <v>9</v>
      </c>
      <c r="AE932" s="3" t="s">
        <v>1097</v>
      </c>
    </row>
    <row r="933" spans="1:31" ht="15.75" customHeight="1" x14ac:dyDescent="0.35">
      <c r="A933" s="1" t="s">
        <v>33</v>
      </c>
      <c r="B933" t="s">
        <v>1083</v>
      </c>
      <c r="C933" s="1" t="s">
        <v>455</v>
      </c>
      <c r="D933" s="1" t="s">
        <v>1031</v>
      </c>
      <c r="E933" s="5">
        <v>45216</v>
      </c>
      <c r="F933" s="4" t="str">
        <f>IF(ISNUMBER(Table13[[#This Row],[Claim_Date2]]),"",Table13[[#This Row],[Claim_Date2]])</f>
        <v/>
      </c>
      <c r="G933" s="4" t="s">
        <v>1098</v>
      </c>
      <c r="H933" s="4" t="str">
        <f>LEFT(Table13[[#This Row],[Values Col 1]],3)</f>
        <v/>
      </c>
      <c r="I933" s="4" t="s">
        <v>1098</v>
      </c>
      <c r="J933" s="4" t="str">
        <f>MID(Table13[[#This Row],[Function Col]],5,2)</f>
        <v/>
      </c>
      <c r="K933" s="4" t="s">
        <v>1098</v>
      </c>
      <c r="L933" s="4" t="str">
        <f>RIGHT(Table13[[#This Row],[Function Col]],4)</f>
        <v/>
      </c>
      <c r="M933" s="4" t="s">
        <v>1098</v>
      </c>
      <c r="N933" s="4" t="str">
        <f>IF(Table13[[#This Row],[Function Col5]]="","",_xlfn.CONCAT(Table13[[#This Row],[Day Col]],"/",Table13[[#This Row],[Month Col]],"/",Table13[[#This Row],[Year Col]]))</f>
        <v/>
      </c>
      <c r="O933" s="4" t="s">
        <v>1098</v>
      </c>
      <c r="P933" s="4">
        <f>IF(ISNUMBER(Table13[[#This Row],[Claim_Date2]]),Table13[[#This Row],[Claim_Date2]],Table13[[#This Row],[Function Col32]])</f>
        <v>45216</v>
      </c>
      <c r="Q933" s="4">
        <v>45216</v>
      </c>
      <c r="R933" s="1" t="s">
        <v>16</v>
      </c>
      <c r="S933" s="1" t="s">
        <v>47</v>
      </c>
      <c r="T933" s="1" t="s">
        <v>41</v>
      </c>
      <c r="U933" s="1"/>
      <c r="W933">
        <f>IF(Table1[[#This Row],[Claim_Amount]]&lt;0,0,Table1[[#This Row],[Claim_Amount]])</f>
        <v>0</v>
      </c>
      <c r="X933" t="str">
        <f>IF(Table1[[#This Row],[Column1]]=0,"",Table1[[#This Row],[Column1]])</f>
        <v/>
      </c>
      <c r="Y933" t="s">
        <v>1098</v>
      </c>
      <c r="Z933">
        <v>2481</v>
      </c>
      <c r="AA933" s="1">
        <v>4458.17</v>
      </c>
      <c r="AB933" s="1" t="s">
        <v>17</v>
      </c>
      <c r="AC933" s="1" t="s">
        <v>18</v>
      </c>
      <c r="AD933" s="1">
        <v>18</v>
      </c>
      <c r="AE933" s="3" t="s">
        <v>37</v>
      </c>
    </row>
    <row r="934" spans="1:31" ht="15.75" customHeight="1" x14ac:dyDescent="0.35">
      <c r="A934" s="1" t="s">
        <v>78</v>
      </c>
      <c r="B934" t="s">
        <v>1083</v>
      </c>
      <c r="C934" t="s">
        <v>1084</v>
      </c>
      <c r="D934" s="1" t="s">
        <v>1032</v>
      </c>
      <c r="E934" s="5" t="s">
        <v>1032</v>
      </c>
      <c r="F934" s="4" t="str">
        <f>IF(ISNUMBER(Table13[[#This Row],[Claim_Date2]]),"",Table13[[#This Row],[Claim_Date2]])</f>
        <v>Jan 12 2023</v>
      </c>
      <c r="G934" s="4" t="s">
        <v>1032</v>
      </c>
      <c r="H934" s="4" t="str">
        <f>LEFT(Table13[[#This Row],[Values Col 1]],3)</f>
        <v>Jan</v>
      </c>
      <c r="I934" s="4" t="s">
        <v>1107</v>
      </c>
      <c r="J934" s="4" t="str">
        <f>MID(Table13[[#This Row],[Function Col]],5,2)</f>
        <v>12</v>
      </c>
      <c r="K934" s="4" t="s">
        <v>1135</v>
      </c>
      <c r="L934" s="4" t="str">
        <f>RIGHT(Table13[[#This Row],[Function Col]],4)</f>
        <v>2023</v>
      </c>
      <c r="M934" s="4" t="s">
        <v>1146</v>
      </c>
      <c r="N934" s="4" t="str">
        <f>IF(Table13[[#This Row],[Function Col5]]="","",_xlfn.CONCAT(Table13[[#This Row],[Day Col]],"/",Table13[[#This Row],[Month Col]],"/",Table13[[#This Row],[Year Col]]))</f>
        <v>12/Jan/2023</v>
      </c>
      <c r="O934" s="4" t="s">
        <v>1356</v>
      </c>
      <c r="P934" s="4" t="str">
        <f>IF(ISNUMBER(Table13[[#This Row],[Claim_Date2]]),Table13[[#This Row],[Claim_Date2]],Table13[[#This Row],[Function Col32]])</f>
        <v>12/Jan/2023</v>
      </c>
      <c r="Q934" s="4">
        <v>44938</v>
      </c>
      <c r="R934" s="1" t="s">
        <v>77</v>
      </c>
      <c r="S934" s="1" t="s">
        <v>93</v>
      </c>
      <c r="T934" s="1" t="s">
        <v>48</v>
      </c>
      <c r="U934" s="1"/>
      <c r="V934" s="1">
        <v>-127</v>
      </c>
      <c r="W934" s="1">
        <f>IF(Table1[[#This Row],[Claim_Amount]]&lt;0,0,Table1[[#This Row],[Claim_Amount]])</f>
        <v>0</v>
      </c>
      <c r="X934" s="1" t="str">
        <f>IF(Table1[[#This Row],[Column1]]=0,"",Table1[[#This Row],[Column1]])</f>
        <v/>
      </c>
      <c r="Y934" s="1" t="s">
        <v>1098</v>
      </c>
      <c r="Z934" s="1">
        <v>2481</v>
      </c>
      <c r="AA934" s="1">
        <v>4863.1000000000004</v>
      </c>
      <c r="AB934" s="1" t="s">
        <v>25</v>
      </c>
      <c r="AC934" s="1" t="s">
        <v>18</v>
      </c>
      <c r="AD934" s="1">
        <v>47</v>
      </c>
      <c r="AE934" s="3" t="s">
        <v>27</v>
      </c>
    </row>
    <row r="935" spans="1:31" ht="15.75" customHeight="1" x14ac:dyDescent="0.35">
      <c r="A935" s="1" t="s">
        <v>20</v>
      </c>
      <c r="B935" s="1" t="s">
        <v>1033</v>
      </c>
      <c r="C935" s="1" t="s">
        <v>354</v>
      </c>
      <c r="D935" s="1" t="s">
        <v>429</v>
      </c>
      <c r="E935" s="5" t="s">
        <v>429</v>
      </c>
      <c r="F935" s="4" t="str">
        <f>IF(ISNUMBER(Table13[[#This Row],[Claim_Date2]]),"",Table13[[#This Row],[Claim_Date2]])</f>
        <v>Dec 06 2023</v>
      </c>
      <c r="G935" s="4" t="s">
        <v>429</v>
      </c>
      <c r="H935" s="4" t="str">
        <f>LEFT(Table13[[#This Row],[Values Col 1]],3)</f>
        <v>Dec</v>
      </c>
      <c r="I935" s="4" t="s">
        <v>1111</v>
      </c>
      <c r="J935" s="4" t="str">
        <f>MID(Table13[[#This Row],[Function Col]],5,2)</f>
        <v>06</v>
      </c>
      <c r="K935" s="4" t="s">
        <v>1132</v>
      </c>
      <c r="L935" s="4" t="str">
        <f>RIGHT(Table13[[#This Row],[Function Col]],4)</f>
        <v>2023</v>
      </c>
      <c r="M935" s="4" t="s">
        <v>1146</v>
      </c>
      <c r="N935" s="4" t="str">
        <f>IF(Table13[[#This Row],[Function Col5]]="","",_xlfn.CONCAT(Table13[[#This Row],[Day Col]],"/",Table13[[#This Row],[Month Col]],"/",Table13[[#This Row],[Year Col]]))</f>
        <v>06/Dec/2023</v>
      </c>
      <c r="O935" s="4" t="s">
        <v>1219</v>
      </c>
      <c r="P935" s="4" t="str">
        <f>IF(ISNUMBER(Table13[[#This Row],[Claim_Date2]]),Table13[[#This Row],[Claim_Date2]],Table13[[#This Row],[Function Col32]])</f>
        <v>06/Dec/2023</v>
      </c>
      <c r="Q935" s="4">
        <v>45266</v>
      </c>
      <c r="R935" s="1" t="s">
        <v>92</v>
      </c>
      <c r="S935" t="s">
        <v>1085</v>
      </c>
      <c r="T935" s="1" t="s">
        <v>24</v>
      </c>
      <c r="U935" s="1"/>
      <c r="W935">
        <f>IF(Table1[[#This Row],[Claim_Amount]]&lt;0,0,Table1[[#This Row],[Claim_Amount]])</f>
        <v>0</v>
      </c>
      <c r="X935" t="str">
        <f>IF(Table1[[#This Row],[Column1]]=0,"",Table1[[#This Row],[Column1]])</f>
        <v/>
      </c>
      <c r="Y935" t="s">
        <v>1098</v>
      </c>
      <c r="Z935">
        <v>2481</v>
      </c>
      <c r="AA935">
        <v>832</v>
      </c>
      <c r="AB935" s="1" t="s">
        <v>25</v>
      </c>
      <c r="AC935" s="1" t="s">
        <v>32</v>
      </c>
      <c r="AD935" s="1">
        <v>52</v>
      </c>
      <c r="AE935" s="3" t="s">
        <v>27</v>
      </c>
    </row>
    <row r="936" spans="1:31" ht="15.75" customHeight="1" x14ac:dyDescent="0.35">
      <c r="A936" s="1" t="s">
        <v>70</v>
      </c>
      <c r="B936" s="1" t="s">
        <v>898</v>
      </c>
      <c r="C936" t="s">
        <v>1084</v>
      </c>
      <c r="D936" s="1" t="s">
        <v>707</v>
      </c>
      <c r="E936" s="5">
        <v>45101</v>
      </c>
      <c r="F936" s="4" t="str">
        <f>IF(ISNUMBER(Table13[[#This Row],[Claim_Date2]]),"",Table13[[#This Row],[Claim_Date2]])</f>
        <v/>
      </c>
      <c r="G936" s="4" t="s">
        <v>1098</v>
      </c>
      <c r="H936" s="4" t="str">
        <f>LEFT(Table13[[#This Row],[Values Col 1]],3)</f>
        <v/>
      </c>
      <c r="I936" s="4" t="s">
        <v>1098</v>
      </c>
      <c r="J936" s="4" t="str">
        <f>MID(Table13[[#This Row],[Function Col]],5,2)</f>
        <v/>
      </c>
      <c r="K936" s="4" t="s">
        <v>1098</v>
      </c>
      <c r="L936" s="4" t="str">
        <f>RIGHT(Table13[[#This Row],[Function Col]],4)</f>
        <v/>
      </c>
      <c r="M936" s="4" t="s">
        <v>1098</v>
      </c>
      <c r="N936" s="4" t="str">
        <f>IF(Table13[[#This Row],[Function Col5]]="","",_xlfn.CONCAT(Table13[[#This Row],[Day Col]],"/",Table13[[#This Row],[Month Col]],"/",Table13[[#This Row],[Year Col]]))</f>
        <v/>
      </c>
      <c r="O936" s="4" t="s">
        <v>1098</v>
      </c>
      <c r="P936" s="4">
        <f>IF(ISNUMBER(Table13[[#This Row],[Claim_Date2]]),Table13[[#This Row],[Claim_Date2]],Table13[[#This Row],[Function Col32]])</f>
        <v>45101</v>
      </c>
      <c r="Q936" s="4">
        <v>45101</v>
      </c>
      <c r="R936" s="1" t="s">
        <v>77</v>
      </c>
      <c r="S936" s="1" t="s">
        <v>47</v>
      </c>
      <c r="T936" s="1" t="s">
        <v>41</v>
      </c>
      <c r="U936" s="1"/>
      <c r="V936" s="1">
        <v>-47</v>
      </c>
      <c r="W936" s="1">
        <f>IF(Table1[[#This Row],[Claim_Amount]]&lt;0,0,Table1[[#This Row],[Claim_Amount]])</f>
        <v>0</v>
      </c>
      <c r="X936" s="1" t="str">
        <f>IF(Table1[[#This Row],[Column1]]=0,"",Table1[[#This Row],[Column1]])</f>
        <v/>
      </c>
      <c r="Y936" s="1" t="s">
        <v>1098</v>
      </c>
      <c r="Z936" s="1">
        <v>2481</v>
      </c>
      <c r="AA936" s="1">
        <v>3321.55</v>
      </c>
      <c r="AB936" s="1" t="s">
        <v>1091</v>
      </c>
      <c r="AC936" s="1" t="s">
        <v>1093</v>
      </c>
      <c r="AD936">
        <v>9</v>
      </c>
      <c r="AE936" s="3" t="s">
        <v>27</v>
      </c>
    </row>
    <row r="937" spans="1:31" ht="15.75" customHeight="1" x14ac:dyDescent="0.35">
      <c r="A937" s="1" t="s">
        <v>70</v>
      </c>
      <c r="B937" s="1" t="s">
        <v>1034</v>
      </c>
      <c r="C937" s="1" t="s">
        <v>620</v>
      </c>
      <c r="D937" s="1" t="s">
        <v>595</v>
      </c>
      <c r="E937" s="5">
        <v>45214</v>
      </c>
      <c r="F937" s="4" t="str">
        <f>IF(ISNUMBER(Table13[[#This Row],[Claim_Date2]]),"",Table13[[#This Row],[Claim_Date2]])</f>
        <v/>
      </c>
      <c r="G937" s="4" t="s">
        <v>1098</v>
      </c>
      <c r="H937" s="4" t="str">
        <f>LEFT(Table13[[#This Row],[Values Col 1]],3)</f>
        <v/>
      </c>
      <c r="I937" s="4" t="s">
        <v>1098</v>
      </c>
      <c r="J937" s="4" t="str">
        <f>MID(Table13[[#This Row],[Function Col]],5,2)</f>
        <v/>
      </c>
      <c r="K937" s="4" t="s">
        <v>1098</v>
      </c>
      <c r="L937" s="4" t="str">
        <f>RIGHT(Table13[[#This Row],[Function Col]],4)</f>
        <v/>
      </c>
      <c r="M937" s="4" t="s">
        <v>1098</v>
      </c>
      <c r="N937" s="4" t="str">
        <f>IF(Table13[[#This Row],[Function Col5]]="","",_xlfn.CONCAT(Table13[[#This Row],[Day Col]],"/",Table13[[#This Row],[Month Col]],"/",Table13[[#This Row],[Year Col]]))</f>
        <v/>
      </c>
      <c r="O937" s="4" t="s">
        <v>1098</v>
      </c>
      <c r="P937" s="4">
        <f>IF(ISNUMBER(Table13[[#This Row],[Claim_Date2]]),Table13[[#This Row],[Claim_Date2]],Table13[[#This Row],[Function Col32]])</f>
        <v>45214</v>
      </c>
      <c r="Q937" s="4">
        <v>45214</v>
      </c>
      <c r="R937" s="1" t="s">
        <v>16</v>
      </c>
      <c r="S937" t="s">
        <v>1085</v>
      </c>
      <c r="T937" s="1" t="s">
        <v>24</v>
      </c>
      <c r="U937" s="1"/>
      <c r="W937">
        <f>IF(Table1[[#This Row],[Claim_Amount]]&lt;0,0,Table1[[#This Row],[Claim_Amount]])</f>
        <v>0</v>
      </c>
      <c r="X937" t="str">
        <f>IF(Table1[[#This Row],[Column1]]=0,"",Table1[[#This Row],[Column1]])</f>
        <v/>
      </c>
      <c r="Y937" t="s">
        <v>1098</v>
      </c>
      <c r="Z937">
        <v>2481</v>
      </c>
      <c r="AA937" s="1">
        <v>2878.96</v>
      </c>
      <c r="AB937" s="1" t="s">
        <v>42</v>
      </c>
      <c r="AC937" s="1" t="s">
        <v>18</v>
      </c>
      <c r="AD937">
        <v>9</v>
      </c>
      <c r="AE937" s="3" t="s">
        <v>37</v>
      </c>
    </row>
    <row r="938" spans="1:31" ht="15.75" customHeight="1" x14ac:dyDescent="0.35">
      <c r="A938" s="1" t="s">
        <v>73</v>
      </c>
      <c r="B938" s="1" t="s">
        <v>1035</v>
      </c>
      <c r="C938" t="s">
        <v>1084</v>
      </c>
      <c r="D938" s="1" t="s">
        <v>952</v>
      </c>
      <c r="E938" s="5">
        <v>45187</v>
      </c>
      <c r="F938" s="4" t="str">
        <f>IF(ISNUMBER(Table13[[#This Row],[Claim_Date2]]),"",Table13[[#This Row],[Claim_Date2]])</f>
        <v/>
      </c>
      <c r="G938" s="4" t="s">
        <v>1098</v>
      </c>
      <c r="H938" s="4" t="str">
        <f>LEFT(Table13[[#This Row],[Values Col 1]],3)</f>
        <v/>
      </c>
      <c r="I938" s="4" t="s">
        <v>1098</v>
      </c>
      <c r="J938" s="4" t="str">
        <f>MID(Table13[[#This Row],[Function Col]],5,2)</f>
        <v/>
      </c>
      <c r="K938" s="4" t="s">
        <v>1098</v>
      </c>
      <c r="L938" s="4" t="str">
        <f>RIGHT(Table13[[#This Row],[Function Col]],4)</f>
        <v/>
      </c>
      <c r="M938" s="4" t="s">
        <v>1098</v>
      </c>
      <c r="N938" s="4" t="str">
        <f>IF(Table13[[#This Row],[Function Col5]]="","",_xlfn.CONCAT(Table13[[#This Row],[Day Col]],"/",Table13[[#This Row],[Month Col]],"/",Table13[[#This Row],[Year Col]]))</f>
        <v/>
      </c>
      <c r="O938" s="4" t="s">
        <v>1098</v>
      </c>
      <c r="P938" s="4">
        <f>IF(ISNUMBER(Table13[[#This Row],[Claim_Date2]]),Table13[[#This Row],[Claim_Date2]],Table13[[#This Row],[Function Col32]])</f>
        <v>45187</v>
      </c>
      <c r="Q938" s="4">
        <v>45187</v>
      </c>
      <c r="R938" s="1" t="s">
        <v>85</v>
      </c>
      <c r="S938" s="1" t="s">
        <v>23</v>
      </c>
      <c r="T938" s="1" t="s">
        <v>24</v>
      </c>
      <c r="U938" s="1"/>
      <c r="V938" s="1">
        <v>2418.17</v>
      </c>
      <c r="W938" s="1">
        <f>IF(Table1[[#This Row],[Claim_Amount]]&lt;0,0,Table1[[#This Row],[Claim_Amount]])</f>
        <v>2418.17</v>
      </c>
      <c r="X938" s="1">
        <f>IF(Table1[[#This Row],[Column1]]=0,"",Table1[[#This Row],[Column1]])</f>
        <v>2418.17</v>
      </c>
      <c r="Y938" s="1">
        <v>2418.17</v>
      </c>
      <c r="Z938" s="1">
        <v>2418.17</v>
      </c>
      <c r="AA938">
        <v>832</v>
      </c>
      <c r="AB938" s="1" t="s">
        <v>25</v>
      </c>
      <c r="AC938" s="1" t="s">
        <v>57</v>
      </c>
      <c r="AD938">
        <v>9</v>
      </c>
      <c r="AE938" s="3" t="s">
        <v>19</v>
      </c>
    </row>
    <row r="939" spans="1:31" ht="15.75" customHeight="1" x14ac:dyDescent="0.35">
      <c r="A939" s="1" t="s">
        <v>82</v>
      </c>
      <c r="B939" t="s">
        <v>1083</v>
      </c>
      <c r="C939" s="1" t="s">
        <v>613</v>
      </c>
      <c r="D939" s="1" t="s">
        <v>1036</v>
      </c>
      <c r="E939" s="5">
        <v>44965</v>
      </c>
      <c r="F939" s="4" t="str">
        <f>IF(ISNUMBER(Table13[[#This Row],[Claim_Date2]]),"",Table13[[#This Row],[Claim_Date2]])</f>
        <v/>
      </c>
      <c r="G939" s="4" t="s">
        <v>1098</v>
      </c>
      <c r="H939" s="4" t="str">
        <f>LEFT(Table13[[#This Row],[Values Col 1]],3)</f>
        <v/>
      </c>
      <c r="I939" s="4" t="s">
        <v>1098</v>
      </c>
      <c r="J939" s="4" t="str">
        <f>MID(Table13[[#This Row],[Function Col]],5,2)</f>
        <v/>
      </c>
      <c r="K939" s="4" t="s">
        <v>1098</v>
      </c>
      <c r="L939" s="4" t="str">
        <f>RIGHT(Table13[[#This Row],[Function Col]],4)</f>
        <v/>
      </c>
      <c r="M939" s="4" t="s">
        <v>1098</v>
      </c>
      <c r="N939" s="4" t="str">
        <f>IF(Table13[[#This Row],[Function Col5]]="","",_xlfn.CONCAT(Table13[[#This Row],[Day Col]],"/",Table13[[#This Row],[Month Col]],"/",Table13[[#This Row],[Year Col]]))</f>
        <v/>
      </c>
      <c r="O939" s="4" t="s">
        <v>1098</v>
      </c>
      <c r="P939" s="4">
        <f>IF(ISNUMBER(Table13[[#This Row],[Claim_Date2]]),Table13[[#This Row],[Claim_Date2]],Table13[[#This Row],[Function Col32]])</f>
        <v>44965</v>
      </c>
      <c r="Q939" s="4">
        <v>44965</v>
      </c>
      <c r="R939" s="1" t="s">
        <v>85</v>
      </c>
      <c r="S939" s="1" t="s">
        <v>47</v>
      </c>
      <c r="T939" s="1" t="s">
        <v>41</v>
      </c>
      <c r="U939" s="1"/>
      <c r="V939" s="1">
        <v>4126.62</v>
      </c>
      <c r="W939" s="1">
        <f>IF(Table1[[#This Row],[Claim_Amount]]&lt;0,0,Table1[[#This Row],[Claim_Amount]])</f>
        <v>4126.62</v>
      </c>
      <c r="X939" s="1">
        <f>IF(Table1[[#This Row],[Column1]]=0,"",Table1[[#This Row],[Column1]])</f>
        <v>4126.62</v>
      </c>
      <c r="Y939" s="1">
        <v>4126.62</v>
      </c>
      <c r="Z939" s="1">
        <v>4126.62</v>
      </c>
      <c r="AA939">
        <v>832</v>
      </c>
      <c r="AB939" s="1" t="s">
        <v>1091</v>
      </c>
      <c r="AC939" s="1" t="s">
        <v>26</v>
      </c>
      <c r="AD939">
        <v>9</v>
      </c>
      <c r="AE939" s="3" t="s">
        <v>27</v>
      </c>
    </row>
    <row r="940" spans="1:31" ht="15.75" customHeight="1" x14ac:dyDescent="0.35">
      <c r="A940" s="1" t="s">
        <v>96</v>
      </c>
      <c r="B940" t="s">
        <v>1083</v>
      </c>
      <c r="C940" s="1" t="s">
        <v>161</v>
      </c>
      <c r="D940" s="1" t="s">
        <v>1037</v>
      </c>
      <c r="E940" s="5">
        <v>44954</v>
      </c>
      <c r="F940" s="4" t="str">
        <f>IF(ISNUMBER(Table13[[#This Row],[Claim_Date2]]),"",Table13[[#This Row],[Claim_Date2]])</f>
        <v/>
      </c>
      <c r="G940" s="4" t="s">
        <v>1098</v>
      </c>
      <c r="H940" s="4" t="str">
        <f>LEFT(Table13[[#This Row],[Values Col 1]],3)</f>
        <v/>
      </c>
      <c r="I940" s="4" t="s">
        <v>1098</v>
      </c>
      <c r="J940" s="4" t="str">
        <f>MID(Table13[[#This Row],[Function Col]],5,2)</f>
        <v/>
      </c>
      <c r="K940" s="4" t="s">
        <v>1098</v>
      </c>
      <c r="L940" s="4" t="str">
        <f>RIGHT(Table13[[#This Row],[Function Col]],4)</f>
        <v/>
      </c>
      <c r="M940" s="4" t="s">
        <v>1098</v>
      </c>
      <c r="N940" s="4" t="str">
        <f>IF(Table13[[#This Row],[Function Col5]]="","",_xlfn.CONCAT(Table13[[#This Row],[Day Col]],"/",Table13[[#This Row],[Month Col]],"/",Table13[[#This Row],[Year Col]]))</f>
        <v/>
      </c>
      <c r="O940" s="4" t="s">
        <v>1098</v>
      </c>
      <c r="P940" s="4">
        <f>IF(ISNUMBER(Table13[[#This Row],[Claim_Date2]]),Table13[[#This Row],[Claim_Date2]],Table13[[#This Row],[Function Col32]])</f>
        <v>44954</v>
      </c>
      <c r="Q940" s="4">
        <v>44954</v>
      </c>
      <c r="R940" s="1" t="s">
        <v>85</v>
      </c>
      <c r="S940" s="1" t="s">
        <v>93</v>
      </c>
      <c r="T940" t="s">
        <v>1086</v>
      </c>
      <c r="V940" s="1">
        <v>-159</v>
      </c>
      <c r="W940" s="1">
        <f>IF(Table1[[#This Row],[Claim_Amount]]&lt;0,0,Table1[[#This Row],[Claim_Amount]])</f>
        <v>0</v>
      </c>
      <c r="X940" s="1" t="str">
        <f>IF(Table1[[#This Row],[Column1]]=0,"",Table1[[#This Row],[Column1]])</f>
        <v/>
      </c>
      <c r="Y940" s="1" t="s">
        <v>1098</v>
      </c>
      <c r="Z940" s="1">
        <v>2481</v>
      </c>
      <c r="AA940">
        <v>832</v>
      </c>
      <c r="AB940" s="1" t="s">
        <v>17</v>
      </c>
      <c r="AC940" s="1" t="s">
        <v>26</v>
      </c>
      <c r="AD940">
        <v>9</v>
      </c>
      <c r="AE940" s="3" t="s">
        <v>65</v>
      </c>
    </row>
    <row r="941" spans="1:31" ht="15.75" customHeight="1" x14ac:dyDescent="0.35">
      <c r="A941" s="1" t="s">
        <v>13</v>
      </c>
      <c r="B941" t="s">
        <v>1083</v>
      </c>
      <c r="C941" t="s">
        <v>1084</v>
      </c>
      <c r="D941" s="1" t="s">
        <v>1038</v>
      </c>
      <c r="E941" s="5">
        <v>45153</v>
      </c>
      <c r="F941" s="4" t="str">
        <f>IF(ISNUMBER(Table13[[#This Row],[Claim_Date2]]),"",Table13[[#This Row],[Claim_Date2]])</f>
        <v/>
      </c>
      <c r="G941" s="4" t="s">
        <v>1098</v>
      </c>
      <c r="H941" s="4" t="str">
        <f>LEFT(Table13[[#This Row],[Values Col 1]],3)</f>
        <v/>
      </c>
      <c r="I941" s="4" t="s">
        <v>1098</v>
      </c>
      <c r="J941" s="4" t="str">
        <f>MID(Table13[[#This Row],[Function Col]],5,2)</f>
        <v/>
      </c>
      <c r="K941" s="4" t="s">
        <v>1098</v>
      </c>
      <c r="L941" s="4" t="str">
        <f>RIGHT(Table13[[#This Row],[Function Col]],4)</f>
        <v/>
      </c>
      <c r="M941" s="4" t="s">
        <v>1098</v>
      </c>
      <c r="N941" s="4" t="str">
        <f>IF(Table13[[#This Row],[Function Col5]]="","",_xlfn.CONCAT(Table13[[#This Row],[Day Col]],"/",Table13[[#This Row],[Month Col]],"/",Table13[[#This Row],[Year Col]]))</f>
        <v/>
      </c>
      <c r="O941" s="4" t="s">
        <v>1098</v>
      </c>
      <c r="P941" s="4">
        <f>IF(ISNUMBER(Table13[[#This Row],[Claim_Date2]]),Table13[[#This Row],[Claim_Date2]],Table13[[#This Row],[Function Col32]])</f>
        <v>45153</v>
      </c>
      <c r="Q941" s="4">
        <v>45153</v>
      </c>
      <c r="R941" s="1" t="s">
        <v>77</v>
      </c>
      <c r="S941" s="1" t="s">
        <v>93</v>
      </c>
      <c r="T941" s="1" t="s">
        <v>61</v>
      </c>
      <c r="U941" s="1"/>
      <c r="W941">
        <f>IF(Table1[[#This Row],[Claim_Amount]]&lt;0,0,Table1[[#This Row],[Claim_Amount]])</f>
        <v>0</v>
      </c>
      <c r="X941" t="str">
        <f>IF(Table1[[#This Row],[Column1]]=0,"",Table1[[#This Row],[Column1]])</f>
        <v/>
      </c>
      <c r="Y941" t="s">
        <v>1098</v>
      </c>
      <c r="Z941">
        <v>2481</v>
      </c>
      <c r="AA941">
        <v>832</v>
      </c>
      <c r="AB941" s="1" t="s">
        <v>17</v>
      </c>
      <c r="AC941" s="1" t="s">
        <v>57</v>
      </c>
      <c r="AD941">
        <v>9</v>
      </c>
      <c r="AE941" s="3" t="s">
        <v>19</v>
      </c>
    </row>
    <row r="942" spans="1:31" ht="15.75" customHeight="1" x14ac:dyDescent="0.35">
      <c r="A942" s="1" t="s">
        <v>20</v>
      </c>
      <c r="B942" t="s">
        <v>1083</v>
      </c>
      <c r="C942" t="s">
        <v>1084</v>
      </c>
      <c r="D942" s="1" t="s">
        <v>542</v>
      </c>
      <c r="E942" s="5" t="s">
        <v>542</v>
      </c>
      <c r="F942" s="4" t="str">
        <f>IF(ISNUMBER(Table13[[#This Row],[Claim_Date2]]),"",Table13[[#This Row],[Claim_Date2]])</f>
        <v>Mar 24 2023</v>
      </c>
      <c r="G942" s="4" t="s">
        <v>542</v>
      </c>
      <c r="H942" s="4" t="str">
        <f>LEFT(Table13[[#This Row],[Values Col 1]],3)</f>
        <v>Mar</v>
      </c>
      <c r="I942" s="4" t="s">
        <v>1100</v>
      </c>
      <c r="J942" s="4" t="str">
        <f>MID(Table13[[#This Row],[Function Col]],5,2)</f>
        <v>24</v>
      </c>
      <c r="K942" s="4" t="s">
        <v>1115</v>
      </c>
      <c r="L942" s="4" t="str">
        <f>RIGHT(Table13[[#This Row],[Function Col]],4)</f>
        <v>2023</v>
      </c>
      <c r="M942" s="4" t="s">
        <v>1146</v>
      </c>
      <c r="N942" s="4" t="str">
        <f>IF(Table13[[#This Row],[Function Col5]]="","",_xlfn.CONCAT(Table13[[#This Row],[Day Col]],"/",Table13[[#This Row],[Month Col]],"/",Table13[[#This Row],[Year Col]]))</f>
        <v>24/Mar/2023</v>
      </c>
      <c r="O942" s="4" t="s">
        <v>1242</v>
      </c>
      <c r="P942" s="4" t="str">
        <f>IF(ISNUMBER(Table13[[#This Row],[Claim_Date2]]),Table13[[#This Row],[Claim_Date2]],Table13[[#This Row],[Function Col32]])</f>
        <v>24/Mar/2023</v>
      </c>
      <c r="Q942" s="4">
        <v>45009</v>
      </c>
      <c r="R942" s="1" t="s">
        <v>16</v>
      </c>
      <c r="S942" s="1" t="s">
        <v>47</v>
      </c>
      <c r="T942" s="1" t="s">
        <v>61</v>
      </c>
      <c r="U942" s="1"/>
      <c r="V942" s="1">
        <v>3857.11</v>
      </c>
      <c r="W942" s="1">
        <f>IF(Table1[[#This Row],[Claim_Amount]]&lt;0,0,Table1[[#This Row],[Claim_Amount]])</f>
        <v>3857.11</v>
      </c>
      <c r="X942" s="1">
        <f>IF(Table1[[#This Row],[Column1]]=0,"",Table1[[#This Row],[Column1]])</f>
        <v>3857.11</v>
      </c>
      <c r="Y942" s="1">
        <v>3857.11</v>
      </c>
      <c r="Z942" s="1">
        <v>3857.11</v>
      </c>
      <c r="AA942">
        <v>832</v>
      </c>
      <c r="AB942" s="1" t="s">
        <v>1091</v>
      </c>
      <c r="AC942" s="1" t="s">
        <v>32</v>
      </c>
      <c r="AD942" s="1">
        <v>4</v>
      </c>
      <c r="AE942" s="3" t="s">
        <v>65</v>
      </c>
    </row>
    <row r="943" spans="1:31" ht="15.75" customHeight="1" x14ac:dyDescent="0.35">
      <c r="A943" s="1" t="s">
        <v>212</v>
      </c>
      <c r="B943" s="1" t="s">
        <v>1039</v>
      </c>
      <c r="C943" s="1" t="s">
        <v>816</v>
      </c>
      <c r="D943" s="1" t="s">
        <v>1040</v>
      </c>
      <c r="E943" s="5">
        <v>45087</v>
      </c>
      <c r="F943" s="4" t="str">
        <f>IF(ISNUMBER(Table13[[#This Row],[Claim_Date2]]),"",Table13[[#This Row],[Claim_Date2]])</f>
        <v/>
      </c>
      <c r="G943" s="4" t="s">
        <v>1098</v>
      </c>
      <c r="H943" s="4" t="str">
        <f>LEFT(Table13[[#This Row],[Values Col 1]],3)</f>
        <v/>
      </c>
      <c r="I943" s="4" t="s">
        <v>1098</v>
      </c>
      <c r="J943" s="4" t="str">
        <f>MID(Table13[[#This Row],[Function Col]],5,2)</f>
        <v/>
      </c>
      <c r="K943" s="4" t="s">
        <v>1098</v>
      </c>
      <c r="L943" s="4" t="str">
        <f>RIGHT(Table13[[#This Row],[Function Col]],4)</f>
        <v/>
      </c>
      <c r="M943" s="4" t="s">
        <v>1098</v>
      </c>
      <c r="N943" s="4" t="str">
        <f>IF(Table13[[#This Row],[Function Col5]]="","",_xlfn.CONCAT(Table13[[#This Row],[Day Col]],"/",Table13[[#This Row],[Month Col]],"/",Table13[[#This Row],[Year Col]]))</f>
        <v/>
      </c>
      <c r="O943" s="4" t="s">
        <v>1098</v>
      </c>
      <c r="P943" s="4">
        <f>IF(ISNUMBER(Table13[[#This Row],[Claim_Date2]]),Table13[[#This Row],[Claim_Date2]],Table13[[#This Row],[Function Col32]])</f>
        <v>45087</v>
      </c>
      <c r="Q943" s="4">
        <v>45087</v>
      </c>
      <c r="R943" s="1" t="s">
        <v>92</v>
      </c>
      <c r="S943" s="1" t="s">
        <v>53</v>
      </c>
      <c r="T943" s="1" t="s">
        <v>61</v>
      </c>
      <c r="U943" s="1"/>
      <c r="V943" s="1">
        <v>-30</v>
      </c>
      <c r="W943" s="1">
        <f>IF(Table1[[#This Row],[Claim_Amount]]&lt;0,0,Table1[[#This Row],[Claim_Amount]])</f>
        <v>0</v>
      </c>
      <c r="X943" s="1" t="str">
        <f>IF(Table1[[#This Row],[Column1]]=0,"",Table1[[#This Row],[Column1]])</f>
        <v/>
      </c>
      <c r="Y943" s="1" t="s">
        <v>1098</v>
      </c>
      <c r="Z943" s="1">
        <v>2481</v>
      </c>
      <c r="AA943" s="1">
        <v>102.67</v>
      </c>
      <c r="AB943" s="1" t="s">
        <v>25</v>
      </c>
      <c r="AC943" s="1" t="s">
        <v>26</v>
      </c>
      <c r="AD943" s="1">
        <v>38</v>
      </c>
      <c r="AE943" s="3" t="s">
        <v>19</v>
      </c>
    </row>
    <row r="944" spans="1:31" ht="15.75" customHeight="1" x14ac:dyDescent="0.35">
      <c r="A944" s="1" t="s">
        <v>33</v>
      </c>
      <c r="B944" s="1" t="s">
        <v>14</v>
      </c>
      <c r="C944" t="s">
        <v>1084</v>
      </c>
      <c r="D944" s="1" t="s">
        <v>985</v>
      </c>
      <c r="E944" s="5">
        <v>45189</v>
      </c>
      <c r="F944" s="4" t="str">
        <f>IF(ISNUMBER(Table13[[#This Row],[Claim_Date2]]),"",Table13[[#This Row],[Claim_Date2]])</f>
        <v/>
      </c>
      <c r="G944" s="4" t="s">
        <v>1098</v>
      </c>
      <c r="H944" s="4" t="str">
        <f>LEFT(Table13[[#This Row],[Values Col 1]],3)</f>
        <v/>
      </c>
      <c r="I944" s="4" t="s">
        <v>1098</v>
      </c>
      <c r="J944" s="4" t="str">
        <f>MID(Table13[[#This Row],[Function Col]],5,2)</f>
        <v/>
      </c>
      <c r="K944" s="4" t="s">
        <v>1098</v>
      </c>
      <c r="L944" s="4" t="str">
        <f>RIGHT(Table13[[#This Row],[Function Col]],4)</f>
        <v/>
      </c>
      <c r="M944" s="4" t="s">
        <v>1098</v>
      </c>
      <c r="N944" s="4" t="str">
        <f>IF(Table13[[#This Row],[Function Col5]]="","",_xlfn.CONCAT(Table13[[#This Row],[Day Col]],"/",Table13[[#This Row],[Month Col]],"/",Table13[[#This Row],[Year Col]]))</f>
        <v/>
      </c>
      <c r="O944" s="4" t="s">
        <v>1098</v>
      </c>
      <c r="P944" s="4">
        <f>IF(ISNUMBER(Table13[[#This Row],[Claim_Date2]]),Table13[[#This Row],[Claim_Date2]],Table13[[#This Row],[Function Col32]])</f>
        <v>45189</v>
      </c>
      <c r="Q944" s="4">
        <v>45189</v>
      </c>
      <c r="R944" s="1" t="s">
        <v>85</v>
      </c>
      <c r="S944" s="1" t="s">
        <v>53</v>
      </c>
      <c r="T944" s="1" t="s">
        <v>48</v>
      </c>
      <c r="U944" s="1"/>
      <c r="V944" s="1">
        <v>-98</v>
      </c>
      <c r="W944" s="1">
        <f>IF(Table1[[#This Row],[Claim_Amount]]&lt;0,0,Table1[[#This Row],[Claim_Amount]])</f>
        <v>0</v>
      </c>
      <c r="X944" s="1" t="str">
        <f>IF(Table1[[#This Row],[Column1]]=0,"",Table1[[#This Row],[Column1]])</f>
        <v/>
      </c>
      <c r="Y944" s="1" t="s">
        <v>1098</v>
      </c>
      <c r="Z944" s="1">
        <v>2481</v>
      </c>
      <c r="AA944" s="1">
        <v>650.26</v>
      </c>
      <c r="AB944" s="1" t="s">
        <v>25</v>
      </c>
      <c r="AC944" s="1" t="s">
        <v>26</v>
      </c>
      <c r="AD944">
        <v>9</v>
      </c>
      <c r="AE944" s="3" t="s">
        <v>1097</v>
      </c>
    </row>
    <row r="945" spans="1:31" ht="15.75" customHeight="1" x14ac:dyDescent="0.35">
      <c r="A945" s="1" t="s">
        <v>261</v>
      </c>
      <c r="B945" t="s">
        <v>1083</v>
      </c>
      <c r="C945" s="1" t="s">
        <v>463</v>
      </c>
      <c r="D945" s="1" t="s">
        <v>728</v>
      </c>
      <c r="E945" s="5">
        <v>45013</v>
      </c>
      <c r="F945" s="4" t="str">
        <f>IF(ISNUMBER(Table13[[#This Row],[Claim_Date2]]),"",Table13[[#This Row],[Claim_Date2]])</f>
        <v/>
      </c>
      <c r="G945" s="4" t="s">
        <v>1098</v>
      </c>
      <c r="H945" s="4" t="str">
        <f>LEFT(Table13[[#This Row],[Values Col 1]],3)</f>
        <v/>
      </c>
      <c r="I945" s="4" t="s">
        <v>1098</v>
      </c>
      <c r="J945" s="4" t="str">
        <f>MID(Table13[[#This Row],[Function Col]],5,2)</f>
        <v/>
      </c>
      <c r="K945" s="4" t="s">
        <v>1098</v>
      </c>
      <c r="L945" s="4" t="str">
        <f>RIGHT(Table13[[#This Row],[Function Col]],4)</f>
        <v/>
      </c>
      <c r="M945" s="4" t="s">
        <v>1098</v>
      </c>
      <c r="N945" s="4" t="str">
        <f>IF(Table13[[#This Row],[Function Col5]]="","",_xlfn.CONCAT(Table13[[#This Row],[Day Col]],"/",Table13[[#This Row],[Month Col]],"/",Table13[[#This Row],[Year Col]]))</f>
        <v/>
      </c>
      <c r="O945" s="4" t="s">
        <v>1098</v>
      </c>
      <c r="P945" s="4">
        <f>IF(ISNUMBER(Table13[[#This Row],[Claim_Date2]]),Table13[[#This Row],[Claim_Date2]],Table13[[#This Row],[Function Col32]])</f>
        <v>45013</v>
      </c>
      <c r="Q945" s="4">
        <v>45013</v>
      </c>
      <c r="R945" s="1" t="s">
        <v>85</v>
      </c>
      <c r="S945" s="1" t="s">
        <v>53</v>
      </c>
      <c r="T945" s="1" t="s">
        <v>41</v>
      </c>
      <c r="U945" s="1"/>
      <c r="V945" s="1">
        <v>-34</v>
      </c>
      <c r="W945" s="1">
        <f>IF(Table1[[#This Row],[Claim_Amount]]&lt;0,0,Table1[[#This Row],[Claim_Amount]])</f>
        <v>0</v>
      </c>
      <c r="X945" s="1" t="str">
        <f>IF(Table1[[#This Row],[Column1]]=0,"",Table1[[#This Row],[Column1]])</f>
        <v/>
      </c>
      <c r="Y945" s="1" t="s">
        <v>1098</v>
      </c>
      <c r="Z945" s="1">
        <v>2481</v>
      </c>
      <c r="AA945" s="1">
        <v>1413.19</v>
      </c>
      <c r="AB945" s="1" t="s">
        <v>17</v>
      </c>
      <c r="AC945" s="1" t="s">
        <v>1093</v>
      </c>
      <c r="AD945">
        <v>9</v>
      </c>
      <c r="AE945" s="3" t="s">
        <v>27</v>
      </c>
    </row>
    <row r="946" spans="1:31" ht="15.75" customHeight="1" x14ac:dyDescent="0.35">
      <c r="A946" s="1" t="s">
        <v>108</v>
      </c>
      <c r="B946" t="s">
        <v>1083</v>
      </c>
      <c r="C946" s="1" t="s">
        <v>358</v>
      </c>
      <c r="D946" s="1" t="s">
        <v>1041</v>
      </c>
      <c r="E946" s="5" t="s">
        <v>1041</v>
      </c>
      <c r="F946" s="4" t="str">
        <f>IF(ISNUMBER(Table13[[#This Row],[Claim_Date2]]),"",Table13[[#This Row],[Claim_Date2]])</f>
        <v>Sep 13 2023</v>
      </c>
      <c r="G946" s="4" t="s">
        <v>1041</v>
      </c>
      <c r="H946" s="4" t="str">
        <f>LEFT(Table13[[#This Row],[Values Col 1]],3)</f>
        <v>Sep</v>
      </c>
      <c r="I946" s="4" t="s">
        <v>1102</v>
      </c>
      <c r="J946" s="4" t="str">
        <f>MID(Table13[[#This Row],[Function Col]],5,2)</f>
        <v>13</v>
      </c>
      <c r="K946" s="4" t="s">
        <v>1114</v>
      </c>
      <c r="L946" s="4" t="str">
        <f>RIGHT(Table13[[#This Row],[Function Col]],4)</f>
        <v>2023</v>
      </c>
      <c r="M946" s="4" t="s">
        <v>1146</v>
      </c>
      <c r="N946" s="4" t="str">
        <f>IF(Table13[[#This Row],[Function Col5]]="","",_xlfn.CONCAT(Table13[[#This Row],[Day Col]],"/",Table13[[#This Row],[Month Col]],"/",Table13[[#This Row],[Year Col]]))</f>
        <v>13/Sep/2023</v>
      </c>
      <c r="O946" s="4" t="s">
        <v>1357</v>
      </c>
      <c r="P946" s="4" t="str">
        <f>IF(ISNUMBER(Table13[[#This Row],[Claim_Date2]]),Table13[[#This Row],[Claim_Date2]],Table13[[#This Row],[Function Col32]])</f>
        <v>13/Sep/2023</v>
      </c>
      <c r="Q946" s="4">
        <v>45182</v>
      </c>
      <c r="R946" s="1" t="s">
        <v>30</v>
      </c>
      <c r="S946" s="1" t="s">
        <v>93</v>
      </c>
      <c r="T946" s="1" t="s">
        <v>24</v>
      </c>
      <c r="U946" s="1"/>
      <c r="V946" s="1">
        <v>422.13</v>
      </c>
      <c r="W946" s="1">
        <f>IF(Table1[[#This Row],[Claim_Amount]]&lt;0,0,Table1[[#This Row],[Claim_Amount]])</f>
        <v>422.13</v>
      </c>
      <c r="X946" s="1">
        <f>IF(Table1[[#This Row],[Column1]]=0,"",Table1[[#This Row],[Column1]])</f>
        <v>422.13</v>
      </c>
      <c r="Y946" s="1">
        <v>422.13</v>
      </c>
      <c r="Z946" s="1">
        <v>422.13</v>
      </c>
      <c r="AA946">
        <v>832</v>
      </c>
      <c r="AB946" s="1" t="s">
        <v>1091</v>
      </c>
      <c r="AC946" s="1" t="s">
        <v>18</v>
      </c>
      <c r="AD946">
        <v>9</v>
      </c>
      <c r="AE946" s="3" t="s">
        <v>65</v>
      </c>
    </row>
    <row r="947" spans="1:31" ht="15.75" customHeight="1" x14ac:dyDescent="0.35">
      <c r="A947" s="1" t="s">
        <v>247</v>
      </c>
      <c r="B947" t="s">
        <v>1083</v>
      </c>
      <c r="C947" t="s">
        <v>1084</v>
      </c>
      <c r="D947" s="1" t="s">
        <v>1042</v>
      </c>
      <c r="E947" s="5">
        <v>45278</v>
      </c>
      <c r="F947" s="4" t="str">
        <f>IF(ISNUMBER(Table13[[#This Row],[Claim_Date2]]),"",Table13[[#This Row],[Claim_Date2]])</f>
        <v/>
      </c>
      <c r="G947" s="4" t="s">
        <v>1098</v>
      </c>
      <c r="H947" s="4" t="str">
        <f>LEFT(Table13[[#This Row],[Values Col 1]],3)</f>
        <v/>
      </c>
      <c r="I947" s="4" t="s">
        <v>1098</v>
      </c>
      <c r="J947" s="4" t="str">
        <f>MID(Table13[[#This Row],[Function Col]],5,2)</f>
        <v/>
      </c>
      <c r="K947" s="4" t="s">
        <v>1098</v>
      </c>
      <c r="L947" s="4" t="str">
        <f>RIGHT(Table13[[#This Row],[Function Col]],4)</f>
        <v/>
      </c>
      <c r="M947" s="4" t="s">
        <v>1098</v>
      </c>
      <c r="N947" s="4" t="str">
        <f>IF(Table13[[#This Row],[Function Col5]]="","",_xlfn.CONCAT(Table13[[#This Row],[Day Col]],"/",Table13[[#This Row],[Month Col]],"/",Table13[[#This Row],[Year Col]]))</f>
        <v/>
      </c>
      <c r="O947" s="4" t="s">
        <v>1098</v>
      </c>
      <c r="P947" s="4">
        <f>IF(ISNUMBER(Table13[[#This Row],[Claim_Date2]]),Table13[[#This Row],[Claim_Date2]],Table13[[#This Row],[Function Col32]])</f>
        <v>45278</v>
      </c>
      <c r="Q947" s="4">
        <v>45278</v>
      </c>
      <c r="R947" s="1" t="s">
        <v>85</v>
      </c>
      <c r="S947" s="1" t="s">
        <v>53</v>
      </c>
      <c r="T947" s="1" t="s">
        <v>24</v>
      </c>
      <c r="U947" s="1"/>
      <c r="W947">
        <f>IF(Table1[[#This Row],[Claim_Amount]]&lt;0,0,Table1[[#This Row],[Claim_Amount]])</f>
        <v>0</v>
      </c>
      <c r="X947" t="str">
        <f>IF(Table1[[#This Row],[Column1]]=0,"",Table1[[#This Row],[Column1]])</f>
        <v/>
      </c>
      <c r="Y947" t="s">
        <v>1098</v>
      </c>
      <c r="Z947">
        <v>2481</v>
      </c>
      <c r="AA947">
        <v>832</v>
      </c>
      <c r="AB947" s="1" t="s">
        <v>17</v>
      </c>
      <c r="AC947" s="1" t="s">
        <v>57</v>
      </c>
      <c r="AD947">
        <v>9</v>
      </c>
      <c r="AE947" s="3" t="s">
        <v>37</v>
      </c>
    </row>
    <row r="948" spans="1:31" ht="15.75" customHeight="1" x14ac:dyDescent="0.35">
      <c r="A948" s="1" t="s">
        <v>105</v>
      </c>
      <c r="B948" s="1" t="s">
        <v>1043</v>
      </c>
      <c r="C948" t="s">
        <v>1084</v>
      </c>
      <c r="D948" s="1" t="s">
        <v>1044</v>
      </c>
      <c r="E948" s="5" t="s">
        <v>1044</v>
      </c>
      <c r="F948" s="4" t="str">
        <f>IF(ISNUMBER(Table13[[#This Row],[Claim_Date2]]),"",Table13[[#This Row],[Claim_Date2]])</f>
        <v>Dec 26 2023</v>
      </c>
      <c r="G948" s="4" t="s">
        <v>1044</v>
      </c>
      <c r="H948" s="4" t="str">
        <f>LEFT(Table13[[#This Row],[Values Col 1]],3)</f>
        <v>Dec</v>
      </c>
      <c r="I948" s="4" t="s">
        <v>1111</v>
      </c>
      <c r="J948" s="4" t="str">
        <f>MID(Table13[[#This Row],[Function Col]],5,2)</f>
        <v>26</v>
      </c>
      <c r="K948" s="4" t="s">
        <v>1117</v>
      </c>
      <c r="L948" s="4" t="str">
        <f>RIGHT(Table13[[#This Row],[Function Col]],4)</f>
        <v>2023</v>
      </c>
      <c r="M948" s="4" t="s">
        <v>1146</v>
      </c>
      <c r="N948" s="4" t="str">
        <f>IF(Table13[[#This Row],[Function Col5]]="","",_xlfn.CONCAT(Table13[[#This Row],[Day Col]],"/",Table13[[#This Row],[Month Col]],"/",Table13[[#This Row],[Year Col]]))</f>
        <v>26/Dec/2023</v>
      </c>
      <c r="O948" s="4" t="s">
        <v>1358</v>
      </c>
      <c r="P948" s="4" t="str">
        <f>IF(ISNUMBER(Table13[[#This Row],[Claim_Date2]]),Table13[[#This Row],[Claim_Date2]],Table13[[#This Row],[Function Col32]])</f>
        <v>26/Dec/2023</v>
      </c>
      <c r="Q948" s="4">
        <v>45286</v>
      </c>
      <c r="R948" s="1" t="s">
        <v>30</v>
      </c>
      <c r="S948" t="s">
        <v>1085</v>
      </c>
      <c r="T948" t="s">
        <v>1086</v>
      </c>
      <c r="V948" s="1">
        <v>2172.0100000000002</v>
      </c>
      <c r="W948" s="1">
        <f>IF(Table1[[#This Row],[Claim_Amount]]&lt;0,0,Table1[[#This Row],[Claim_Amount]])</f>
        <v>2172.0100000000002</v>
      </c>
      <c r="X948" s="1">
        <f>IF(Table1[[#This Row],[Column1]]=0,"",Table1[[#This Row],[Column1]])</f>
        <v>2172.0100000000002</v>
      </c>
      <c r="Y948" s="1">
        <v>2172.0100000000002</v>
      </c>
      <c r="Z948" s="1">
        <v>2172.0100000000002</v>
      </c>
      <c r="AA948">
        <v>832</v>
      </c>
      <c r="AB948" s="1" t="s">
        <v>25</v>
      </c>
      <c r="AC948" s="1" t="s">
        <v>1093</v>
      </c>
      <c r="AD948">
        <v>9</v>
      </c>
      <c r="AE948" s="3" t="s">
        <v>65</v>
      </c>
    </row>
    <row r="949" spans="1:31" ht="15.75" customHeight="1" x14ac:dyDescent="0.35">
      <c r="A949" s="1" t="s">
        <v>78</v>
      </c>
      <c r="B949" s="1" t="s">
        <v>1045</v>
      </c>
      <c r="C949" t="s">
        <v>1084</v>
      </c>
      <c r="D949" s="1" t="s">
        <v>56</v>
      </c>
      <c r="E949" s="5">
        <v>44928</v>
      </c>
      <c r="F949" s="4" t="str">
        <f>IF(ISNUMBER(Table13[[#This Row],[Claim_Date2]]),"",Table13[[#This Row],[Claim_Date2]])</f>
        <v/>
      </c>
      <c r="G949" s="4" t="s">
        <v>1098</v>
      </c>
      <c r="H949" s="4" t="str">
        <f>LEFT(Table13[[#This Row],[Values Col 1]],3)</f>
        <v/>
      </c>
      <c r="I949" s="4" t="s">
        <v>1098</v>
      </c>
      <c r="J949" s="4" t="str">
        <f>MID(Table13[[#This Row],[Function Col]],5,2)</f>
        <v/>
      </c>
      <c r="K949" s="4" t="s">
        <v>1098</v>
      </c>
      <c r="L949" s="4" t="str">
        <f>RIGHT(Table13[[#This Row],[Function Col]],4)</f>
        <v/>
      </c>
      <c r="M949" s="4" t="s">
        <v>1098</v>
      </c>
      <c r="N949" s="4" t="str">
        <f>IF(Table13[[#This Row],[Function Col5]]="","",_xlfn.CONCAT(Table13[[#This Row],[Day Col]],"/",Table13[[#This Row],[Month Col]],"/",Table13[[#This Row],[Year Col]]))</f>
        <v/>
      </c>
      <c r="O949" s="4" t="s">
        <v>1098</v>
      </c>
      <c r="P949" s="4">
        <f>IF(ISNUMBER(Table13[[#This Row],[Claim_Date2]]),Table13[[#This Row],[Claim_Date2]],Table13[[#This Row],[Function Col32]])</f>
        <v>44928</v>
      </c>
      <c r="Q949" s="4">
        <v>44928</v>
      </c>
      <c r="R949" s="1" t="s">
        <v>16</v>
      </c>
      <c r="S949" t="s">
        <v>1085</v>
      </c>
      <c r="T949" s="1" t="s">
        <v>24</v>
      </c>
      <c r="U949" s="1"/>
      <c r="W949">
        <f>IF(Table1[[#This Row],[Claim_Amount]]&lt;0,0,Table1[[#This Row],[Claim_Amount]])</f>
        <v>0</v>
      </c>
      <c r="X949" t="str">
        <f>IF(Table1[[#This Row],[Column1]]=0,"",Table1[[#This Row],[Column1]])</f>
        <v/>
      </c>
      <c r="Y949" t="s">
        <v>1098</v>
      </c>
      <c r="Z949">
        <v>2481</v>
      </c>
      <c r="AA949" s="1">
        <v>1673.06</v>
      </c>
      <c r="AB949" s="1" t="s">
        <v>25</v>
      </c>
      <c r="AC949" s="1" t="s">
        <v>1093</v>
      </c>
      <c r="AD949">
        <v>9</v>
      </c>
      <c r="AE949" s="3" t="s">
        <v>27</v>
      </c>
    </row>
    <row r="950" spans="1:31" ht="15.75" customHeight="1" x14ac:dyDescent="0.35">
      <c r="A950" s="1" t="s">
        <v>89</v>
      </c>
      <c r="B950" t="s">
        <v>1083</v>
      </c>
      <c r="C950" t="s">
        <v>1084</v>
      </c>
      <c r="D950" s="1" t="s">
        <v>1042</v>
      </c>
      <c r="E950" s="5">
        <v>45278</v>
      </c>
      <c r="F950" s="4" t="str">
        <f>IF(ISNUMBER(Table13[[#This Row],[Claim_Date2]]),"",Table13[[#This Row],[Claim_Date2]])</f>
        <v/>
      </c>
      <c r="G950" s="4" t="s">
        <v>1098</v>
      </c>
      <c r="H950" s="4" t="str">
        <f>LEFT(Table13[[#This Row],[Values Col 1]],3)</f>
        <v/>
      </c>
      <c r="I950" s="4" t="s">
        <v>1098</v>
      </c>
      <c r="J950" s="4" t="str">
        <f>MID(Table13[[#This Row],[Function Col]],5,2)</f>
        <v/>
      </c>
      <c r="K950" s="4" t="s">
        <v>1098</v>
      </c>
      <c r="L950" s="4" t="str">
        <f>RIGHT(Table13[[#This Row],[Function Col]],4)</f>
        <v/>
      </c>
      <c r="M950" s="4" t="s">
        <v>1098</v>
      </c>
      <c r="N950" s="4" t="str">
        <f>IF(Table13[[#This Row],[Function Col5]]="","",_xlfn.CONCAT(Table13[[#This Row],[Day Col]],"/",Table13[[#This Row],[Month Col]],"/",Table13[[#This Row],[Year Col]]))</f>
        <v/>
      </c>
      <c r="O950" s="4" t="s">
        <v>1098</v>
      </c>
      <c r="P950" s="4">
        <f>IF(ISNUMBER(Table13[[#This Row],[Claim_Date2]]),Table13[[#This Row],[Claim_Date2]],Table13[[#This Row],[Function Col32]])</f>
        <v>45278</v>
      </c>
      <c r="Q950" s="4">
        <v>45278</v>
      </c>
      <c r="R950" s="1" t="s">
        <v>30</v>
      </c>
      <c r="S950" s="1" t="s">
        <v>93</v>
      </c>
      <c r="T950" t="s">
        <v>1086</v>
      </c>
      <c r="W950">
        <f>IF(Table1[[#This Row],[Claim_Amount]]&lt;0,0,Table1[[#This Row],[Claim_Amount]])</f>
        <v>0</v>
      </c>
      <c r="X950" t="str">
        <f>IF(Table1[[#This Row],[Column1]]=0,"",Table1[[#This Row],[Column1]])</f>
        <v/>
      </c>
      <c r="Y950" t="s">
        <v>1098</v>
      </c>
      <c r="Z950">
        <v>2481</v>
      </c>
      <c r="AA950">
        <v>832</v>
      </c>
      <c r="AB950" s="1" t="s">
        <v>17</v>
      </c>
      <c r="AC950" s="1" t="s">
        <v>32</v>
      </c>
      <c r="AD950">
        <v>9</v>
      </c>
      <c r="AE950" s="3" t="s">
        <v>37</v>
      </c>
    </row>
    <row r="951" spans="1:31" ht="15.75" customHeight="1" x14ac:dyDescent="0.35">
      <c r="A951" s="1" t="s">
        <v>231</v>
      </c>
      <c r="B951" s="1" t="s">
        <v>86</v>
      </c>
      <c r="C951" t="s">
        <v>1084</v>
      </c>
      <c r="D951" s="1" t="s">
        <v>396</v>
      </c>
      <c r="E951" s="5" t="s">
        <v>396</v>
      </c>
      <c r="F951" s="4" t="str">
        <f>IF(ISNUMBER(Table13[[#This Row],[Claim_Date2]]),"",Table13[[#This Row],[Claim_Date2]])</f>
        <v>Nov 16 2023</v>
      </c>
      <c r="G951" s="4" t="s">
        <v>396</v>
      </c>
      <c r="H951" s="4" t="str">
        <f>LEFT(Table13[[#This Row],[Values Col 1]],3)</f>
        <v>Nov</v>
      </c>
      <c r="I951" s="4" t="s">
        <v>1105</v>
      </c>
      <c r="J951" s="4" t="str">
        <f>MID(Table13[[#This Row],[Function Col]],5,2)</f>
        <v>16</v>
      </c>
      <c r="K951" s="4" t="s">
        <v>1125</v>
      </c>
      <c r="L951" s="4" t="str">
        <f>RIGHT(Table13[[#This Row],[Function Col]],4)</f>
        <v>2023</v>
      </c>
      <c r="M951" s="4" t="s">
        <v>1146</v>
      </c>
      <c r="N951" s="4" t="str">
        <f>IF(Table13[[#This Row],[Function Col5]]="","",_xlfn.CONCAT(Table13[[#This Row],[Day Col]],"/",Table13[[#This Row],[Month Col]],"/",Table13[[#This Row],[Year Col]]))</f>
        <v>16/Nov/2023</v>
      </c>
      <c r="O951" s="4" t="s">
        <v>1209</v>
      </c>
      <c r="P951" s="4" t="str">
        <f>IF(ISNUMBER(Table13[[#This Row],[Claim_Date2]]),Table13[[#This Row],[Claim_Date2]],Table13[[#This Row],[Function Col32]])</f>
        <v>16/Nov/2023</v>
      </c>
      <c r="Q951" s="4">
        <v>45246</v>
      </c>
      <c r="R951" s="1" t="s">
        <v>30</v>
      </c>
      <c r="S951" s="1" t="s">
        <v>31</v>
      </c>
      <c r="T951" s="1" t="s">
        <v>54</v>
      </c>
      <c r="U951" s="1"/>
      <c r="W951">
        <f>IF(Table1[[#This Row],[Claim_Amount]]&lt;0,0,Table1[[#This Row],[Claim_Amount]])</f>
        <v>0</v>
      </c>
      <c r="X951" t="str">
        <f>IF(Table1[[#This Row],[Column1]]=0,"",Table1[[#This Row],[Column1]])</f>
        <v/>
      </c>
      <c r="Y951" t="s">
        <v>1098</v>
      </c>
      <c r="Z951">
        <v>2481</v>
      </c>
      <c r="AA951" s="1">
        <v>4466.2700000000004</v>
      </c>
      <c r="AB951" s="1" t="s">
        <v>42</v>
      </c>
      <c r="AC951" s="1" t="s">
        <v>26</v>
      </c>
      <c r="AD951">
        <v>9</v>
      </c>
      <c r="AE951" s="3" t="s">
        <v>65</v>
      </c>
    </row>
    <row r="952" spans="1:31" ht="15.75" customHeight="1" x14ac:dyDescent="0.35">
      <c r="A952" s="1" t="s">
        <v>249</v>
      </c>
      <c r="B952" t="s">
        <v>1083</v>
      </c>
      <c r="C952" t="s">
        <v>1084</v>
      </c>
      <c r="D952" s="1" t="s">
        <v>1046</v>
      </c>
      <c r="E952" s="5">
        <v>45186</v>
      </c>
      <c r="F952" s="4" t="str">
        <f>IF(ISNUMBER(Table13[[#This Row],[Claim_Date2]]),"",Table13[[#This Row],[Claim_Date2]])</f>
        <v/>
      </c>
      <c r="G952" s="4" t="s">
        <v>1098</v>
      </c>
      <c r="H952" s="4" t="str">
        <f>LEFT(Table13[[#This Row],[Values Col 1]],3)</f>
        <v/>
      </c>
      <c r="I952" s="4" t="s">
        <v>1098</v>
      </c>
      <c r="J952" s="4" t="str">
        <f>MID(Table13[[#This Row],[Function Col]],5,2)</f>
        <v/>
      </c>
      <c r="K952" s="4" t="s">
        <v>1098</v>
      </c>
      <c r="L952" s="4" t="str">
        <f>RIGHT(Table13[[#This Row],[Function Col]],4)</f>
        <v/>
      </c>
      <c r="M952" s="4" t="s">
        <v>1098</v>
      </c>
      <c r="N952" s="4" t="str">
        <f>IF(Table13[[#This Row],[Function Col5]]="","",_xlfn.CONCAT(Table13[[#This Row],[Day Col]],"/",Table13[[#This Row],[Month Col]],"/",Table13[[#This Row],[Year Col]]))</f>
        <v/>
      </c>
      <c r="O952" s="4" t="s">
        <v>1098</v>
      </c>
      <c r="P952" s="4">
        <f>IF(ISNUMBER(Table13[[#This Row],[Claim_Date2]]),Table13[[#This Row],[Claim_Date2]],Table13[[#This Row],[Function Col32]])</f>
        <v>45186</v>
      </c>
      <c r="Q952" s="4">
        <v>45186</v>
      </c>
      <c r="R952" s="1" t="s">
        <v>92</v>
      </c>
      <c r="S952" s="1" t="s">
        <v>47</v>
      </c>
      <c r="T952" s="1" t="s">
        <v>41</v>
      </c>
      <c r="U952" s="1"/>
      <c r="V952" s="1">
        <v>4238.37</v>
      </c>
      <c r="W952" s="1">
        <f>IF(Table1[[#This Row],[Claim_Amount]]&lt;0,0,Table1[[#This Row],[Claim_Amount]])</f>
        <v>4238.37</v>
      </c>
      <c r="X952" s="1">
        <f>IF(Table1[[#This Row],[Column1]]=0,"",Table1[[#This Row],[Column1]])</f>
        <v>4238.37</v>
      </c>
      <c r="Y952" s="1">
        <v>4238.37</v>
      </c>
      <c r="Z952" s="1">
        <v>4238.37</v>
      </c>
      <c r="AA952">
        <v>832</v>
      </c>
      <c r="AB952" s="1" t="s">
        <v>42</v>
      </c>
      <c r="AC952" s="1" t="s">
        <v>1093</v>
      </c>
      <c r="AD952">
        <v>9</v>
      </c>
      <c r="AE952" s="3" t="s">
        <v>1097</v>
      </c>
    </row>
    <row r="953" spans="1:31" ht="15.75" customHeight="1" x14ac:dyDescent="0.35">
      <c r="A953" s="1" t="s">
        <v>173</v>
      </c>
      <c r="B953" s="1" t="s">
        <v>858</v>
      </c>
      <c r="C953" t="s">
        <v>1084</v>
      </c>
      <c r="D953" s="1" t="s">
        <v>1047</v>
      </c>
      <c r="E953" s="5">
        <v>44973</v>
      </c>
      <c r="F953" s="4" t="str">
        <f>IF(ISNUMBER(Table13[[#This Row],[Claim_Date2]]),"",Table13[[#This Row],[Claim_Date2]])</f>
        <v/>
      </c>
      <c r="G953" s="4" t="s">
        <v>1098</v>
      </c>
      <c r="H953" s="4" t="str">
        <f>LEFT(Table13[[#This Row],[Values Col 1]],3)</f>
        <v/>
      </c>
      <c r="I953" s="4" t="s">
        <v>1098</v>
      </c>
      <c r="J953" s="4" t="str">
        <f>MID(Table13[[#This Row],[Function Col]],5,2)</f>
        <v/>
      </c>
      <c r="K953" s="4" t="s">
        <v>1098</v>
      </c>
      <c r="L953" s="4" t="str">
        <f>RIGHT(Table13[[#This Row],[Function Col]],4)</f>
        <v/>
      </c>
      <c r="M953" s="4" t="s">
        <v>1098</v>
      </c>
      <c r="N953" s="4" t="str">
        <f>IF(Table13[[#This Row],[Function Col5]]="","",_xlfn.CONCAT(Table13[[#This Row],[Day Col]],"/",Table13[[#This Row],[Month Col]],"/",Table13[[#This Row],[Year Col]]))</f>
        <v/>
      </c>
      <c r="O953" s="4" t="s">
        <v>1098</v>
      </c>
      <c r="P953" s="4">
        <f>IF(ISNUMBER(Table13[[#This Row],[Claim_Date2]]),Table13[[#This Row],[Claim_Date2]],Table13[[#This Row],[Function Col32]])</f>
        <v>44973</v>
      </c>
      <c r="Q953" s="4">
        <v>44973</v>
      </c>
      <c r="R953" s="1" t="s">
        <v>30</v>
      </c>
      <c r="S953" s="1" t="s">
        <v>53</v>
      </c>
      <c r="T953" s="1" t="s">
        <v>48</v>
      </c>
      <c r="U953" s="1"/>
      <c r="W953">
        <f>IF(Table1[[#This Row],[Claim_Amount]]&lt;0,0,Table1[[#This Row],[Claim_Amount]])</f>
        <v>0</v>
      </c>
      <c r="X953" t="str">
        <f>IF(Table1[[#This Row],[Column1]]=0,"",Table1[[#This Row],[Column1]])</f>
        <v/>
      </c>
      <c r="Y953" t="s">
        <v>1098</v>
      </c>
      <c r="Z953">
        <v>2481</v>
      </c>
      <c r="AA953">
        <v>832</v>
      </c>
      <c r="AB953" s="1" t="s">
        <v>25</v>
      </c>
      <c r="AC953" s="1" t="s">
        <v>32</v>
      </c>
      <c r="AD953" s="1">
        <v>24</v>
      </c>
      <c r="AE953" s="3" t="s">
        <v>1097</v>
      </c>
    </row>
    <row r="954" spans="1:31" ht="15.75" customHeight="1" x14ac:dyDescent="0.35">
      <c r="A954" s="1" t="s">
        <v>430</v>
      </c>
      <c r="B954" t="s">
        <v>1083</v>
      </c>
      <c r="C954" t="s">
        <v>1084</v>
      </c>
      <c r="D954" s="1" t="s">
        <v>1048</v>
      </c>
      <c r="E954" s="5">
        <v>45239</v>
      </c>
      <c r="F954" s="4" t="str">
        <f>IF(ISNUMBER(Table13[[#This Row],[Claim_Date2]]),"",Table13[[#This Row],[Claim_Date2]])</f>
        <v/>
      </c>
      <c r="G954" s="4" t="s">
        <v>1098</v>
      </c>
      <c r="H954" s="4" t="str">
        <f>LEFT(Table13[[#This Row],[Values Col 1]],3)</f>
        <v/>
      </c>
      <c r="I954" s="4" t="s">
        <v>1098</v>
      </c>
      <c r="J954" s="4" t="str">
        <f>MID(Table13[[#This Row],[Function Col]],5,2)</f>
        <v/>
      </c>
      <c r="K954" s="4" t="s">
        <v>1098</v>
      </c>
      <c r="L954" s="4" t="str">
        <f>RIGHT(Table13[[#This Row],[Function Col]],4)</f>
        <v/>
      </c>
      <c r="M954" s="4" t="s">
        <v>1098</v>
      </c>
      <c r="N954" s="4" t="str">
        <f>IF(Table13[[#This Row],[Function Col5]]="","",_xlfn.CONCAT(Table13[[#This Row],[Day Col]],"/",Table13[[#This Row],[Month Col]],"/",Table13[[#This Row],[Year Col]]))</f>
        <v/>
      </c>
      <c r="O954" s="4" t="s">
        <v>1098</v>
      </c>
      <c r="P954" s="4">
        <f>IF(ISNUMBER(Table13[[#This Row],[Claim_Date2]]),Table13[[#This Row],[Claim_Date2]],Table13[[#This Row],[Function Col32]])</f>
        <v>45239</v>
      </c>
      <c r="Q954" s="4">
        <v>45239</v>
      </c>
      <c r="R954" s="1" t="s">
        <v>77</v>
      </c>
      <c r="S954" s="1" t="s">
        <v>47</v>
      </c>
      <c r="T954" s="1" t="s">
        <v>24</v>
      </c>
      <c r="U954" s="1"/>
      <c r="V954" s="1">
        <v>-157</v>
      </c>
      <c r="W954" s="1">
        <f>IF(Table1[[#This Row],[Claim_Amount]]&lt;0,0,Table1[[#This Row],[Claim_Amount]])</f>
        <v>0</v>
      </c>
      <c r="X954" s="1" t="str">
        <f>IF(Table1[[#This Row],[Column1]]=0,"",Table1[[#This Row],[Column1]])</f>
        <v/>
      </c>
      <c r="Y954" s="1" t="s">
        <v>1098</v>
      </c>
      <c r="Z954" s="1">
        <v>2481</v>
      </c>
      <c r="AA954">
        <v>832</v>
      </c>
      <c r="AB954" s="1" t="s">
        <v>17</v>
      </c>
      <c r="AC954" s="1" t="s">
        <v>18</v>
      </c>
      <c r="AD954">
        <v>9</v>
      </c>
      <c r="AE954" s="3" t="s">
        <v>1097</v>
      </c>
    </row>
    <row r="955" spans="1:31" ht="15.75" customHeight="1" x14ac:dyDescent="0.35">
      <c r="A955" s="1" t="s">
        <v>212</v>
      </c>
      <c r="B955" t="s">
        <v>1083</v>
      </c>
      <c r="C955" t="s">
        <v>1084</v>
      </c>
      <c r="D955" s="1" t="s">
        <v>521</v>
      </c>
      <c r="E955" s="5">
        <v>45195</v>
      </c>
      <c r="F955" s="4" t="str">
        <f>IF(ISNUMBER(Table13[[#This Row],[Claim_Date2]]),"",Table13[[#This Row],[Claim_Date2]])</f>
        <v/>
      </c>
      <c r="G955" s="4" t="s">
        <v>1098</v>
      </c>
      <c r="H955" s="4" t="str">
        <f>LEFT(Table13[[#This Row],[Values Col 1]],3)</f>
        <v/>
      </c>
      <c r="I955" s="4" t="s">
        <v>1098</v>
      </c>
      <c r="J955" s="4" t="str">
        <f>MID(Table13[[#This Row],[Function Col]],5,2)</f>
        <v/>
      </c>
      <c r="K955" s="4" t="s">
        <v>1098</v>
      </c>
      <c r="L955" s="4" t="str">
        <f>RIGHT(Table13[[#This Row],[Function Col]],4)</f>
        <v/>
      </c>
      <c r="M955" s="4" t="s">
        <v>1098</v>
      </c>
      <c r="N955" s="4" t="str">
        <f>IF(Table13[[#This Row],[Function Col5]]="","",_xlfn.CONCAT(Table13[[#This Row],[Day Col]],"/",Table13[[#This Row],[Month Col]],"/",Table13[[#This Row],[Year Col]]))</f>
        <v/>
      </c>
      <c r="O955" s="4" t="s">
        <v>1098</v>
      </c>
      <c r="P955" s="4">
        <f>IF(ISNUMBER(Table13[[#This Row],[Claim_Date2]]),Table13[[#This Row],[Claim_Date2]],Table13[[#This Row],[Function Col32]])</f>
        <v>45195</v>
      </c>
      <c r="Q955" s="4">
        <v>45195</v>
      </c>
      <c r="R955" s="1" t="s">
        <v>16</v>
      </c>
      <c r="S955" s="1" t="s">
        <v>93</v>
      </c>
      <c r="T955" t="s">
        <v>1086</v>
      </c>
      <c r="W955">
        <f>IF(Table1[[#This Row],[Claim_Amount]]&lt;0,0,Table1[[#This Row],[Claim_Amount]])</f>
        <v>0</v>
      </c>
      <c r="X955" t="str">
        <f>IF(Table1[[#This Row],[Column1]]=0,"",Table1[[#This Row],[Column1]])</f>
        <v/>
      </c>
      <c r="Y955" t="s">
        <v>1098</v>
      </c>
      <c r="Z955">
        <v>2481</v>
      </c>
      <c r="AA955">
        <v>832</v>
      </c>
      <c r="AB955" s="1" t="s">
        <v>25</v>
      </c>
      <c r="AC955" s="1" t="s">
        <v>32</v>
      </c>
      <c r="AD955">
        <v>9</v>
      </c>
      <c r="AE955" s="3" t="s">
        <v>37</v>
      </c>
    </row>
    <row r="956" spans="1:31" ht="15.75" customHeight="1" x14ac:dyDescent="0.35">
      <c r="A956" s="1" t="s">
        <v>168</v>
      </c>
      <c r="B956" t="s">
        <v>1083</v>
      </c>
      <c r="C956" t="s">
        <v>1084</v>
      </c>
      <c r="D956" s="1" t="s">
        <v>1049</v>
      </c>
      <c r="E956" s="5" t="s">
        <v>1049</v>
      </c>
      <c r="F956" s="4" t="str">
        <f>IF(ISNUMBER(Table13[[#This Row],[Claim_Date2]]),"",Table13[[#This Row],[Claim_Date2]])</f>
        <v>Jan 16 2023</v>
      </c>
      <c r="G956" s="4" t="s">
        <v>1049</v>
      </c>
      <c r="H956" s="4" t="str">
        <f>LEFT(Table13[[#This Row],[Values Col 1]],3)</f>
        <v>Jan</v>
      </c>
      <c r="I956" s="4" t="s">
        <v>1107</v>
      </c>
      <c r="J956" s="4" t="str">
        <f>MID(Table13[[#This Row],[Function Col]],5,2)</f>
        <v>16</v>
      </c>
      <c r="K956" s="4" t="s">
        <v>1125</v>
      </c>
      <c r="L956" s="4" t="str">
        <f>RIGHT(Table13[[#This Row],[Function Col]],4)</f>
        <v>2023</v>
      </c>
      <c r="M956" s="4" t="s">
        <v>1146</v>
      </c>
      <c r="N956" s="4" t="str">
        <f>IF(Table13[[#This Row],[Function Col5]]="","",_xlfn.CONCAT(Table13[[#This Row],[Day Col]],"/",Table13[[#This Row],[Month Col]],"/",Table13[[#This Row],[Year Col]]))</f>
        <v>16/Jan/2023</v>
      </c>
      <c r="O956" s="4" t="s">
        <v>1359</v>
      </c>
      <c r="P956" s="4" t="str">
        <f>IF(ISNUMBER(Table13[[#This Row],[Claim_Date2]]),Table13[[#This Row],[Claim_Date2]],Table13[[#This Row],[Function Col32]])</f>
        <v>16/Jan/2023</v>
      </c>
      <c r="Q956" s="4">
        <v>44942</v>
      </c>
      <c r="R956" s="1" t="s">
        <v>16</v>
      </c>
      <c r="S956" s="1" t="s">
        <v>93</v>
      </c>
      <c r="T956" s="1" t="s">
        <v>41</v>
      </c>
      <c r="U956" s="1"/>
      <c r="W956">
        <f>IF(Table1[[#This Row],[Claim_Amount]]&lt;0,0,Table1[[#This Row],[Claim_Amount]])</f>
        <v>0</v>
      </c>
      <c r="X956" t="str">
        <f>IF(Table1[[#This Row],[Column1]]=0,"",Table1[[#This Row],[Column1]])</f>
        <v/>
      </c>
      <c r="Y956" t="s">
        <v>1098</v>
      </c>
      <c r="Z956">
        <v>2481</v>
      </c>
      <c r="AA956">
        <v>832</v>
      </c>
      <c r="AB956" s="1" t="s">
        <v>42</v>
      </c>
      <c r="AC956" s="1" t="s">
        <v>18</v>
      </c>
      <c r="AD956">
        <v>9</v>
      </c>
      <c r="AE956" s="3" t="s">
        <v>37</v>
      </c>
    </row>
    <row r="957" spans="1:31" ht="15.75" customHeight="1" x14ac:dyDescent="0.35">
      <c r="A957" s="1" t="s">
        <v>173</v>
      </c>
      <c r="B957" t="s">
        <v>1083</v>
      </c>
      <c r="C957" s="1" t="s">
        <v>982</v>
      </c>
      <c r="D957" s="1" t="s">
        <v>806</v>
      </c>
      <c r="E957" s="5">
        <v>45107</v>
      </c>
      <c r="F957" s="4" t="str">
        <f>IF(ISNUMBER(Table13[[#This Row],[Claim_Date2]]),"",Table13[[#This Row],[Claim_Date2]])</f>
        <v/>
      </c>
      <c r="G957" s="4" t="s">
        <v>1098</v>
      </c>
      <c r="H957" s="4" t="str">
        <f>LEFT(Table13[[#This Row],[Values Col 1]],3)</f>
        <v/>
      </c>
      <c r="I957" s="4" t="s">
        <v>1098</v>
      </c>
      <c r="J957" s="4" t="str">
        <f>MID(Table13[[#This Row],[Function Col]],5,2)</f>
        <v/>
      </c>
      <c r="K957" s="4" t="s">
        <v>1098</v>
      </c>
      <c r="L957" s="4" t="str">
        <f>RIGHT(Table13[[#This Row],[Function Col]],4)</f>
        <v/>
      </c>
      <c r="M957" s="4" t="s">
        <v>1098</v>
      </c>
      <c r="N957" s="4" t="str">
        <f>IF(Table13[[#This Row],[Function Col5]]="","",_xlfn.CONCAT(Table13[[#This Row],[Day Col]],"/",Table13[[#This Row],[Month Col]],"/",Table13[[#This Row],[Year Col]]))</f>
        <v/>
      </c>
      <c r="O957" s="4" t="s">
        <v>1098</v>
      </c>
      <c r="P957" s="4">
        <f>IF(ISNUMBER(Table13[[#This Row],[Claim_Date2]]),Table13[[#This Row],[Claim_Date2]],Table13[[#This Row],[Function Col32]])</f>
        <v>45107</v>
      </c>
      <c r="Q957" s="4">
        <v>45107</v>
      </c>
      <c r="R957" s="1" t="s">
        <v>16</v>
      </c>
      <c r="S957" s="1" t="s">
        <v>93</v>
      </c>
      <c r="T957" t="s">
        <v>1086</v>
      </c>
      <c r="W957">
        <f>IF(Table1[[#This Row],[Claim_Amount]]&lt;0,0,Table1[[#This Row],[Claim_Amount]])</f>
        <v>0</v>
      </c>
      <c r="X957" t="str">
        <f>IF(Table1[[#This Row],[Column1]]=0,"",Table1[[#This Row],[Column1]])</f>
        <v/>
      </c>
      <c r="Y957" t="s">
        <v>1098</v>
      </c>
      <c r="Z957">
        <v>2481</v>
      </c>
      <c r="AA957" s="1">
        <v>3958.2</v>
      </c>
      <c r="AB957" s="1" t="s">
        <v>17</v>
      </c>
      <c r="AC957" s="1" t="s">
        <v>57</v>
      </c>
      <c r="AD957">
        <v>9</v>
      </c>
      <c r="AE957" s="3" t="s">
        <v>19</v>
      </c>
    </row>
    <row r="958" spans="1:31" ht="15.75" customHeight="1" x14ac:dyDescent="0.35">
      <c r="A958" s="1" t="s">
        <v>114</v>
      </c>
      <c r="B958" s="1" t="s">
        <v>1050</v>
      </c>
      <c r="C958" s="1" t="s">
        <v>45</v>
      </c>
      <c r="D958" s="1" t="s">
        <v>40</v>
      </c>
      <c r="E958" s="5">
        <v>45277</v>
      </c>
      <c r="F958" s="4" t="str">
        <f>IF(ISNUMBER(Table13[[#This Row],[Claim_Date2]]),"",Table13[[#This Row],[Claim_Date2]])</f>
        <v/>
      </c>
      <c r="G958" s="4" t="s">
        <v>1098</v>
      </c>
      <c r="H958" s="4" t="str">
        <f>LEFT(Table13[[#This Row],[Values Col 1]],3)</f>
        <v/>
      </c>
      <c r="I958" s="4" t="s">
        <v>1098</v>
      </c>
      <c r="J958" s="4" t="str">
        <f>MID(Table13[[#This Row],[Function Col]],5,2)</f>
        <v/>
      </c>
      <c r="K958" s="4" t="s">
        <v>1098</v>
      </c>
      <c r="L958" s="4" t="str">
        <f>RIGHT(Table13[[#This Row],[Function Col]],4)</f>
        <v/>
      </c>
      <c r="M958" s="4" t="s">
        <v>1098</v>
      </c>
      <c r="N958" s="4" t="str">
        <f>IF(Table13[[#This Row],[Function Col5]]="","",_xlfn.CONCAT(Table13[[#This Row],[Day Col]],"/",Table13[[#This Row],[Month Col]],"/",Table13[[#This Row],[Year Col]]))</f>
        <v/>
      </c>
      <c r="O958" s="4" t="s">
        <v>1098</v>
      </c>
      <c r="P958" s="4">
        <f>IF(ISNUMBER(Table13[[#This Row],[Claim_Date2]]),Table13[[#This Row],[Claim_Date2]],Table13[[#This Row],[Function Col32]])</f>
        <v>45277</v>
      </c>
      <c r="Q958" s="4">
        <v>45277</v>
      </c>
      <c r="R958" s="1" t="s">
        <v>30</v>
      </c>
      <c r="S958" s="1" t="s">
        <v>31</v>
      </c>
      <c r="T958" t="s">
        <v>1086</v>
      </c>
      <c r="W958">
        <f>IF(Table1[[#This Row],[Claim_Amount]]&lt;0,0,Table1[[#This Row],[Claim_Amount]])</f>
        <v>0</v>
      </c>
      <c r="X958" t="str">
        <f>IF(Table1[[#This Row],[Column1]]=0,"",Table1[[#This Row],[Column1]])</f>
        <v/>
      </c>
      <c r="Y958" t="s">
        <v>1098</v>
      </c>
      <c r="Z958">
        <v>2481</v>
      </c>
      <c r="AA958">
        <v>832</v>
      </c>
      <c r="AB958" s="1" t="s">
        <v>25</v>
      </c>
      <c r="AC958" s="1" t="s">
        <v>18</v>
      </c>
      <c r="AD958" s="1">
        <v>36</v>
      </c>
      <c r="AE958" s="3" t="s">
        <v>37</v>
      </c>
    </row>
    <row r="959" spans="1:31" ht="15.75" customHeight="1" x14ac:dyDescent="0.35">
      <c r="A959" s="1" t="s">
        <v>66</v>
      </c>
      <c r="B959" t="s">
        <v>1083</v>
      </c>
      <c r="C959" t="s">
        <v>1084</v>
      </c>
      <c r="D959" s="1" t="s">
        <v>1051</v>
      </c>
      <c r="E959" s="5">
        <v>45238</v>
      </c>
      <c r="F959" s="4" t="str">
        <f>IF(ISNUMBER(Table13[[#This Row],[Claim_Date2]]),"",Table13[[#This Row],[Claim_Date2]])</f>
        <v/>
      </c>
      <c r="G959" s="4" t="s">
        <v>1098</v>
      </c>
      <c r="H959" s="4" t="str">
        <f>LEFT(Table13[[#This Row],[Values Col 1]],3)</f>
        <v/>
      </c>
      <c r="I959" s="4" t="s">
        <v>1098</v>
      </c>
      <c r="J959" s="4" t="str">
        <f>MID(Table13[[#This Row],[Function Col]],5,2)</f>
        <v/>
      </c>
      <c r="K959" s="4" t="s">
        <v>1098</v>
      </c>
      <c r="L959" s="4" t="str">
        <f>RIGHT(Table13[[#This Row],[Function Col]],4)</f>
        <v/>
      </c>
      <c r="M959" s="4" t="s">
        <v>1098</v>
      </c>
      <c r="N959" s="4" t="str">
        <f>IF(Table13[[#This Row],[Function Col5]]="","",_xlfn.CONCAT(Table13[[#This Row],[Day Col]],"/",Table13[[#This Row],[Month Col]],"/",Table13[[#This Row],[Year Col]]))</f>
        <v/>
      </c>
      <c r="O959" s="4" t="s">
        <v>1098</v>
      </c>
      <c r="P959" s="4">
        <f>IF(ISNUMBER(Table13[[#This Row],[Claim_Date2]]),Table13[[#This Row],[Claim_Date2]],Table13[[#This Row],[Function Col32]])</f>
        <v>45238</v>
      </c>
      <c r="Q959" s="4">
        <v>45238</v>
      </c>
      <c r="R959" s="1" t="s">
        <v>16</v>
      </c>
      <c r="S959" s="1" t="s">
        <v>93</v>
      </c>
      <c r="T959" s="1" t="s">
        <v>54</v>
      </c>
      <c r="U959" s="1"/>
      <c r="V959" s="1">
        <v>-191</v>
      </c>
      <c r="W959" s="1">
        <f>IF(Table1[[#This Row],[Claim_Amount]]&lt;0,0,Table1[[#This Row],[Claim_Amount]])</f>
        <v>0</v>
      </c>
      <c r="X959" s="1" t="str">
        <f>IF(Table1[[#This Row],[Column1]]=0,"",Table1[[#This Row],[Column1]])</f>
        <v/>
      </c>
      <c r="Y959" s="1" t="s">
        <v>1098</v>
      </c>
      <c r="Z959" s="1">
        <v>2481</v>
      </c>
      <c r="AA959" s="1">
        <v>1877.7</v>
      </c>
      <c r="AB959" s="1" t="s">
        <v>25</v>
      </c>
      <c r="AC959" s="1" t="s">
        <v>57</v>
      </c>
      <c r="AD959">
        <v>9</v>
      </c>
      <c r="AE959" s="3" t="s">
        <v>1097</v>
      </c>
    </row>
    <row r="960" spans="1:31" ht="15.75" customHeight="1" x14ac:dyDescent="0.35">
      <c r="A960" s="1" t="s">
        <v>58</v>
      </c>
      <c r="B960" t="s">
        <v>1083</v>
      </c>
      <c r="C960" t="s">
        <v>1084</v>
      </c>
      <c r="D960" s="1" t="s">
        <v>409</v>
      </c>
      <c r="E960" s="5">
        <v>45275</v>
      </c>
      <c r="F960" s="4" t="str">
        <f>IF(ISNUMBER(Table13[[#This Row],[Claim_Date2]]),"",Table13[[#This Row],[Claim_Date2]])</f>
        <v/>
      </c>
      <c r="G960" s="4" t="s">
        <v>1098</v>
      </c>
      <c r="H960" s="4" t="str">
        <f>LEFT(Table13[[#This Row],[Values Col 1]],3)</f>
        <v/>
      </c>
      <c r="I960" s="4" t="s">
        <v>1098</v>
      </c>
      <c r="J960" s="4" t="str">
        <f>MID(Table13[[#This Row],[Function Col]],5,2)</f>
        <v/>
      </c>
      <c r="K960" s="4" t="s">
        <v>1098</v>
      </c>
      <c r="L960" s="4" t="str">
        <f>RIGHT(Table13[[#This Row],[Function Col]],4)</f>
        <v/>
      </c>
      <c r="M960" s="4" t="s">
        <v>1098</v>
      </c>
      <c r="N960" s="4" t="str">
        <f>IF(Table13[[#This Row],[Function Col5]]="","",_xlfn.CONCAT(Table13[[#This Row],[Day Col]],"/",Table13[[#This Row],[Month Col]],"/",Table13[[#This Row],[Year Col]]))</f>
        <v/>
      </c>
      <c r="O960" s="4" t="s">
        <v>1098</v>
      </c>
      <c r="P960" s="4">
        <f>IF(ISNUMBER(Table13[[#This Row],[Claim_Date2]]),Table13[[#This Row],[Claim_Date2]],Table13[[#This Row],[Function Col32]])</f>
        <v>45275</v>
      </c>
      <c r="Q960" s="4">
        <v>45275</v>
      </c>
      <c r="R960" s="1" t="s">
        <v>16</v>
      </c>
      <c r="S960" s="1" t="s">
        <v>93</v>
      </c>
      <c r="T960" s="1" t="s">
        <v>41</v>
      </c>
      <c r="U960" s="1"/>
      <c r="V960" s="1">
        <v>3159.23</v>
      </c>
      <c r="W960" s="1">
        <f>IF(Table1[[#This Row],[Claim_Amount]]&lt;0,0,Table1[[#This Row],[Claim_Amount]])</f>
        <v>3159.23</v>
      </c>
      <c r="X960" s="1">
        <f>IF(Table1[[#This Row],[Column1]]=0,"",Table1[[#This Row],[Column1]])</f>
        <v>3159.23</v>
      </c>
      <c r="Y960" s="1">
        <v>3159.23</v>
      </c>
      <c r="Z960" s="1">
        <v>3159.23</v>
      </c>
      <c r="AA960" s="1">
        <v>4635.28</v>
      </c>
      <c r="AB960" s="1" t="s">
        <v>25</v>
      </c>
      <c r="AC960" s="1" t="s">
        <v>57</v>
      </c>
      <c r="AD960" s="1">
        <v>30</v>
      </c>
      <c r="AE960" s="3" t="s">
        <v>19</v>
      </c>
    </row>
    <row r="961" spans="1:31" ht="15.75" customHeight="1" x14ac:dyDescent="0.35">
      <c r="A961" s="1" t="s">
        <v>212</v>
      </c>
      <c r="B961" t="s">
        <v>1083</v>
      </c>
      <c r="C961" s="1" t="s">
        <v>666</v>
      </c>
      <c r="D961" s="1" t="s">
        <v>1052</v>
      </c>
      <c r="E961" s="5">
        <v>44946</v>
      </c>
      <c r="F961" s="4" t="str">
        <f>IF(ISNUMBER(Table13[[#This Row],[Claim_Date2]]),"",Table13[[#This Row],[Claim_Date2]])</f>
        <v/>
      </c>
      <c r="G961" s="4" t="s">
        <v>1098</v>
      </c>
      <c r="H961" s="4" t="str">
        <f>LEFT(Table13[[#This Row],[Values Col 1]],3)</f>
        <v/>
      </c>
      <c r="I961" s="4" t="s">
        <v>1098</v>
      </c>
      <c r="J961" s="4" t="str">
        <f>MID(Table13[[#This Row],[Function Col]],5,2)</f>
        <v/>
      </c>
      <c r="K961" s="4" t="s">
        <v>1098</v>
      </c>
      <c r="L961" s="4" t="str">
        <f>RIGHT(Table13[[#This Row],[Function Col]],4)</f>
        <v/>
      </c>
      <c r="M961" s="4" t="s">
        <v>1098</v>
      </c>
      <c r="N961" s="4" t="str">
        <f>IF(Table13[[#This Row],[Function Col5]]="","",_xlfn.CONCAT(Table13[[#This Row],[Day Col]],"/",Table13[[#This Row],[Month Col]],"/",Table13[[#This Row],[Year Col]]))</f>
        <v/>
      </c>
      <c r="O961" s="4" t="s">
        <v>1098</v>
      </c>
      <c r="P961" s="4">
        <f>IF(ISNUMBER(Table13[[#This Row],[Claim_Date2]]),Table13[[#This Row],[Claim_Date2]],Table13[[#This Row],[Function Col32]])</f>
        <v>44946</v>
      </c>
      <c r="Q961" s="4">
        <v>44946</v>
      </c>
      <c r="R961" s="1" t="s">
        <v>85</v>
      </c>
      <c r="S961" s="1" t="s">
        <v>53</v>
      </c>
      <c r="T961" s="1" t="s">
        <v>41</v>
      </c>
      <c r="U961" s="1"/>
      <c r="V961" s="1">
        <v>-85</v>
      </c>
      <c r="W961" s="1">
        <f>IF(Table1[[#This Row],[Claim_Amount]]&lt;0,0,Table1[[#This Row],[Claim_Amount]])</f>
        <v>0</v>
      </c>
      <c r="X961" s="1" t="str">
        <f>IF(Table1[[#This Row],[Column1]]=0,"",Table1[[#This Row],[Column1]])</f>
        <v/>
      </c>
      <c r="Y961" s="1" t="s">
        <v>1098</v>
      </c>
      <c r="Z961" s="1">
        <v>2481</v>
      </c>
      <c r="AA961">
        <v>832</v>
      </c>
      <c r="AB961" s="1" t="s">
        <v>17</v>
      </c>
      <c r="AC961" s="1" t="s">
        <v>26</v>
      </c>
      <c r="AD961">
        <v>9</v>
      </c>
      <c r="AE961" s="3" t="s">
        <v>65</v>
      </c>
    </row>
    <row r="962" spans="1:31" ht="15.75" customHeight="1" x14ac:dyDescent="0.35">
      <c r="A962" s="1" t="s">
        <v>242</v>
      </c>
      <c r="B962" s="1" t="s">
        <v>956</v>
      </c>
      <c r="C962" t="s">
        <v>1084</v>
      </c>
      <c r="D962" s="1" t="s">
        <v>264</v>
      </c>
      <c r="E962" s="5">
        <v>44976</v>
      </c>
      <c r="F962" s="4" t="str">
        <f>IF(ISNUMBER(Table13[[#This Row],[Claim_Date2]]),"",Table13[[#This Row],[Claim_Date2]])</f>
        <v/>
      </c>
      <c r="G962" s="4" t="s">
        <v>1098</v>
      </c>
      <c r="H962" s="4" t="str">
        <f>LEFT(Table13[[#This Row],[Values Col 1]],3)</f>
        <v/>
      </c>
      <c r="I962" s="4" t="s">
        <v>1098</v>
      </c>
      <c r="J962" s="4" t="str">
        <f>MID(Table13[[#This Row],[Function Col]],5,2)</f>
        <v/>
      </c>
      <c r="K962" s="4" t="s">
        <v>1098</v>
      </c>
      <c r="L962" s="4" t="str">
        <f>RIGHT(Table13[[#This Row],[Function Col]],4)</f>
        <v/>
      </c>
      <c r="M962" s="4" t="s">
        <v>1098</v>
      </c>
      <c r="N962" s="4" t="str">
        <f>IF(Table13[[#This Row],[Function Col5]]="","",_xlfn.CONCAT(Table13[[#This Row],[Day Col]],"/",Table13[[#This Row],[Month Col]],"/",Table13[[#This Row],[Year Col]]))</f>
        <v/>
      </c>
      <c r="O962" s="4" t="s">
        <v>1098</v>
      </c>
      <c r="P962" s="4">
        <f>IF(ISNUMBER(Table13[[#This Row],[Claim_Date2]]),Table13[[#This Row],[Claim_Date2]],Table13[[#This Row],[Function Col32]])</f>
        <v>44976</v>
      </c>
      <c r="Q962" s="4">
        <v>44976</v>
      </c>
      <c r="R962" s="1" t="s">
        <v>77</v>
      </c>
      <c r="S962" s="1" t="s">
        <v>31</v>
      </c>
      <c r="T962" s="1" t="s">
        <v>61</v>
      </c>
      <c r="U962" s="1"/>
      <c r="W962">
        <f>IF(Table1[[#This Row],[Claim_Amount]]&lt;0,0,Table1[[#This Row],[Claim_Amount]])</f>
        <v>0</v>
      </c>
      <c r="X962" t="str">
        <f>IF(Table1[[#This Row],[Column1]]=0,"",Table1[[#This Row],[Column1]])</f>
        <v/>
      </c>
      <c r="Y962" t="s">
        <v>1098</v>
      </c>
      <c r="Z962">
        <v>2481</v>
      </c>
      <c r="AA962" s="1">
        <v>4766.0200000000004</v>
      </c>
      <c r="AB962" s="1" t="s">
        <v>25</v>
      </c>
      <c r="AC962" s="1" t="s">
        <v>32</v>
      </c>
      <c r="AD962" s="1">
        <v>60</v>
      </c>
      <c r="AE962" s="3" t="s">
        <v>19</v>
      </c>
    </row>
    <row r="963" spans="1:31" ht="15.75" customHeight="1" x14ac:dyDescent="0.35">
      <c r="A963" s="1" t="s">
        <v>202</v>
      </c>
      <c r="B963" s="1" t="s">
        <v>1053</v>
      </c>
      <c r="C963" t="s">
        <v>1084</v>
      </c>
      <c r="D963" s="1" t="s">
        <v>1054</v>
      </c>
      <c r="E963" s="5" t="s">
        <v>1054</v>
      </c>
      <c r="F963" s="4" t="str">
        <f>IF(ISNUMBER(Table13[[#This Row],[Claim_Date2]]),"",Table13[[#This Row],[Claim_Date2]])</f>
        <v>Mar 04 2023</v>
      </c>
      <c r="G963" s="4" t="s">
        <v>1054</v>
      </c>
      <c r="H963" s="4" t="str">
        <f>LEFT(Table13[[#This Row],[Values Col 1]],3)</f>
        <v>Mar</v>
      </c>
      <c r="I963" s="4" t="s">
        <v>1100</v>
      </c>
      <c r="J963" s="4" t="str">
        <f>MID(Table13[[#This Row],[Function Col]],5,2)</f>
        <v>04</v>
      </c>
      <c r="K963" s="4" t="s">
        <v>1142</v>
      </c>
      <c r="L963" s="4" t="str">
        <f>RIGHT(Table13[[#This Row],[Function Col]],4)</f>
        <v>2023</v>
      </c>
      <c r="M963" s="4" t="s">
        <v>1146</v>
      </c>
      <c r="N963" s="4" t="str">
        <f>IF(Table13[[#This Row],[Function Col5]]="","",_xlfn.CONCAT(Table13[[#This Row],[Day Col]],"/",Table13[[#This Row],[Month Col]],"/",Table13[[#This Row],[Year Col]]))</f>
        <v>04/Mar/2023</v>
      </c>
      <c r="O963" s="4" t="s">
        <v>1360</v>
      </c>
      <c r="P963" s="4" t="str">
        <f>IF(ISNUMBER(Table13[[#This Row],[Claim_Date2]]),Table13[[#This Row],[Claim_Date2]],Table13[[#This Row],[Function Col32]])</f>
        <v>04/Mar/2023</v>
      </c>
      <c r="Q963" s="4">
        <v>44989</v>
      </c>
      <c r="R963" s="1" t="s">
        <v>30</v>
      </c>
      <c r="S963" s="1" t="s">
        <v>47</v>
      </c>
      <c r="T963" s="1" t="s">
        <v>48</v>
      </c>
      <c r="U963" s="1"/>
      <c r="W963">
        <f>IF(Table1[[#This Row],[Claim_Amount]]&lt;0,0,Table1[[#This Row],[Claim_Amount]])</f>
        <v>0</v>
      </c>
      <c r="X963" t="str">
        <f>IF(Table1[[#This Row],[Column1]]=0,"",Table1[[#This Row],[Column1]])</f>
        <v/>
      </c>
      <c r="Y963" t="s">
        <v>1098</v>
      </c>
      <c r="Z963">
        <v>2481</v>
      </c>
      <c r="AA963" s="1">
        <v>3800.94</v>
      </c>
      <c r="AB963" s="1" t="s">
        <v>42</v>
      </c>
      <c r="AC963" s="1" t="s">
        <v>32</v>
      </c>
      <c r="AD963" s="1">
        <v>8</v>
      </c>
      <c r="AE963" s="3" t="s">
        <v>1097</v>
      </c>
    </row>
    <row r="964" spans="1:31" ht="15.75" customHeight="1" x14ac:dyDescent="0.35">
      <c r="A964" s="1" t="s">
        <v>302</v>
      </c>
      <c r="B964" t="s">
        <v>1083</v>
      </c>
      <c r="C964" s="1" t="s">
        <v>442</v>
      </c>
      <c r="D964" s="1" t="s">
        <v>1055</v>
      </c>
      <c r="E964" s="5">
        <v>45096</v>
      </c>
      <c r="F964" s="4" t="str">
        <f>IF(ISNUMBER(Table13[[#This Row],[Claim_Date2]]),"",Table13[[#This Row],[Claim_Date2]])</f>
        <v/>
      </c>
      <c r="G964" s="4" t="s">
        <v>1098</v>
      </c>
      <c r="H964" s="4" t="str">
        <f>LEFT(Table13[[#This Row],[Values Col 1]],3)</f>
        <v/>
      </c>
      <c r="I964" s="4" t="s">
        <v>1098</v>
      </c>
      <c r="J964" s="4" t="str">
        <f>MID(Table13[[#This Row],[Function Col]],5,2)</f>
        <v/>
      </c>
      <c r="K964" s="4" t="s">
        <v>1098</v>
      </c>
      <c r="L964" s="4" t="str">
        <f>RIGHT(Table13[[#This Row],[Function Col]],4)</f>
        <v/>
      </c>
      <c r="M964" s="4" t="s">
        <v>1098</v>
      </c>
      <c r="N964" s="4" t="str">
        <f>IF(Table13[[#This Row],[Function Col5]]="","",_xlfn.CONCAT(Table13[[#This Row],[Day Col]],"/",Table13[[#This Row],[Month Col]],"/",Table13[[#This Row],[Year Col]]))</f>
        <v/>
      </c>
      <c r="O964" s="4" t="s">
        <v>1098</v>
      </c>
      <c r="P964" s="4">
        <f>IF(ISNUMBER(Table13[[#This Row],[Claim_Date2]]),Table13[[#This Row],[Claim_Date2]],Table13[[#This Row],[Function Col32]])</f>
        <v>45096</v>
      </c>
      <c r="Q964" s="4">
        <v>45096</v>
      </c>
      <c r="R964" s="1" t="s">
        <v>77</v>
      </c>
      <c r="S964" s="1" t="s">
        <v>23</v>
      </c>
      <c r="T964" s="1" t="s">
        <v>41</v>
      </c>
      <c r="U964" s="1"/>
      <c r="V964" s="1">
        <v>-159</v>
      </c>
      <c r="W964" s="1">
        <f>IF(Table1[[#This Row],[Claim_Amount]]&lt;0,0,Table1[[#This Row],[Claim_Amount]])</f>
        <v>0</v>
      </c>
      <c r="X964" s="1" t="str">
        <f>IF(Table1[[#This Row],[Column1]]=0,"",Table1[[#This Row],[Column1]])</f>
        <v/>
      </c>
      <c r="Y964" s="1" t="s">
        <v>1098</v>
      </c>
      <c r="Z964" s="1">
        <v>2481</v>
      </c>
      <c r="AA964">
        <v>832</v>
      </c>
      <c r="AB964" s="1" t="s">
        <v>1091</v>
      </c>
      <c r="AC964" s="1" t="s">
        <v>1093</v>
      </c>
      <c r="AD964">
        <v>9</v>
      </c>
      <c r="AE964" s="3" t="s">
        <v>65</v>
      </c>
    </row>
    <row r="965" spans="1:31" ht="15.75" customHeight="1" x14ac:dyDescent="0.35">
      <c r="A965" s="1" t="s">
        <v>277</v>
      </c>
      <c r="B965" t="s">
        <v>1083</v>
      </c>
      <c r="C965" t="s">
        <v>1084</v>
      </c>
      <c r="D965" s="1" t="s">
        <v>1056</v>
      </c>
      <c r="E965" s="5" t="s">
        <v>1056</v>
      </c>
      <c r="F965" s="4" t="str">
        <f>IF(ISNUMBER(Table13[[#This Row],[Claim_Date2]]),"",Table13[[#This Row],[Claim_Date2]])</f>
        <v>Oct 05 2023</v>
      </c>
      <c r="G965" s="4" t="s">
        <v>1056</v>
      </c>
      <c r="H965" s="4" t="str">
        <f>LEFT(Table13[[#This Row],[Values Col 1]],3)</f>
        <v>Oct</v>
      </c>
      <c r="I965" s="4" t="s">
        <v>1103</v>
      </c>
      <c r="J965" s="4" t="str">
        <f>MID(Table13[[#This Row],[Function Col]],5,2)</f>
        <v>05</v>
      </c>
      <c r="K965" s="4" t="s">
        <v>1144</v>
      </c>
      <c r="L965" s="4" t="str">
        <f>RIGHT(Table13[[#This Row],[Function Col]],4)</f>
        <v>2023</v>
      </c>
      <c r="M965" s="4" t="s">
        <v>1146</v>
      </c>
      <c r="N965" s="4" t="str">
        <f>IF(Table13[[#This Row],[Function Col5]]="","",_xlfn.CONCAT(Table13[[#This Row],[Day Col]],"/",Table13[[#This Row],[Month Col]],"/",Table13[[#This Row],[Year Col]]))</f>
        <v>05/Oct/2023</v>
      </c>
      <c r="O965" s="4" t="s">
        <v>1361</v>
      </c>
      <c r="P965" s="4" t="str">
        <f>IF(ISNUMBER(Table13[[#This Row],[Claim_Date2]]),Table13[[#This Row],[Claim_Date2]],Table13[[#This Row],[Function Col32]])</f>
        <v>05/Oct/2023</v>
      </c>
      <c r="Q965" s="4">
        <v>45204</v>
      </c>
      <c r="R965" s="1" t="s">
        <v>92</v>
      </c>
      <c r="S965" t="s">
        <v>1085</v>
      </c>
      <c r="T965" s="1" t="s">
        <v>54</v>
      </c>
      <c r="U965" s="1"/>
      <c r="W965">
        <f>IF(Table1[[#This Row],[Claim_Amount]]&lt;0,0,Table1[[#This Row],[Claim_Amount]])</f>
        <v>0</v>
      </c>
      <c r="X965" t="str">
        <f>IF(Table1[[#This Row],[Column1]]=0,"",Table1[[#This Row],[Column1]])</f>
        <v/>
      </c>
      <c r="Y965" t="s">
        <v>1098</v>
      </c>
      <c r="Z965">
        <v>2481</v>
      </c>
      <c r="AA965">
        <v>832</v>
      </c>
      <c r="AB965" s="1" t="s">
        <v>42</v>
      </c>
      <c r="AC965" s="1" t="s">
        <v>18</v>
      </c>
      <c r="AD965" s="1">
        <v>32</v>
      </c>
      <c r="AE965" s="3" t="s">
        <v>27</v>
      </c>
    </row>
    <row r="966" spans="1:31" ht="15.75" customHeight="1" x14ac:dyDescent="0.35">
      <c r="A966" s="1" t="s">
        <v>110</v>
      </c>
      <c r="B966" s="1" t="s">
        <v>704</v>
      </c>
      <c r="C966" t="s">
        <v>1084</v>
      </c>
      <c r="D966" s="1" t="s">
        <v>1057</v>
      </c>
      <c r="E966" s="5">
        <v>45097</v>
      </c>
      <c r="F966" s="4" t="str">
        <f>IF(ISNUMBER(Table13[[#This Row],[Claim_Date2]]),"",Table13[[#This Row],[Claim_Date2]])</f>
        <v/>
      </c>
      <c r="G966" s="4" t="s">
        <v>1098</v>
      </c>
      <c r="H966" s="4" t="str">
        <f>LEFT(Table13[[#This Row],[Values Col 1]],3)</f>
        <v/>
      </c>
      <c r="I966" s="4" t="s">
        <v>1098</v>
      </c>
      <c r="J966" s="4" t="str">
        <f>MID(Table13[[#This Row],[Function Col]],5,2)</f>
        <v/>
      </c>
      <c r="K966" s="4" t="s">
        <v>1098</v>
      </c>
      <c r="L966" s="4" t="str">
        <f>RIGHT(Table13[[#This Row],[Function Col]],4)</f>
        <v/>
      </c>
      <c r="M966" s="4" t="s">
        <v>1098</v>
      </c>
      <c r="N966" s="4" t="str">
        <f>IF(Table13[[#This Row],[Function Col5]]="","",_xlfn.CONCAT(Table13[[#This Row],[Day Col]],"/",Table13[[#This Row],[Month Col]],"/",Table13[[#This Row],[Year Col]]))</f>
        <v/>
      </c>
      <c r="O966" s="4" t="s">
        <v>1098</v>
      </c>
      <c r="P966" s="4">
        <f>IF(ISNUMBER(Table13[[#This Row],[Claim_Date2]]),Table13[[#This Row],[Claim_Date2]],Table13[[#This Row],[Function Col32]])</f>
        <v>45097</v>
      </c>
      <c r="Q966" s="4">
        <v>45097</v>
      </c>
      <c r="R966" s="1" t="s">
        <v>16</v>
      </c>
      <c r="S966" s="1" t="s">
        <v>23</v>
      </c>
      <c r="T966" s="1" t="s">
        <v>24</v>
      </c>
      <c r="U966" s="1"/>
      <c r="W966">
        <f>IF(Table1[[#This Row],[Claim_Amount]]&lt;0,0,Table1[[#This Row],[Claim_Amount]])</f>
        <v>0</v>
      </c>
      <c r="X966" t="str">
        <f>IF(Table1[[#This Row],[Column1]]=0,"",Table1[[#This Row],[Column1]])</f>
        <v/>
      </c>
      <c r="Y966" t="s">
        <v>1098</v>
      </c>
      <c r="Z966">
        <v>2481</v>
      </c>
      <c r="AA966" s="1">
        <v>2952.34</v>
      </c>
      <c r="AB966" s="1" t="s">
        <v>25</v>
      </c>
      <c r="AC966" s="1" t="s">
        <v>18</v>
      </c>
      <c r="AD966">
        <v>9</v>
      </c>
      <c r="AE966" s="3" t="s">
        <v>19</v>
      </c>
    </row>
    <row r="967" spans="1:31" ht="15.75" customHeight="1" x14ac:dyDescent="0.35">
      <c r="A967" s="1" t="s">
        <v>58</v>
      </c>
      <c r="B967" s="1" t="s">
        <v>1058</v>
      </c>
      <c r="C967" s="1" t="s">
        <v>484</v>
      </c>
      <c r="D967" s="1" t="s">
        <v>783</v>
      </c>
      <c r="E967" s="5">
        <v>45092</v>
      </c>
      <c r="F967" s="4" t="str">
        <f>IF(ISNUMBER(Table13[[#This Row],[Claim_Date2]]),"",Table13[[#This Row],[Claim_Date2]])</f>
        <v/>
      </c>
      <c r="G967" s="4" t="s">
        <v>1098</v>
      </c>
      <c r="H967" s="4" t="str">
        <f>LEFT(Table13[[#This Row],[Values Col 1]],3)</f>
        <v/>
      </c>
      <c r="I967" s="4" t="s">
        <v>1098</v>
      </c>
      <c r="J967" s="4" t="str">
        <f>MID(Table13[[#This Row],[Function Col]],5,2)</f>
        <v/>
      </c>
      <c r="K967" s="4" t="s">
        <v>1098</v>
      </c>
      <c r="L967" s="4" t="str">
        <f>RIGHT(Table13[[#This Row],[Function Col]],4)</f>
        <v/>
      </c>
      <c r="M967" s="4" t="s">
        <v>1098</v>
      </c>
      <c r="N967" s="4" t="str">
        <f>IF(Table13[[#This Row],[Function Col5]]="","",_xlfn.CONCAT(Table13[[#This Row],[Day Col]],"/",Table13[[#This Row],[Month Col]],"/",Table13[[#This Row],[Year Col]]))</f>
        <v/>
      </c>
      <c r="O967" s="4" t="s">
        <v>1098</v>
      </c>
      <c r="P967" s="4">
        <f>IF(ISNUMBER(Table13[[#This Row],[Claim_Date2]]),Table13[[#This Row],[Claim_Date2]],Table13[[#This Row],[Function Col32]])</f>
        <v>45092</v>
      </c>
      <c r="Q967" s="4">
        <v>45092</v>
      </c>
      <c r="R967" s="1" t="s">
        <v>30</v>
      </c>
      <c r="S967" s="1" t="s">
        <v>93</v>
      </c>
      <c r="T967" t="s">
        <v>1086</v>
      </c>
      <c r="W967">
        <f>IF(Table1[[#This Row],[Claim_Amount]]&lt;0,0,Table1[[#This Row],[Claim_Amount]])</f>
        <v>0</v>
      </c>
      <c r="X967" t="str">
        <f>IF(Table1[[#This Row],[Column1]]=0,"",Table1[[#This Row],[Column1]])</f>
        <v/>
      </c>
      <c r="Y967" t="s">
        <v>1098</v>
      </c>
      <c r="Z967">
        <v>2481</v>
      </c>
      <c r="AA967">
        <v>832</v>
      </c>
      <c r="AB967" s="1" t="s">
        <v>42</v>
      </c>
      <c r="AC967" s="1" t="s">
        <v>32</v>
      </c>
      <c r="AD967">
        <v>9</v>
      </c>
      <c r="AE967" s="3" t="s">
        <v>1097</v>
      </c>
    </row>
    <row r="968" spans="1:31" ht="15.75" customHeight="1" x14ac:dyDescent="0.35">
      <c r="A968" s="1" t="s">
        <v>110</v>
      </c>
      <c r="B968" t="s">
        <v>1083</v>
      </c>
      <c r="C968" t="s">
        <v>1084</v>
      </c>
      <c r="D968" s="1" t="s">
        <v>1059</v>
      </c>
      <c r="E968" s="5">
        <v>45000</v>
      </c>
      <c r="F968" s="4" t="str">
        <f>IF(ISNUMBER(Table13[[#This Row],[Claim_Date2]]),"",Table13[[#This Row],[Claim_Date2]])</f>
        <v/>
      </c>
      <c r="G968" s="4" t="s">
        <v>1098</v>
      </c>
      <c r="H968" s="4" t="str">
        <f>LEFT(Table13[[#This Row],[Values Col 1]],3)</f>
        <v/>
      </c>
      <c r="I968" s="4" t="s">
        <v>1098</v>
      </c>
      <c r="J968" s="4" t="str">
        <f>MID(Table13[[#This Row],[Function Col]],5,2)</f>
        <v/>
      </c>
      <c r="K968" s="4" t="s">
        <v>1098</v>
      </c>
      <c r="L968" s="4" t="str">
        <f>RIGHT(Table13[[#This Row],[Function Col]],4)</f>
        <v/>
      </c>
      <c r="M968" s="4" t="s">
        <v>1098</v>
      </c>
      <c r="N968" s="4" t="str">
        <f>IF(Table13[[#This Row],[Function Col5]]="","",_xlfn.CONCAT(Table13[[#This Row],[Day Col]],"/",Table13[[#This Row],[Month Col]],"/",Table13[[#This Row],[Year Col]]))</f>
        <v/>
      </c>
      <c r="O968" s="4" t="s">
        <v>1098</v>
      </c>
      <c r="P968" s="4">
        <f>IF(ISNUMBER(Table13[[#This Row],[Claim_Date2]]),Table13[[#This Row],[Claim_Date2]],Table13[[#This Row],[Function Col32]])</f>
        <v>45000</v>
      </c>
      <c r="Q968" s="4">
        <v>45000</v>
      </c>
      <c r="R968" s="1" t="s">
        <v>77</v>
      </c>
      <c r="S968" s="1" t="s">
        <v>53</v>
      </c>
      <c r="T968" t="s">
        <v>1086</v>
      </c>
      <c r="W968">
        <f>IF(Table1[[#This Row],[Claim_Amount]]&lt;0,0,Table1[[#This Row],[Claim_Amount]])</f>
        <v>0</v>
      </c>
      <c r="X968" t="str">
        <f>IF(Table1[[#This Row],[Column1]]=0,"",Table1[[#This Row],[Column1]])</f>
        <v/>
      </c>
      <c r="Y968" t="s">
        <v>1098</v>
      </c>
      <c r="Z968">
        <v>2481</v>
      </c>
      <c r="AA968" s="1">
        <v>3233.57</v>
      </c>
      <c r="AB968" s="1" t="s">
        <v>25</v>
      </c>
      <c r="AC968" s="1" t="s">
        <v>18</v>
      </c>
      <c r="AD968">
        <v>9</v>
      </c>
      <c r="AE968" s="3" t="s">
        <v>65</v>
      </c>
    </row>
    <row r="969" spans="1:31" ht="15.75" customHeight="1" x14ac:dyDescent="0.35">
      <c r="A969" s="1" t="s">
        <v>242</v>
      </c>
      <c r="B969" s="1" t="s">
        <v>482</v>
      </c>
      <c r="C969" s="1" t="s">
        <v>636</v>
      </c>
      <c r="D969" s="1" t="s">
        <v>1060</v>
      </c>
      <c r="E969" s="5">
        <v>45015</v>
      </c>
      <c r="F969" s="4" t="str">
        <f>IF(ISNUMBER(Table13[[#This Row],[Claim_Date2]]),"",Table13[[#This Row],[Claim_Date2]])</f>
        <v/>
      </c>
      <c r="G969" s="4" t="s">
        <v>1098</v>
      </c>
      <c r="H969" s="4" t="str">
        <f>LEFT(Table13[[#This Row],[Values Col 1]],3)</f>
        <v/>
      </c>
      <c r="I969" s="4" t="s">
        <v>1098</v>
      </c>
      <c r="J969" s="4" t="str">
        <f>MID(Table13[[#This Row],[Function Col]],5,2)</f>
        <v/>
      </c>
      <c r="K969" s="4" t="s">
        <v>1098</v>
      </c>
      <c r="L969" s="4" t="str">
        <f>RIGHT(Table13[[#This Row],[Function Col]],4)</f>
        <v/>
      </c>
      <c r="M969" s="4" t="s">
        <v>1098</v>
      </c>
      <c r="N969" s="4" t="str">
        <f>IF(Table13[[#This Row],[Function Col5]]="","",_xlfn.CONCAT(Table13[[#This Row],[Day Col]],"/",Table13[[#This Row],[Month Col]],"/",Table13[[#This Row],[Year Col]]))</f>
        <v/>
      </c>
      <c r="O969" s="4" t="s">
        <v>1098</v>
      </c>
      <c r="P969" s="4">
        <f>IF(ISNUMBER(Table13[[#This Row],[Claim_Date2]]),Table13[[#This Row],[Claim_Date2]],Table13[[#This Row],[Function Col32]])</f>
        <v>45015</v>
      </c>
      <c r="Q969" s="4">
        <v>45015</v>
      </c>
      <c r="R969" s="1" t="s">
        <v>16</v>
      </c>
      <c r="S969" s="1" t="s">
        <v>93</v>
      </c>
      <c r="T969" s="1" t="s">
        <v>24</v>
      </c>
      <c r="U969" s="1"/>
      <c r="W969">
        <f>IF(Table1[[#This Row],[Claim_Amount]]&lt;0,0,Table1[[#This Row],[Claim_Amount]])</f>
        <v>0</v>
      </c>
      <c r="X969" t="str">
        <f>IF(Table1[[#This Row],[Column1]]=0,"",Table1[[#This Row],[Column1]])</f>
        <v/>
      </c>
      <c r="Y969" t="s">
        <v>1098</v>
      </c>
      <c r="Z969">
        <v>2481</v>
      </c>
      <c r="AA969">
        <v>832</v>
      </c>
      <c r="AB969" s="1" t="s">
        <v>25</v>
      </c>
      <c r="AC969" s="1" t="s">
        <v>32</v>
      </c>
      <c r="AD969" s="1">
        <v>39</v>
      </c>
      <c r="AE969" s="3" t="s">
        <v>19</v>
      </c>
    </row>
    <row r="970" spans="1:31" ht="15.75" customHeight="1" x14ac:dyDescent="0.35">
      <c r="A970" s="1" t="s">
        <v>33</v>
      </c>
      <c r="B970" s="1" t="s">
        <v>932</v>
      </c>
      <c r="C970" s="1" t="s">
        <v>816</v>
      </c>
      <c r="D970" s="1" t="s">
        <v>1061</v>
      </c>
      <c r="E970" s="5">
        <v>45139</v>
      </c>
      <c r="F970" s="4" t="str">
        <f>IF(ISNUMBER(Table13[[#This Row],[Claim_Date2]]),"",Table13[[#This Row],[Claim_Date2]])</f>
        <v/>
      </c>
      <c r="G970" s="4" t="s">
        <v>1098</v>
      </c>
      <c r="H970" s="4" t="str">
        <f>LEFT(Table13[[#This Row],[Values Col 1]],3)</f>
        <v/>
      </c>
      <c r="I970" s="4" t="s">
        <v>1098</v>
      </c>
      <c r="J970" s="4" t="str">
        <f>MID(Table13[[#This Row],[Function Col]],5,2)</f>
        <v/>
      </c>
      <c r="K970" s="4" t="s">
        <v>1098</v>
      </c>
      <c r="L970" s="4" t="str">
        <f>RIGHT(Table13[[#This Row],[Function Col]],4)</f>
        <v/>
      </c>
      <c r="M970" s="4" t="s">
        <v>1098</v>
      </c>
      <c r="N970" s="4" t="str">
        <f>IF(Table13[[#This Row],[Function Col5]]="","",_xlfn.CONCAT(Table13[[#This Row],[Day Col]],"/",Table13[[#This Row],[Month Col]],"/",Table13[[#This Row],[Year Col]]))</f>
        <v/>
      </c>
      <c r="O970" s="4" t="s">
        <v>1098</v>
      </c>
      <c r="P970" s="4">
        <f>IF(ISNUMBER(Table13[[#This Row],[Claim_Date2]]),Table13[[#This Row],[Claim_Date2]],Table13[[#This Row],[Function Col32]])</f>
        <v>45139</v>
      </c>
      <c r="Q970" s="4">
        <v>45139</v>
      </c>
      <c r="R970" s="1" t="s">
        <v>85</v>
      </c>
      <c r="S970" t="s">
        <v>1085</v>
      </c>
      <c r="T970" s="1" t="s">
        <v>54</v>
      </c>
      <c r="U970" s="1"/>
      <c r="W970">
        <f>IF(Table1[[#This Row],[Claim_Amount]]&lt;0,0,Table1[[#This Row],[Claim_Amount]])</f>
        <v>0</v>
      </c>
      <c r="X970" t="str">
        <f>IF(Table1[[#This Row],[Column1]]=0,"",Table1[[#This Row],[Column1]])</f>
        <v/>
      </c>
      <c r="Y970" t="s">
        <v>1098</v>
      </c>
      <c r="Z970">
        <v>2481</v>
      </c>
      <c r="AA970">
        <v>832</v>
      </c>
      <c r="AB970" s="1" t="s">
        <v>1091</v>
      </c>
      <c r="AC970" s="1" t="s">
        <v>26</v>
      </c>
      <c r="AD970">
        <v>9</v>
      </c>
      <c r="AE970" s="3" t="s">
        <v>65</v>
      </c>
    </row>
    <row r="971" spans="1:31" ht="15.75" customHeight="1" x14ac:dyDescent="0.35">
      <c r="A971" s="1" t="s">
        <v>179</v>
      </c>
      <c r="B971" t="s">
        <v>1083</v>
      </c>
      <c r="C971" t="s">
        <v>1084</v>
      </c>
      <c r="D971" s="1" t="s">
        <v>751</v>
      </c>
      <c r="E971" s="5" t="s">
        <v>751</v>
      </c>
      <c r="F971" s="4" t="str">
        <f>IF(ISNUMBER(Table13[[#This Row],[Claim_Date2]]),"",Table13[[#This Row],[Claim_Date2]])</f>
        <v>Jul 05 2023</v>
      </c>
      <c r="G971" s="4" t="s">
        <v>751</v>
      </c>
      <c r="H971" s="4" t="str">
        <f>LEFT(Table13[[#This Row],[Values Col 1]],3)</f>
        <v>Jul</v>
      </c>
      <c r="I971" s="4" t="s">
        <v>1101</v>
      </c>
      <c r="J971" s="4" t="str">
        <f>MID(Table13[[#This Row],[Function Col]],5,2)</f>
        <v>05</v>
      </c>
      <c r="K971" s="4" t="s">
        <v>1144</v>
      </c>
      <c r="L971" s="4" t="str">
        <f>RIGHT(Table13[[#This Row],[Function Col]],4)</f>
        <v>2023</v>
      </c>
      <c r="M971" s="4" t="s">
        <v>1146</v>
      </c>
      <c r="N971" s="4" t="str">
        <f>IF(Table13[[#This Row],[Function Col5]]="","",_xlfn.CONCAT(Table13[[#This Row],[Day Col]],"/",Table13[[#This Row],[Month Col]],"/",Table13[[#This Row],[Year Col]]))</f>
        <v>05/Jul/2023</v>
      </c>
      <c r="O971" s="4" t="s">
        <v>1291</v>
      </c>
      <c r="P971" s="4" t="str">
        <f>IF(ISNUMBER(Table13[[#This Row],[Claim_Date2]]),Table13[[#This Row],[Claim_Date2]],Table13[[#This Row],[Function Col32]])</f>
        <v>05/Jul/2023</v>
      </c>
      <c r="Q971" s="4">
        <v>45112</v>
      </c>
      <c r="R971" s="1" t="s">
        <v>16</v>
      </c>
      <c r="S971" s="1" t="s">
        <v>31</v>
      </c>
      <c r="T971" s="1" t="s">
        <v>48</v>
      </c>
      <c r="U971" s="1"/>
      <c r="V971" s="1">
        <v>721.55</v>
      </c>
      <c r="W971" s="1">
        <f>IF(Table1[[#This Row],[Claim_Amount]]&lt;0,0,Table1[[#This Row],[Claim_Amount]])</f>
        <v>721.55</v>
      </c>
      <c r="X971" s="1">
        <f>IF(Table1[[#This Row],[Column1]]=0,"",Table1[[#This Row],[Column1]])</f>
        <v>721.55</v>
      </c>
      <c r="Y971" s="1">
        <v>721.55</v>
      </c>
      <c r="Z971" s="1">
        <v>721.55</v>
      </c>
      <c r="AA971">
        <v>832</v>
      </c>
      <c r="AB971" s="1" t="s">
        <v>25</v>
      </c>
      <c r="AC971" s="1" t="s">
        <v>57</v>
      </c>
      <c r="AD971">
        <v>9</v>
      </c>
      <c r="AE971" s="3" t="s">
        <v>37</v>
      </c>
    </row>
    <row r="972" spans="1:31" ht="15.75" customHeight="1" x14ac:dyDescent="0.35">
      <c r="A972" s="1" t="s">
        <v>33</v>
      </c>
      <c r="B972" t="s">
        <v>1083</v>
      </c>
      <c r="C972" s="1" t="s">
        <v>453</v>
      </c>
      <c r="D972" s="1" t="s">
        <v>355</v>
      </c>
      <c r="E972" s="5">
        <v>45127</v>
      </c>
      <c r="F972" s="4" t="str">
        <f>IF(ISNUMBER(Table13[[#This Row],[Claim_Date2]]),"",Table13[[#This Row],[Claim_Date2]])</f>
        <v/>
      </c>
      <c r="G972" s="4" t="s">
        <v>1098</v>
      </c>
      <c r="H972" s="4" t="str">
        <f>LEFT(Table13[[#This Row],[Values Col 1]],3)</f>
        <v/>
      </c>
      <c r="I972" s="4" t="s">
        <v>1098</v>
      </c>
      <c r="J972" s="4" t="str">
        <f>MID(Table13[[#This Row],[Function Col]],5,2)</f>
        <v/>
      </c>
      <c r="K972" s="4" t="s">
        <v>1098</v>
      </c>
      <c r="L972" s="4" t="str">
        <f>RIGHT(Table13[[#This Row],[Function Col]],4)</f>
        <v/>
      </c>
      <c r="M972" s="4" t="s">
        <v>1098</v>
      </c>
      <c r="N972" s="4" t="str">
        <f>IF(Table13[[#This Row],[Function Col5]]="","",_xlfn.CONCAT(Table13[[#This Row],[Day Col]],"/",Table13[[#This Row],[Month Col]],"/",Table13[[#This Row],[Year Col]]))</f>
        <v/>
      </c>
      <c r="O972" s="4" t="s">
        <v>1098</v>
      </c>
      <c r="P972" s="4">
        <f>IF(ISNUMBER(Table13[[#This Row],[Claim_Date2]]),Table13[[#This Row],[Claim_Date2]],Table13[[#This Row],[Function Col32]])</f>
        <v>45127</v>
      </c>
      <c r="Q972" s="4">
        <v>45127</v>
      </c>
      <c r="R972" s="1" t="s">
        <v>16</v>
      </c>
      <c r="S972" s="1" t="s">
        <v>53</v>
      </c>
      <c r="T972" s="1" t="s">
        <v>61</v>
      </c>
      <c r="U972" s="1"/>
      <c r="V972" s="1">
        <v>3244.83</v>
      </c>
      <c r="W972" s="1">
        <f>IF(Table1[[#This Row],[Claim_Amount]]&lt;0,0,Table1[[#This Row],[Claim_Amount]])</f>
        <v>3244.83</v>
      </c>
      <c r="X972" s="1">
        <f>IF(Table1[[#This Row],[Column1]]=0,"",Table1[[#This Row],[Column1]])</f>
        <v>3244.83</v>
      </c>
      <c r="Y972" s="1">
        <v>3244.83</v>
      </c>
      <c r="Z972" s="1">
        <v>3244.83</v>
      </c>
      <c r="AA972" s="1">
        <v>2312.98</v>
      </c>
      <c r="AB972" s="1" t="s">
        <v>17</v>
      </c>
      <c r="AC972" s="1" t="s">
        <v>1093</v>
      </c>
      <c r="AD972">
        <v>9</v>
      </c>
      <c r="AE972" s="3" t="s">
        <v>65</v>
      </c>
    </row>
    <row r="973" spans="1:31" ht="15.75" customHeight="1" x14ac:dyDescent="0.35">
      <c r="A973" s="1" t="s">
        <v>209</v>
      </c>
      <c r="B973" t="s">
        <v>1083</v>
      </c>
      <c r="C973" s="1" t="s">
        <v>200</v>
      </c>
      <c r="D973" s="1" t="s">
        <v>864</v>
      </c>
      <c r="E973" s="5">
        <v>45093</v>
      </c>
      <c r="F973" s="4" t="str">
        <f>IF(ISNUMBER(Table13[[#This Row],[Claim_Date2]]),"",Table13[[#This Row],[Claim_Date2]])</f>
        <v/>
      </c>
      <c r="G973" s="4" t="s">
        <v>1098</v>
      </c>
      <c r="H973" s="4" t="str">
        <f>LEFT(Table13[[#This Row],[Values Col 1]],3)</f>
        <v/>
      </c>
      <c r="I973" s="4" t="s">
        <v>1098</v>
      </c>
      <c r="J973" s="4" t="str">
        <f>MID(Table13[[#This Row],[Function Col]],5,2)</f>
        <v/>
      </c>
      <c r="K973" s="4" t="s">
        <v>1098</v>
      </c>
      <c r="L973" s="4" t="str">
        <f>RIGHT(Table13[[#This Row],[Function Col]],4)</f>
        <v/>
      </c>
      <c r="M973" s="4" t="s">
        <v>1098</v>
      </c>
      <c r="N973" s="4" t="str">
        <f>IF(Table13[[#This Row],[Function Col5]]="","",_xlfn.CONCAT(Table13[[#This Row],[Day Col]],"/",Table13[[#This Row],[Month Col]],"/",Table13[[#This Row],[Year Col]]))</f>
        <v/>
      </c>
      <c r="O973" s="4" t="s">
        <v>1098</v>
      </c>
      <c r="P973" s="4">
        <f>IF(ISNUMBER(Table13[[#This Row],[Claim_Date2]]),Table13[[#This Row],[Claim_Date2]],Table13[[#This Row],[Function Col32]])</f>
        <v>45093</v>
      </c>
      <c r="Q973" s="4">
        <v>45093</v>
      </c>
      <c r="R973" s="1" t="s">
        <v>30</v>
      </c>
      <c r="S973" s="1" t="s">
        <v>47</v>
      </c>
      <c r="T973" s="1" t="s">
        <v>54</v>
      </c>
      <c r="U973" s="1"/>
      <c r="W973">
        <f>IF(Table1[[#This Row],[Claim_Amount]]&lt;0,0,Table1[[#This Row],[Claim_Amount]])</f>
        <v>0</v>
      </c>
      <c r="X973" t="str">
        <f>IF(Table1[[#This Row],[Column1]]=0,"",Table1[[#This Row],[Column1]])</f>
        <v/>
      </c>
      <c r="Y973" t="s">
        <v>1098</v>
      </c>
      <c r="Z973">
        <v>2481</v>
      </c>
      <c r="AA973">
        <v>832</v>
      </c>
      <c r="AB973" s="1" t="s">
        <v>25</v>
      </c>
      <c r="AC973" s="1" t="s">
        <v>32</v>
      </c>
      <c r="AD973">
        <v>9</v>
      </c>
      <c r="AE973" s="3" t="s">
        <v>19</v>
      </c>
    </row>
    <row r="974" spans="1:31" ht="15.75" customHeight="1" x14ac:dyDescent="0.35">
      <c r="A974" s="1" t="s">
        <v>13</v>
      </c>
      <c r="B974" s="1" t="s">
        <v>1062</v>
      </c>
      <c r="C974" s="1" t="s">
        <v>228</v>
      </c>
      <c r="D974" s="1" t="s">
        <v>492</v>
      </c>
      <c r="E974" s="5" t="s">
        <v>492</v>
      </c>
      <c r="F974" s="4" t="str">
        <f>IF(ISNUMBER(Table13[[#This Row],[Claim_Date2]]),"",Table13[[#This Row],[Claim_Date2]])</f>
        <v>Jun 16 2023</v>
      </c>
      <c r="G974" s="4" t="s">
        <v>492</v>
      </c>
      <c r="H974" s="4" t="str">
        <f>LEFT(Table13[[#This Row],[Values Col 1]],3)</f>
        <v>Jun</v>
      </c>
      <c r="I974" s="4" t="s">
        <v>1108</v>
      </c>
      <c r="J974" s="4" t="str">
        <f>MID(Table13[[#This Row],[Function Col]],5,2)</f>
        <v>16</v>
      </c>
      <c r="K974" s="4" t="s">
        <v>1125</v>
      </c>
      <c r="L974" s="4" t="str">
        <f>RIGHT(Table13[[#This Row],[Function Col]],4)</f>
        <v>2023</v>
      </c>
      <c r="M974" s="4" t="s">
        <v>1146</v>
      </c>
      <c r="N974" s="4" t="str">
        <f>IF(Table13[[#This Row],[Function Col5]]="","",_xlfn.CONCAT(Table13[[#This Row],[Day Col]],"/",Table13[[#This Row],[Month Col]],"/",Table13[[#This Row],[Year Col]]))</f>
        <v>16/Jun/2023</v>
      </c>
      <c r="O974" s="4" t="s">
        <v>1232</v>
      </c>
      <c r="P974" s="4" t="str">
        <f>IF(ISNUMBER(Table13[[#This Row],[Claim_Date2]]),Table13[[#This Row],[Claim_Date2]],Table13[[#This Row],[Function Col32]])</f>
        <v>16/Jun/2023</v>
      </c>
      <c r="Q974" s="4">
        <v>45093</v>
      </c>
      <c r="R974" s="1" t="s">
        <v>92</v>
      </c>
      <c r="S974" t="s">
        <v>1085</v>
      </c>
      <c r="T974" s="1" t="s">
        <v>24</v>
      </c>
      <c r="U974" s="1"/>
      <c r="W974">
        <f>IF(Table1[[#This Row],[Claim_Amount]]&lt;0,0,Table1[[#This Row],[Claim_Amount]])</f>
        <v>0</v>
      </c>
      <c r="X974" t="str">
        <f>IF(Table1[[#This Row],[Column1]]=0,"",Table1[[#This Row],[Column1]])</f>
        <v/>
      </c>
      <c r="Y974" t="s">
        <v>1098</v>
      </c>
      <c r="Z974">
        <v>2481</v>
      </c>
      <c r="AA974">
        <v>832</v>
      </c>
      <c r="AB974" s="1" t="s">
        <v>42</v>
      </c>
      <c r="AC974" s="1" t="s">
        <v>1093</v>
      </c>
      <c r="AD974">
        <v>9</v>
      </c>
      <c r="AE974" s="3" t="s">
        <v>37</v>
      </c>
    </row>
    <row r="975" spans="1:31" ht="15.75" customHeight="1" x14ac:dyDescent="0.35">
      <c r="A975" s="1" t="s">
        <v>148</v>
      </c>
      <c r="B975" t="s">
        <v>1083</v>
      </c>
      <c r="C975" s="1" t="s">
        <v>581</v>
      </c>
      <c r="D975" s="1" t="s">
        <v>983</v>
      </c>
      <c r="E975" s="5">
        <v>45128</v>
      </c>
      <c r="F975" s="4" t="str">
        <f>IF(ISNUMBER(Table13[[#This Row],[Claim_Date2]]),"",Table13[[#This Row],[Claim_Date2]])</f>
        <v/>
      </c>
      <c r="G975" s="4" t="s">
        <v>1098</v>
      </c>
      <c r="H975" s="4" t="str">
        <f>LEFT(Table13[[#This Row],[Values Col 1]],3)</f>
        <v/>
      </c>
      <c r="I975" s="4" t="s">
        <v>1098</v>
      </c>
      <c r="J975" s="4" t="str">
        <f>MID(Table13[[#This Row],[Function Col]],5,2)</f>
        <v/>
      </c>
      <c r="K975" s="4" t="s">
        <v>1098</v>
      </c>
      <c r="L975" s="4" t="str">
        <f>RIGHT(Table13[[#This Row],[Function Col]],4)</f>
        <v/>
      </c>
      <c r="M975" s="4" t="s">
        <v>1098</v>
      </c>
      <c r="N975" s="4" t="str">
        <f>IF(Table13[[#This Row],[Function Col5]]="","",_xlfn.CONCAT(Table13[[#This Row],[Day Col]],"/",Table13[[#This Row],[Month Col]],"/",Table13[[#This Row],[Year Col]]))</f>
        <v/>
      </c>
      <c r="O975" s="4" t="s">
        <v>1098</v>
      </c>
      <c r="P975" s="4">
        <f>IF(ISNUMBER(Table13[[#This Row],[Claim_Date2]]),Table13[[#This Row],[Claim_Date2]],Table13[[#This Row],[Function Col32]])</f>
        <v>45128</v>
      </c>
      <c r="Q975" s="4">
        <v>45128</v>
      </c>
      <c r="R975" s="1" t="s">
        <v>30</v>
      </c>
      <c r="S975" s="1" t="s">
        <v>31</v>
      </c>
      <c r="T975" s="1" t="s">
        <v>41</v>
      </c>
      <c r="U975" s="1"/>
      <c r="V975" s="1">
        <v>-157</v>
      </c>
      <c r="W975" s="1">
        <f>IF(Table1[[#This Row],[Claim_Amount]]&lt;0,0,Table1[[#This Row],[Claim_Amount]])</f>
        <v>0</v>
      </c>
      <c r="X975" s="1" t="str">
        <f>IF(Table1[[#This Row],[Column1]]=0,"",Table1[[#This Row],[Column1]])</f>
        <v/>
      </c>
      <c r="Y975" s="1" t="s">
        <v>1098</v>
      </c>
      <c r="Z975" s="1">
        <v>2481</v>
      </c>
      <c r="AA975">
        <v>832</v>
      </c>
      <c r="AB975" s="1" t="s">
        <v>25</v>
      </c>
      <c r="AC975" s="1" t="s">
        <v>18</v>
      </c>
      <c r="AD975">
        <v>9</v>
      </c>
      <c r="AE975" s="3" t="s">
        <v>1097</v>
      </c>
    </row>
    <row r="976" spans="1:31" ht="15.75" customHeight="1" x14ac:dyDescent="0.35">
      <c r="A976" s="1" t="s">
        <v>66</v>
      </c>
      <c r="B976" s="1" t="s">
        <v>1063</v>
      </c>
      <c r="C976" s="1" t="s">
        <v>200</v>
      </c>
      <c r="D976" s="1" t="s">
        <v>1064</v>
      </c>
      <c r="E976" s="5">
        <v>45152</v>
      </c>
      <c r="F976" s="4" t="str">
        <f>IF(ISNUMBER(Table13[[#This Row],[Claim_Date2]]),"",Table13[[#This Row],[Claim_Date2]])</f>
        <v/>
      </c>
      <c r="G976" s="4" t="s">
        <v>1098</v>
      </c>
      <c r="H976" s="4" t="str">
        <f>LEFT(Table13[[#This Row],[Values Col 1]],3)</f>
        <v/>
      </c>
      <c r="I976" s="4" t="s">
        <v>1098</v>
      </c>
      <c r="J976" s="4" t="str">
        <f>MID(Table13[[#This Row],[Function Col]],5,2)</f>
        <v/>
      </c>
      <c r="K976" s="4" t="s">
        <v>1098</v>
      </c>
      <c r="L976" s="4" t="str">
        <f>RIGHT(Table13[[#This Row],[Function Col]],4)</f>
        <v/>
      </c>
      <c r="M976" s="4" t="s">
        <v>1098</v>
      </c>
      <c r="N976" s="4" t="str">
        <f>IF(Table13[[#This Row],[Function Col5]]="","",_xlfn.CONCAT(Table13[[#This Row],[Day Col]],"/",Table13[[#This Row],[Month Col]],"/",Table13[[#This Row],[Year Col]]))</f>
        <v/>
      </c>
      <c r="O976" s="4" t="s">
        <v>1098</v>
      </c>
      <c r="P976" s="4">
        <f>IF(ISNUMBER(Table13[[#This Row],[Claim_Date2]]),Table13[[#This Row],[Claim_Date2]],Table13[[#This Row],[Function Col32]])</f>
        <v>45152</v>
      </c>
      <c r="Q976" s="4">
        <v>45152</v>
      </c>
      <c r="R976" s="1" t="s">
        <v>92</v>
      </c>
      <c r="S976" s="1" t="s">
        <v>93</v>
      </c>
      <c r="T976" t="s">
        <v>1086</v>
      </c>
      <c r="V976" s="1">
        <v>-129</v>
      </c>
      <c r="W976" s="1">
        <f>IF(Table1[[#This Row],[Claim_Amount]]&lt;0,0,Table1[[#This Row],[Claim_Amount]])</f>
        <v>0</v>
      </c>
      <c r="X976" s="1" t="str">
        <f>IF(Table1[[#This Row],[Column1]]=0,"",Table1[[#This Row],[Column1]])</f>
        <v/>
      </c>
      <c r="Y976" s="1" t="s">
        <v>1098</v>
      </c>
      <c r="Z976" s="1">
        <v>2481</v>
      </c>
      <c r="AA976" s="1">
        <v>3607.88</v>
      </c>
      <c r="AB976" s="1" t="s">
        <v>25</v>
      </c>
      <c r="AC976" s="1" t="s">
        <v>32</v>
      </c>
      <c r="AD976">
        <v>9</v>
      </c>
      <c r="AE976" s="3" t="s">
        <v>1097</v>
      </c>
    </row>
    <row r="977" spans="1:31" ht="15.75" customHeight="1" x14ac:dyDescent="0.35">
      <c r="A977" s="1" t="s">
        <v>302</v>
      </c>
      <c r="B977" s="1" t="s">
        <v>1065</v>
      </c>
      <c r="C977" s="1" t="s">
        <v>213</v>
      </c>
      <c r="D977" s="1" t="s">
        <v>345</v>
      </c>
      <c r="E977" s="5">
        <v>44977</v>
      </c>
      <c r="F977" s="4" t="str">
        <f>IF(ISNUMBER(Table13[[#This Row],[Claim_Date2]]),"",Table13[[#This Row],[Claim_Date2]])</f>
        <v/>
      </c>
      <c r="G977" s="4" t="s">
        <v>1098</v>
      </c>
      <c r="H977" s="4" t="str">
        <f>LEFT(Table13[[#This Row],[Values Col 1]],3)</f>
        <v/>
      </c>
      <c r="I977" s="4" t="s">
        <v>1098</v>
      </c>
      <c r="J977" s="4" t="str">
        <f>MID(Table13[[#This Row],[Function Col]],5,2)</f>
        <v/>
      </c>
      <c r="K977" s="4" t="s">
        <v>1098</v>
      </c>
      <c r="L977" s="4" t="str">
        <f>RIGHT(Table13[[#This Row],[Function Col]],4)</f>
        <v/>
      </c>
      <c r="M977" s="4" t="s">
        <v>1098</v>
      </c>
      <c r="N977" s="4" t="str">
        <f>IF(Table13[[#This Row],[Function Col5]]="","",_xlfn.CONCAT(Table13[[#This Row],[Day Col]],"/",Table13[[#This Row],[Month Col]],"/",Table13[[#This Row],[Year Col]]))</f>
        <v/>
      </c>
      <c r="O977" s="4" t="s">
        <v>1098</v>
      </c>
      <c r="P977" s="4">
        <f>IF(ISNUMBER(Table13[[#This Row],[Claim_Date2]]),Table13[[#This Row],[Claim_Date2]],Table13[[#This Row],[Function Col32]])</f>
        <v>44977</v>
      </c>
      <c r="Q977" s="4">
        <v>44977</v>
      </c>
      <c r="R977" s="1" t="s">
        <v>77</v>
      </c>
      <c r="S977" t="s">
        <v>1085</v>
      </c>
      <c r="T977" t="s">
        <v>1086</v>
      </c>
      <c r="W977">
        <f>IF(Table1[[#This Row],[Claim_Amount]]&lt;0,0,Table1[[#This Row],[Claim_Amount]])</f>
        <v>0</v>
      </c>
      <c r="X977" t="str">
        <f>IF(Table1[[#This Row],[Column1]]=0,"",Table1[[#This Row],[Column1]])</f>
        <v/>
      </c>
      <c r="Y977" t="s">
        <v>1098</v>
      </c>
      <c r="Z977">
        <v>2481</v>
      </c>
      <c r="AA977" s="1">
        <v>907.67</v>
      </c>
      <c r="AB977" s="1" t="s">
        <v>42</v>
      </c>
      <c r="AC977" s="1" t="s">
        <v>57</v>
      </c>
      <c r="AD977">
        <v>9</v>
      </c>
      <c r="AE977" s="3" t="s">
        <v>37</v>
      </c>
    </row>
    <row r="978" spans="1:31" ht="15.75" customHeight="1" x14ac:dyDescent="0.35">
      <c r="A978" s="1" t="s">
        <v>302</v>
      </c>
      <c r="B978" t="s">
        <v>1083</v>
      </c>
      <c r="C978" t="s">
        <v>1084</v>
      </c>
      <c r="D978" s="1" t="s">
        <v>892</v>
      </c>
      <c r="E978" s="5" t="s">
        <v>892</v>
      </c>
      <c r="F978" s="4" t="str">
        <f>IF(ISNUMBER(Table13[[#This Row],[Claim_Date2]]),"",Table13[[#This Row],[Claim_Date2]])</f>
        <v>Apr 18 2023</v>
      </c>
      <c r="G978" s="4" t="s">
        <v>892</v>
      </c>
      <c r="H978" s="4" t="str">
        <f>LEFT(Table13[[#This Row],[Values Col 1]],3)</f>
        <v>Apr</v>
      </c>
      <c r="I978" s="4" t="s">
        <v>1104</v>
      </c>
      <c r="J978" s="4" t="str">
        <f>MID(Table13[[#This Row],[Function Col]],5,2)</f>
        <v>18</v>
      </c>
      <c r="K978" s="4" t="s">
        <v>1129</v>
      </c>
      <c r="L978" s="4" t="str">
        <f>RIGHT(Table13[[#This Row],[Function Col]],4)</f>
        <v>2023</v>
      </c>
      <c r="M978" s="4" t="s">
        <v>1146</v>
      </c>
      <c r="N978" s="4" t="str">
        <f>IF(Table13[[#This Row],[Function Col5]]="","",_xlfn.CONCAT(Table13[[#This Row],[Day Col]],"/",Table13[[#This Row],[Month Col]],"/",Table13[[#This Row],[Year Col]]))</f>
        <v>18/Apr/2023</v>
      </c>
      <c r="O978" s="4" t="s">
        <v>1324</v>
      </c>
      <c r="P978" s="4" t="str">
        <f>IF(ISNUMBER(Table13[[#This Row],[Claim_Date2]]),Table13[[#This Row],[Claim_Date2]],Table13[[#This Row],[Function Col32]])</f>
        <v>18/Apr/2023</v>
      </c>
      <c r="Q978" s="4">
        <v>45034</v>
      </c>
      <c r="R978" s="1" t="s">
        <v>16</v>
      </c>
      <c r="S978" t="s">
        <v>1085</v>
      </c>
      <c r="T978" t="s">
        <v>1086</v>
      </c>
      <c r="W978">
        <f>IF(Table1[[#This Row],[Claim_Amount]]&lt;0,0,Table1[[#This Row],[Claim_Amount]])</f>
        <v>0</v>
      </c>
      <c r="X978" t="str">
        <f>IF(Table1[[#This Row],[Column1]]=0,"",Table1[[#This Row],[Column1]])</f>
        <v/>
      </c>
      <c r="Y978" t="s">
        <v>1098</v>
      </c>
      <c r="Z978">
        <v>2481</v>
      </c>
      <c r="AA978">
        <v>832</v>
      </c>
      <c r="AB978" s="1" t="s">
        <v>1091</v>
      </c>
      <c r="AC978" s="1" t="s">
        <v>1093</v>
      </c>
      <c r="AD978" s="1">
        <v>59</v>
      </c>
      <c r="AE978" s="3" t="s">
        <v>19</v>
      </c>
    </row>
    <row r="979" spans="1:31" ht="15.75" customHeight="1" x14ac:dyDescent="0.35">
      <c r="A979" s="1" t="s">
        <v>212</v>
      </c>
      <c r="B979" t="s">
        <v>1083</v>
      </c>
      <c r="C979" s="1" t="s">
        <v>94</v>
      </c>
      <c r="D979" s="1" t="s">
        <v>1066</v>
      </c>
      <c r="E979" s="5" t="s">
        <v>1066</v>
      </c>
      <c r="F979" s="4" t="str">
        <f>IF(ISNUMBER(Table13[[#This Row],[Claim_Date2]]),"",Table13[[#This Row],[Claim_Date2]])</f>
        <v>Feb 11 2023</v>
      </c>
      <c r="G979" s="4" t="s">
        <v>1066</v>
      </c>
      <c r="H979" s="4" t="str">
        <f>LEFT(Table13[[#This Row],[Values Col 1]],3)</f>
        <v>Feb</v>
      </c>
      <c r="I979" s="4" t="s">
        <v>1109</v>
      </c>
      <c r="J979" s="4" t="str">
        <f>MID(Table13[[#This Row],[Function Col]],5,2)</f>
        <v>11</v>
      </c>
      <c r="K979" s="4" t="s">
        <v>1121</v>
      </c>
      <c r="L979" s="4" t="str">
        <f>RIGHT(Table13[[#This Row],[Function Col]],4)</f>
        <v>2023</v>
      </c>
      <c r="M979" s="4" t="s">
        <v>1146</v>
      </c>
      <c r="N979" s="4" t="str">
        <f>IF(Table13[[#This Row],[Function Col5]]="","",_xlfn.CONCAT(Table13[[#This Row],[Day Col]],"/",Table13[[#This Row],[Month Col]],"/",Table13[[#This Row],[Year Col]]))</f>
        <v>11/Feb/2023</v>
      </c>
      <c r="O979" s="4" t="s">
        <v>1362</v>
      </c>
      <c r="P979" s="4" t="str">
        <f>IF(ISNUMBER(Table13[[#This Row],[Claim_Date2]]),Table13[[#This Row],[Claim_Date2]],Table13[[#This Row],[Function Col32]])</f>
        <v>11/Feb/2023</v>
      </c>
      <c r="Q979" s="4">
        <v>44968</v>
      </c>
      <c r="R979" s="1" t="s">
        <v>85</v>
      </c>
      <c r="S979" s="1" t="s">
        <v>47</v>
      </c>
      <c r="T979" s="1" t="s">
        <v>41</v>
      </c>
      <c r="U979" s="1"/>
      <c r="W979">
        <f>IF(Table1[[#This Row],[Claim_Amount]]&lt;0,0,Table1[[#This Row],[Claim_Amount]])</f>
        <v>0</v>
      </c>
      <c r="X979" t="str">
        <f>IF(Table1[[#This Row],[Column1]]=0,"",Table1[[#This Row],[Column1]])</f>
        <v/>
      </c>
      <c r="Y979" t="s">
        <v>1098</v>
      </c>
      <c r="Z979">
        <v>2481</v>
      </c>
      <c r="AA979" s="1">
        <v>4184.16</v>
      </c>
      <c r="AB979" s="1" t="s">
        <v>17</v>
      </c>
      <c r="AC979" s="1" t="s">
        <v>57</v>
      </c>
      <c r="AD979" s="1">
        <v>57</v>
      </c>
      <c r="AE979" s="3" t="s">
        <v>19</v>
      </c>
    </row>
    <row r="980" spans="1:31" ht="15.75" customHeight="1" x14ac:dyDescent="0.35">
      <c r="A980" s="1" t="s">
        <v>202</v>
      </c>
      <c r="B980" t="s">
        <v>1083</v>
      </c>
      <c r="C980" s="1" t="s">
        <v>156</v>
      </c>
      <c r="D980" s="1" t="s">
        <v>1067</v>
      </c>
      <c r="E980" s="5">
        <v>45227</v>
      </c>
      <c r="F980" s="4" t="str">
        <f>IF(ISNUMBER(Table13[[#This Row],[Claim_Date2]]),"",Table13[[#This Row],[Claim_Date2]])</f>
        <v/>
      </c>
      <c r="G980" s="4" t="s">
        <v>1098</v>
      </c>
      <c r="H980" s="4" t="str">
        <f>LEFT(Table13[[#This Row],[Values Col 1]],3)</f>
        <v/>
      </c>
      <c r="I980" s="4" t="s">
        <v>1098</v>
      </c>
      <c r="J980" s="4" t="str">
        <f>MID(Table13[[#This Row],[Function Col]],5,2)</f>
        <v/>
      </c>
      <c r="K980" s="4" t="s">
        <v>1098</v>
      </c>
      <c r="L980" s="4" t="str">
        <f>RIGHT(Table13[[#This Row],[Function Col]],4)</f>
        <v/>
      </c>
      <c r="M980" s="4" t="s">
        <v>1098</v>
      </c>
      <c r="N980" s="4" t="str">
        <f>IF(Table13[[#This Row],[Function Col5]]="","",_xlfn.CONCAT(Table13[[#This Row],[Day Col]],"/",Table13[[#This Row],[Month Col]],"/",Table13[[#This Row],[Year Col]]))</f>
        <v/>
      </c>
      <c r="O980" s="4" t="s">
        <v>1098</v>
      </c>
      <c r="P980" s="4">
        <f>IF(ISNUMBER(Table13[[#This Row],[Claim_Date2]]),Table13[[#This Row],[Claim_Date2]],Table13[[#This Row],[Function Col32]])</f>
        <v>45227</v>
      </c>
      <c r="Q980" s="4">
        <v>45227</v>
      </c>
      <c r="R980" s="1" t="s">
        <v>16</v>
      </c>
      <c r="S980" s="1" t="s">
        <v>31</v>
      </c>
      <c r="T980" s="1" t="s">
        <v>24</v>
      </c>
      <c r="U980" s="1"/>
      <c r="W980">
        <f>IF(Table1[[#This Row],[Claim_Amount]]&lt;0,0,Table1[[#This Row],[Claim_Amount]])</f>
        <v>0</v>
      </c>
      <c r="X980" t="str">
        <f>IF(Table1[[#This Row],[Column1]]=0,"",Table1[[#This Row],[Column1]])</f>
        <v/>
      </c>
      <c r="Y980" t="s">
        <v>1098</v>
      </c>
      <c r="Z980">
        <v>2481</v>
      </c>
      <c r="AA980" s="1">
        <v>330.61</v>
      </c>
      <c r="AB980" s="1" t="s">
        <v>25</v>
      </c>
      <c r="AC980" s="1" t="s">
        <v>57</v>
      </c>
      <c r="AD980">
        <v>9</v>
      </c>
      <c r="AE980" s="3" t="s">
        <v>19</v>
      </c>
    </row>
    <row r="981" spans="1:31" ht="15.75" customHeight="1" x14ac:dyDescent="0.35">
      <c r="A981" s="1" t="s">
        <v>187</v>
      </c>
      <c r="B981" t="s">
        <v>1083</v>
      </c>
      <c r="C981" s="1" t="s">
        <v>625</v>
      </c>
      <c r="D981" s="1" t="s">
        <v>849</v>
      </c>
      <c r="E981" s="5">
        <v>44985</v>
      </c>
      <c r="F981" s="4" t="str">
        <f>IF(ISNUMBER(Table13[[#This Row],[Claim_Date2]]),"",Table13[[#This Row],[Claim_Date2]])</f>
        <v/>
      </c>
      <c r="G981" s="4" t="s">
        <v>1098</v>
      </c>
      <c r="H981" s="4" t="str">
        <f>LEFT(Table13[[#This Row],[Values Col 1]],3)</f>
        <v/>
      </c>
      <c r="I981" s="4" t="s">
        <v>1098</v>
      </c>
      <c r="J981" s="4" t="str">
        <f>MID(Table13[[#This Row],[Function Col]],5,2)</f>
        <v/>
      </c>
      <c r="K981" s="4" t="s">
        <v>1098</v>
      </c>
      <c r="L981" s="4" t="str">
        <f>RIGHT(Table13[[#This Row],[Function Col]],4)</f>
        <v/>
      </c>
      <c r="M981" s="4" t="s">
        <v>1098</v>
      </c>
      <c r="N981" s="4" t="str">
        <f>IF(Table13[[#This Row],[Function Col5]]="","",_xlfn.CONCAT(Table13[[#This Row],[Day Col]],"/",Table13[[#This Row],[Month Col]],"/",Table13[[#This Row],[Year Col]]))</f>
        <v/>
      </c>
      <c r="O981" s="4" t="s">
        <v>1098</v>
      </c>
      <c r="P981" s="4">
        <f>IF(ISNUMBER(Table13[[#This Row],[Claim_Date2]]),Table13[[#This Row],[Claim_Date2]],Table13[[#This Row],[Function Col32]])</f>
        <v>44985</v>
      </c>
      <c r="Q981" s="4">
        <v>44985</v>
      </c>
      <c r="R981" s="1" t="s">
        <v>16</v>
      </c>
      <c r="S981" t="s">
        <v>1085</v>
      </c>
      <c r="T981" s="1" t="s">
        <v>24</v>
      </c>
      <c r="U981" s="1"/>
      <c r="W981">
        <f>IF(Table1[[#This Row],[Claim_Amount]]&lt;0,0,Table1[[#This Row],[Claim_Amount]])</f>
        <v>0</v>
      </c>
      <c r="X981" t="str">
        <f>IF(Table1[[#This Row],[Column1]]=0,"",Table1[[#This Row],[Column1]])</f>
        <v/>
      </c>
      <c r="Y981" t="s">
        <v>1098</v>
      </c>
      <c r="Z981">
        <v>2481</v>
      </c>
      <c r="AA981">
        <v>832</v>
      </c>
      <c r="AB981" s="1" t="s">
        <v>25</v>
      </c>
      <c r="AC981" s="1" t="s">
        <v>1093</v>
      </c>
      <c r="AD981">
        <v>9</v>
      </c>
      <c r="AE981" s="3" t="s">
        <v>65</v>
      </c>
    </row>
    <row r="982" spans="1:31" ht="15.75" customHeight="1" x14ac:dyDescent="0.35">
      <c r="A982" s="1" t="s">
        <v>82</v>
      </c>
      <c r="B982" t="s">
        <v>1083</v>
      </c>
      <c r="C982" s="1" t="s">
        <v>224</v>
      </c>
      <c r="D982" s="1" t="s">
        <v>1068</v>
      </c>
      <c r="E982" s="5">
        <v>44984</v>
      </c>
      <c r="F982" s="4" t="str">
        <f>IF(ISNUMBER(Table13[[#This Row],[Claim_Date2]]),"",Table13[[#This Row],[Claim_Date2]])</f>
        <v/>
      </c>
      <c r="G982" s="4" t="s">
        <v>1098</v>
      </c>
      <c r="H982" s="4" t="str">
        <f>LEFT(Table13[[#This Row],[Values Col 1]],3)</f>
        <v/>
      </c>
      <c r="I982" s="4" t="s">
        <v>1098</v>
      </c>
      <c r="J982" s="4" t="str">
        <f>MID(Table13[[#This Row],[Function Col]],5,2)</f>
        <v/>
      </c>
      <c r="K982" s="4" t="s">
        <v>1098</v>
      </c>
      <c r="L982" s="4" t="str">
        <f>RIGHT(Table13[[#This Row],[Function Col]],4)</f>
        <v/>
      </c>
      <c r="M982" s="4" t="s">
        <v>1098</v>
      </c>
      <c r="N982" s="4" t="str">
        <f>IF(Table13[[#This Row],[Function Col5]]="","",_xlfn.CONCAT(Table13[[#This Row],[Day Col]],"/",Table13[[#This Row],[Month Col]],"/",Table13[[#This Row],[Year Col]]))</f>
        <v/>
      </c>
      <c r="O982" s="4" t="s">
        <v>1098</v>
      </c>
      <c r="P982" s="4">
        <f>IF(ISNUMBER(Table13[[#This Row],[Claim_Date2]]),Table13[[#This Row],[Claim_Date2]],Table13[[#This Row],[Function Col32]])</f>
        <v>44984</v>
      </c>
      <c r="Q982" s="4">
        <v>44984</v>
      </c>
      <c r="R982" s="1" t="s">
        <v>16</v>
      </c>
      <c r="S982" s="1" t="s">
        <v>93</v>
      </c>
      <c r="T982" s="1" t="s">
        <v>24</v>
      </c>
      <c r="U982" s="1"/>
      <c r="V982" s="1">
        <v>257.16000000000003</v>
      </c>
      <c r="W982" s="1">
        <f>IF(Table1[[#This Row],[Claim_Amount]]&lt;0,0,Table1[[#This Row],[Claim_Amount]])</f>
        <v>257.16000000000003</v>
      </c>
      <c r="X982" s="1">
        <f>IF(Table1[[#This Row],[Column1]]=0,"",Table1[[#This Row],[Column1]])</f>
        <v>257.16000000000003</v>
      </c>
      <c r="Y982" s="1">
        <v>257.16000000000003</v>
      </c>
      <c r="Z982" s="1">
        <v>257.16000000000003</v>
      </c>
      <c r="AA982">
        <v>832</v>
      </c>
      <c r="AB982" s="1" t="s">
        <v>42</v>
      </c>
      <c r="AC982" s="1" t="s">
        <v>57</v>
      </c>
      <c r="AD982">
        <v>9</v>
      </c>
      <c r="AE982" s="3" t="s">
        <v>65</v>
      </c>
    </row>
    <row r="983" spans="1:31" ht="15.75" customHeight="1" x14ac:dyDescent="0.35">
      <c r="A983" s="1" t="s">
        <v>212</v>
      </c>
      <c r="B983" t="s">
        <v>1083</v>
      </c>
      <c r="C983" s="1" t="s">
        <v>183</v>
      </c>
      <c r="D983" s="1" t="s">
        <v>981</v>
      </c>
      <c r="E983" s="5">
        <v>44945</v>
      </c>
      <c r="F983" s="4" t="str">
        <f>IF(ISNUMBER(Table13[[#This Row],[Claim_Date2]]),"",Table13[[#This Row],[Claim_Date2]])</f>
        <v/>
      </c>
      <c r="G983" s="4" t="s">
        <v>1098</v>
      </c>
      <c r="H983" s="4" t="str">
        <f>LEFT(Table13[[#This Row],[Values Col 1]],3)</f>
        <v/>
      </c>
      <c r="I983" s="4" t="s">
        <v>1098</v>
      </c>
      <c r="J983" s="4" t="str">
        <f>MID(Table13[[#This Row],[Function Col]],5,2)</f>
        <v/>
      </c>
      <c r="K983" s="4" t="s">
        <v>1098</v>
      </c>
      <c r="L983" s="4" t="str">
        <f>RIGHT(Table13[[#This Row],[Function Col]],4)</f>
        <v/>
      </c>
      <c r="M983" s="4" t="s">
        <v>1098</v>
      </c>
      <c r="N983" s="4" t="str">
        <f>IF(Table13[[#This Row],[Function Col5]]="","",_xlfn.CONCAT(Table13[[#This Row],[Day Col]],"/",Table13[[#This Row],[Month Col]],"/",Table13[[#This Row],[Year Col]]))</f>
        <v/>
      </c>
      <c r="O983" s="4" t="s">
        <v>1098</v>
      </c>
      <c r="P983" s="4">
        <f>IF(ISNUMBER(Table13[[#This Row],[Claim_Date2]]),Table13[[#This Row],[Claim_Date2]],Table13[[#This Row],[Function Col32]])</f>
        <v>44945</v>
      </c>
      <c r="Q983" s="4">
        <v>44945</v>
      </c>
      <c r="R983" s="1" t="s">
        <v>77</v>
      </c>
      <c r="S983" s="1" t="s">
        <v>53</v>
      </c>
      <c r="T983" s="1" t="s">
        <v>41</v>
      </c>
      <c r="U983" s="1"/>
      <c r="W983">
        <f>IF(Table1[[#This Row],[Claim_Amount]]&lt;0,0,Table1[[#This Row],[Claim_Amount]])</f>
        <v>0</v>
      </c>
      <c r="X983" t="str">
        <f>IF(Table1[[#This Row],[Column1]]=0,"",Table1[[#This Row],[Column1]])</f>
        <v/>
      </c>
      <c r="Y983" t="s">
        <v>1098</v>
      </c>
      <c r="Z983">
        <v>2481</v>
      </c>
      <c r="AA983">
        <v>832</v>
      </c>
      <c r="AB983" s="1" t="s">
        <v>42</v>
      </c>
      <c r="AC983" s="1" t="s">
        <v>57</v>
      </c>
      <c r="AD983" s="1">
        <v>6</v>
      </c>
      <c r="AE983" s="3" t="s">
        <v>27</v>
      </c>
    </row>
    <row r="984" spans="1:31" ht="15.75" customHeight="1" x14ac:dyDescent="0.35">
      <c r="A984" s="1" t="s">
        <v>102</v>
      </c>
      <c r="B984" s="1" t="s">
        <v>351</v>
      </c>
      <c r="C984" s="1" t="s">
        <v>112</v>
      </c>
      <c r="D984" s="1" t="s">
        <v>1018</v>
      </c>
      <c r="E984" s="5" t="s">
        <v>1018</v>
      </c>
      <c r="F984" s="4" t="str">
        <f>IF(ISNUMBER(Table13[[#This Row],[Claim_Date2]]),"",Table13[[#This Row],[Claim_Date2]])</f>
        <v>Jul 22 2023</v>
      </c>
      <c r="G984" s="4" t="s">
        <v>1018</v>
      </c>
      <c r="H984" s="4" t="str">
        <f>LEFT(Table13[[#This Row],[Values Col 1]],3)</f>
        <v>Jul</v>
      </c>
      <c r="I984" s="4" t="s">
        <v>1101</v>
      </c>
      <c r="J984" s="4" t="str">
        <f>MID(Table13[[#This Row],[Function Col]],5,2)</f>
        <v>22</v>
      </c>
      <c r="K984" s="4" t="s">
        <v>1122</v>
      </c>
      <c r="L984" s="4" t="str">
        <f>RIGHT(Table13[[#This Row],[Function Col]],4)</f>
        <v>2023</v>
      </c>
      <c r="M984" s="4" t="s">
        <v>1146</v>
      </c>
      <c r="N984" s="4" t="str">
        <f>IF(Table13[[#This Row],[Function Col5]]="","",_xlfn.CONCAT(Table13[[#This Row],[Day Col]],"/",Table13[[#This Row],[Month Col]],"/",Table13[[#This Row],[Year Col]]))</f>
        <v>22/Jul/2023</v>
      </c>
      <c r="O984" s="4" t="s">
        <v>1353</v>
      </c>
      <c r="P984" s="4" t="str">
        <f>IF(ISNUMBER(Table13[[#This Row],[Claim_Date2]]),Table13[[#This Row],[Claim_Date2]],Table13[[#This Row],[Function Col32]])</f>
        <v>22/Jul/2023</v>
      </c>
      <c r="Q984" s="4">
        <v>45129</v>
      </c>
      <c r="R984" s="1" t="s">
        <v>30</v>
      </c>
      <c r="S984" s="1" t="s">
        <v>93</v>
      </c>
      <c r="T984" s="1" t="s">
        <v>41</v>
      </c>
      <c r="U984" s="1"/>
      <c r="W984">
        <f>IF(Table1[[#This Row],[Claim_Amount]]&lt;0,0,Table1[[#This Row],[Claim_Amount]])</f>
        <v>0</v>
      </c>
      <c r="X984" t="str">
        <f>IF(Table1[[#This Row],[Column1]]=0,"",Table1[[#This Row],[Column1]])</f>
        <v/>
      </c>
      <c r="Y984" t="s">
        <v>1098</v>
      </c>
      <c r="Z984">
        <v>2481</v>
      </c>
      <c r="AA984" s="1">
        <v>4910.82</v>
      </c>
      <c r="AB984" s="1" t="s">
        <v>1091</v>
      </c>
      <c r="AC984" s="1" t="s">
        <v>32</v>
      </c>
      <c r="AD984" s="1">
        <v>24</v>
      </c>
      <c r="AE984" s="3" t="s">
        <v>19</v>
      </c>
    </row>
    <row r="985" spans="1:31" ht="15.75" customHeight="1" x14ac:dyDescent="0.35">
      <c r="A985" s="1" t="s">
        <v>66</v>
      </c>
      <c r="B985" t="s">
        <v>1083</v>
      </c>
      <c r="C985" t="s">
        <v>1084</v>
      </c>
      <c r="D985" s="1" t="s">
        <v>208</v>
      </c>
      <c r="E985" s="5">
        <v>45121</v>
      </c>
      <c r="F985" s="4" t="str">
        <f>IF(ISNUMBER(Table13[[#This Row],[Claim_Date2]]),"",Table13[[#This Row],[Claim_Date2]])</f>
        <v/>
      </c>
      <c r="G985" s="4" t="s">
        <v>1098</v>
      </c>
      <c r="H985" s="4" t="str">
        <f>LEFT(Table13[[#This Row],[Values Col 1]],3)</f>
        <v/>
      </c>
      <c r="I985" s="4" t="s">
        <v>1098</v>
      </c>
      <c r="J985" s="4" t="str">
        <f>MID(Table13[[#This Row],[Function Col]],5,2)</f>
        <v/>
      </c>
      <c r="K985" s="4" t="s">
        <v>1098</v>
      </c>
      <c r="L985" s="4" t="str">
        <f>RIGHT(Table13[[#This Row],[Function Col]],4)</f>
        <v/>
      </c>
      <c r="M985" s="4" t="s">
        <v>1098</v>
      </c>
      <c r="N985" s="4" t="str">
        <f>IF(Table13[[#This Row],[Function Col5]]="","",_xlfn.CONCAT(Table13[[#This Row],[Day Col]],"/",Table13[[#This Row],[Month Col]],"/",Table13[[#This Row],[Year Col]]))</f>
        <v/>
      </c>
      <c r="O985" s="4" t="s">
        <v>1098</v>
      </c>
      <c r="P985" s="4">
        <f>IF(ISNUMBER(Table13[[#This Row],[Claim_Date2]]),Table13[[#This Row],[Claim_Date2]],Table13[[#This Row],[Function Col32]])</f>
        <v>45121</v>
      </c>
      <c r="Q985" s="4">
        <v>45121</v>
      </c>
      <c r="R985" s="1" t="s">
        <v>85</v>
      </c>
      <c r="S985" s="1" t="s">
        <v>93</v>
      </c>
      <c r="T985" t="s">
        <v>1086</v>
      </c>
      <c r="W985">
        <f>IF(Table1[[#This Row],[Claim_Amount]]&lt;0,0,Table1[[#This Row],[Claim_Amount]])</f>
        <v>0</v>
      </c>
      <c r="X985" t="str">
        <f>IF(Table1[[#This Row],[Column1]]=0,"",Table1[[#This Row],[Column1]])</f>
        <v/>
      </c>
      <c r="Y985" t="s">
        <v>1098</v>
      </c>
      <c r="Z985">
        <v>2481</v>
      </c>
      <c r="AA985">
        <v>832</v>
      </c>
      <c r="AB985" s="1" t="s">
        <v>1091</v>
      </c>
      <c r="AC985" s="1" t="s">
        <v>1093</v>
      </c>
      <c r="AD985" s="1">
        <v>52</v>
      </c>
      <c r="AE985" s="3" t="s">
        <v>19</v>
      </c>
    </row>
    <row r="986" spans="1:31" ht="15.75" customHeight="1" x14ac:dyDescent="0.35">
      <c r="A986" s="1" t="s">
        <v>198</v>
      </c>
      <c r="B986" s="1" t="s">
        <v>1039</v>
      </c>
      <c r="C986" t="s">
        <v>1084</v>
      </c>
      <c r="D986" s="1" t="s">
        <v>1069</v>
      </c>
      <c r="E986" s="5" t="s">
        <v>1069</v>
      </c>
      <c r="F986" s="4" t="str">
        <f>IF(ISNUMBER(Table13[[#This Row],[Claim_Date2]]),"",Table13[[#This Row],[Claim_Date2]])</f>
        <v>Jul 03 2023</v>
      </c>
      <c r="G986" s="4" t="s">
        <v>1069</v>
      </c>
      <c r="H986" s="4" t="str">
        <f>LEFT(Table13[[#This Row],[Values Col 1]],3)</f>
        <v>Jul</v>
      </c>
      <c r="I986" s="4" t="s">
        <v>1101</v>
      </c>
      <c r="J986" s="4" t="str">
        <f>MID(Table13[[#This Row],[Function Col]],5,2)</f>
        <v>03</v>
      </c>
      <c r="K986" s="4" t="s">
        <v>1141</v>
      </c>
      <c r="L986" s="4" t="str">
        <f>RIGHT(Table13[[#This Row],[Function Col]],4)</f>
        <v>2023</v>
      </c>
      <c r="M986" s="4" t="s">
        <v>1146</v>
      </c>
      <c r="N986" s="4" t="str">
        <f>IF(Table13[[#This Row],[Function Col5]]="","",_xlfn.CONCAT(Table13[[#This Row],[Day Col]],"/",Table13[[#This Row],[Month Col]],"/",Table13[[#This Row],[Year Col]]))</f>
        <v>03/Jul/2023</v>
      </c>
      <c r="O986" s="4" t="s">
        <v>1363</v>
      </c>
      <c r="P986" s="4" t="str">
        <f>IF(ISNUMBER(Table13[[#This Row],[Claim_Date2]]),Table13[[#This Row],[Claim_Date2]],Table13[[#This Row],[Function Col32]])</f>
        <v>03/Jul/2023</v>
      </c>
      <c r="Q986" s="4">
        <v>45110</v>
      </c>
      <c r="R986" s="1" t="s">
        <v>92</v>
      </c>
      <c r="S986" s="1" t="s">
        <v>47</v>
      </c>
      <c r="T986" s="1" t="s">
        <v>41</v>
      </c>
      <c r="U986" s="1"/>
      <c r="W986">
        <f>IF(Table1[[#This Row],[Claim_Amount]]&lt;0,0,Table1[[#This Row],[Claim_Amount]])</f>
        <v>0</v>
      </c>
      <c r="X986" t="str">
        <f>IF(Table1[[#This Row],[Column1]]=0,"",Table1[[#This Row],[Column1]])</f>
        <v/>
      </c>
      <c r="Y986" t="s">
        <v>1098</v>
      </c>
      <c r="Z986">
        <v>2481</v>
      </c>
      <c r="AA986">
        <v>832</v>
      </c>
      <c r="AB986" s="1" t="s">
        <v>25</v>
      </c>
      <c r="AC986" s="1" t="s">
        <v>18</v>
      </c>
      <c r="AD986" s="1">
        <v>1</v>
      </c>
      <c r="AE986" s="3" t="s">
        <v>37</v>
      </c>
    </row>
    <row r="987" spans="1:31" ht="15.75" customHeight="1" x14ac:dyDescent="0.35">
      <c r="A987" s="1" t="s">
        <v>82</v>
      </c>
      <c r="B987" s="1" t="s">
        <v>661</v>
      </c>
      <c r="C987" s="1" t="s">
        <v>356</v>
      </c>
      <c r="D987" s="1" t="s">
        <v>1070</v>
      </c>
      <c r="E987" s="5">
        <v>45045</v>
      </c>
      <c r="F987" s="4" t="str">
        <f>IF(ISNUMBER(Table13[[#This Row],[Claim_Date2]]),"",Table13[[#This Row],[Claim_Date2]])</f>
        <v/>
      </c>
      <c r="G987" s="4" t="s">
        <v>1098</v>
      </c>
      <c r="H987" s="4" t="str">
        <f>LEFT(Table13[[#This Row],[Values Col 1]],3)</f>
        <v/>
      </c>
      <c r="I987" s="4" t="s">
        <v>1098</v>
      </c>
      <c r="J987" s="4" t="str">
        <f>MID(Table13[[#This Row],[Function Col]],5,2)</f>
        <v/>
      </c>
      <c r="K987" s="4" t="s">
        <v>1098</v>
      </c>
      <c r="L987" s="4" t="str">
        <f>RIGHT(Table13[[#This Row],[Function Col]],4)</f>
        <v/>
      </c>
      <c r="M987" s="4" t="s">
        <v>1098</v>
      </c>
      <c r="N987" s="4" t="str">
        <f>IF(Table13[[#This Row],[Function Col5]]="","",_xlfn.CONCAT(Table13[[#This Row],[Day Col]],"/",Table13[[#This Row],[Month Col]],"/",Table13[[#This Row],[Year Col]]))</f>
        <v/>
      </c>
      <c r="O987" s="4" t="s">
        <v>1098</v>
      </c>
      <c r="P987" s="4">
        <f>IF(ISNUMBER(Table13[[#This Row],[Claim_Date2]]),Table13[[#This Row],[Claim_Date2]],Table13[[#This Row],[Function Col32]])</f>
        <v>45045</v>
      </c>
      <c r="Q987" s="4">
        <v>45045</v>
      </c>
      <c r="R987" s="1" t="s">
        <v>92</v>
      </c>
      <c r="S987" s="1" t="s">
        <v>23</v>
      </c>
      <c r="T987" s="1" t="s">
        <v>24</v>
      </c>
      <c r="U987" s="1"/>
      <c r="V987" s="1">
        <v>-25</v>
      </c>
      <c r="W987" s="1">
        <f>IF(Table1[[#This Row],[Claim_Amount]]&lt;0,0,Table1[[#This Row],[Claim_Amount]])</f>
        <v>0</v>
      </c>
      <c r="X987" s="1" t="str">
        <f>IF(Table1[[#This Row],[Column1]]=0,"",Table1[[#This Row],[Column1]])</f>
        <v/>
      </c>
      <c r="Y987" s="1" t="s">
        <v>1098</v>
      </c>
      <c r="Z987" s="1">
        <v>2481</v>
      </c>
      <c r="AA987" s="1">
        <v>3608.26</v>
      </c>
      <c r="AB987" s="1" t="s">
        <v>25</v>
      </c>
      <c r="AC987" s="1" t="s">
        <v>1093</v>
      </c>
      <c r="AD987">
        <v>9</v>
      </c>
      <c r="AE987" s="3" t="s">
        <v>19</v>
      </c>
    </row>
    <row r="988" spans="1:31" ht="15.75" customHeight="1" x14ac:dyDescent="0.35">
      <c r="A988" s="1" t="s">
        <v>70</v>
      </c>
      <c r="B988" s="1" t="s">
        <v>497</v>
      </c>
      <c r="C988" t="s">
        <v>1084</v>
      </c>
      <c r="D988" s="1" t="s">
        <v>500</v>
      </c>
      <c r="E988" s="5">
        <v>45259</v>
      </c>
      <c r="F988" s="4" t="str">
        <f>IF(ISNUMBER(Table13[[#This Row],[Claim_Date2]]),"",Table13[[#This Row],[Claim_Date2]])</f>
        <v/>
      </c>
      <c r="G988" s="4" t="s">
        <v>1098</v>
      </c>
      <c r="H988" s="4" t="str">
        <f>LEFT(Table13[[#This Row],[Values Col 1]],3)</f>
        <v/>
      </c>
      <c r="I988" s="4" t="s">
        <v>1098</v>
      </c>
      <c r="J988" s="4" t="str">
        <f>MID(Table13[[#This Row],[Function Col]],5,2)</f>
        <v/>
      </c>
      <c r="K988" s="4" t="s">
        <v>1098</v>
      </c>
      <c r="L988" s="4" t="str">
        <f>RIGHT(Table13[[#This Row],[Function Col]],4)</f>
        <v/>
      </c>
      <c r="M988" s="4" t="s">
        <v>1098</v>
      </c>
      <c r="N988" s="4" t="str">
        <f>IF(Table13[[#This Row],[Function Col5]]="","",_xlfn.CONCAT(Table13[[#This Row],[Day Col]],"/",Table13[[#This Row],[Month Col]],"/",Table13[[#This Row],[Year Col]]))</f>
        <v/>
      </c>
      <c r="O988" s="4" t="s">
        <v>1098</v>
      </c>
      <c r="P988" s="4">
        <f>IF(ISNUMBER(Table13[[#This Row],[Claim_Date2]]),Table13[[#This Row],[Claim_Date2]],Table13[[#This Row],[Function Col32]])</f>
        <v>45259</v>
      </c>
      <c r="Q988" s="4">
        <v>45259</v>
      </c>
      <c r="R988" s="1" t="s">
        <v>92</v>
      </c>
      <c r="S988" s="1" t="s">
        <v>31</v>
      </c>
      <c r="T988" s="1" t="s">
        <v>24</v>
      </c>
      <c r="U988" s="1"/>
      <c r="V988" s="1">
        <v>4147.45</v>
      </c>
      <c r="W988" s="1">
        <f>IF(Table1[[#This Row],[Claim_Amount]]&lt;0,0,Table1[[#This Row],[Claim_Amount]])</f>
        <v>4147.45</v>
      </c>
      <c r="X988" s="1">
        <f>IF(Table1[[#This Row],[Column1]]=0,"",Table1[[#This Row],[Column1]])</f>
        <v>4147.45</v>
      </c>
      <c r="Y988" s="1">
        <v>4147.45</v>
      </c>
      <c r="Z988" s="1">
        <v>4147.45</v>
      </c>
      <c r="AA988">
        <v>832</v>
      </c>
      <c r="AB988" s="1" t="s">
        <v>42</v>
      </c>
      <c r="AC988" s="1" t="s">
        <v>26</v>
      </c>
      <c r="AD988" s="1">
        <v>15</v>
      </c>
      <c r="AE988" s="3" t="s">
        <v>19</v>
      </c>
    </row>
    <row r="989" spans="1:31" ht="15.75" customHeight="1" x14ac:dyDescent="0.35">
      <c r="A989" s="1" t="s">
        <v>105</v>
      </c>
      <c r="B989" t="s">
        <v>1083</v>
      </c>
      <c r="C989" t="s">
        <v>1084</v>
      </c>
      <c r="D989" s="1" t="s">
        <v>1026</v>
      </c>
      <c r="E989" s="5">
        <v>45254</v>
      </c>
      <c r="F989" s="4" t="str">
        <f>IF(ISNUMBER(Table13[[#This Row],[Claim_Date2]]),"",Table13[[#This Row],[Claim_Date2]])</f>
        <v/>
      </c>
      <c r="G989" s="4" t="s">
        <v>1098</v>
      </c>
      <c r="H989" s="4" t="str">
        <f>LEFT(Table13[[#This Row],[Values Col 1]],3)</f>
        <v/>
      </c>
      <c r="I989" s="4" t="s">
        <v>1098</v>
      </c>
      <c r="J989" s="4" t="str">
        <f>MID(Table13[[#This Row],[Function Col]],5,2)</f>
        <v/>
      </c>
      <c r="K989" s="4" t="s">
        <v>1098</v>
      </c>
      <c r="L989" s="4" t="str">
        <f>RIGHT(Table13[[#This Row],[Function Col]],4)</f>
        <v/>
      </c>
      <c r="M989" s="4" t="s">
        <v>1098</v>
      </c>
      <c r="N989" s="4" t="str">
        <f>IF(Table13[[#This Row],[Function Col5]]="","",_xlfn.CONCAT(Table13[[#This Row],[Day Col]],"/",Table13[[#This Row],[Month Col]],"/",Table13[[#This Row],[Year Col]]))</f>
        <v/>
      </c>
      <c r="O989" s="4" t="s">
        <v>1098</v>
      </c>
      <c r="P989" s="4">
        <f>IF(ISNUMBER(Table13[[#This Row],[Claim_Date2]]),Table13[[#This Row],[Claim_Date2]],Table13[[#This Row],[Function Col32]])</f>
        <v>45254</v>
      </c>
      <c r="Q989" s="4">
        <v>45254</v>
      </c>
      <c r="R989" s="1" t="s">
        <v>77</v>
      </c>
      <c r="S989" s="1" t="s">
        <v>31</v>
      </c>
      <c r="T989" s="1" t="s">
        <v>54</v>
      </c>
      <c r="U989" s="1"/>
      <c r="W989">
        <f>IF(Table1[[#This Row],[Claim_Amount]]&lt;0,0,Table1[[#This Row],[Claim_Amount]])</f>
        <v>0</v>
      </c>
      <c r="X989" t="str">
        <f>IF(Table1[[#This Row],[Column1]]=0,"",Table1[[#This Row],[Column1]])</f>
        <v/>
      </c>
      <c r="Y989" t="s">
        <v>1098</v>
      </c>
      <c r="Z989">
        <v>2481</v>
      </c>
      <c r="AA989">
        <v>832</v>
      </c>
      <c r="AB989" s="1" t="s">
        <v>17</v>
      </c>
      <c r="AC989" s="1" t="s">
        <v>18</v>
      </c>
      <c r="AD989">
        <v>9</v>
      </c>
      <c r="AE989" s="3" t="s">
        <v>19</v>
      </c>
    </row>
    <row r="990" spans="1:31" ht="15.75" customHeight="1" x14ac:dyDescent="0.35">
      <c r="A990" s="1" t="s">
        <v>277</v>
      </c>
      <c r="B990" t="s">
        <v>1083</v>
      </c>
      <c r="C990" s="1" t="s">
        <v>100</v>
      </c>
      <c r="D990" s="1" t="s">
        <v>587</v>
      </c>
      <c r="E990" s="5">
        <v>44983</v>
      </c>
      <c r="F990" s="4" t="str">
        <f>IF(ISNUMBER(Table13[[#This Row],[Claim_Date2]]),"",Table13[[#This Row],[Claim_Date2]])</f>
        <v/>
      </c>
      <c r="G990" s="4" t="s">
        <v>1098</v>
      </c>
      <c r="H990" s="4" t="str">
        <f>LEFT(Table13[[#This Row],[Values Col 1]],3)</f>
        <v/>
      </c>
      <c r="I990" s="4" t="s">
        <v>1098</v>
      </c>
      <c r="J990" s="4" t="str">
        <f>MID(Table13[[#This Row],[Function Col]],5,2)</f>
        <v/>
      </c>
      <c r="K990" s="4" t="s">
        <v>1098</v>
      </c>
      <c r="L990" s="4" t="str">
        <f>RIGHT(Table13[[#This Row],[Function Col]],4)</f>
        <v/>
      </c>
      <c r="M990" s="4" t="s">
        <v>1098</v>
      </c>
      <c r="N990" s="4" t="str">
        <f>IF(Table13[[#This Row],[Function Col5]]="","",_xlfn.CONCAT(Table13[[#This Row],[Day Col]],"/",Table13[[#This Row],[Month Col]],"/",Table13[[#This Row],[Year Col]]))</f>
        <v/>
      </c>
      <c r="O990" s="4" t="s">
        <v>1098</v>
      </c>
      <c r="P990" s="4">
        <f>IF(ISNUMBER(Table13[[#This Row],[Claim_Date2]]),Table13[[#This Row],[Claim_Date2]],Table13[[#This Row],[Function Col32]])</f>
        <v>44983</v>
      </c>
      <c r="Q990" s="4">
        <v>44983</v>
      </c>
      <c r="R990" s="1" t="s">
        <v>85</v>
      </c>
      <c r="S990" s="1" t="s">
        <v>23</v>
      </c>
      <c r="T990" s="1" t="s">
        <v>54</v>
      </c>
      <c r="U990" s="1"/>
      <c r="V990" s="1">
        <v>657.05</v>
      </c>
      <c r="W990" s="1">
        <f>IF(Table1[[#This Row],[Claim_Amount]]&lt;0,0,Table1[[#This Row],[Claim_Amount]])</f>
        <v>657.05</v>
      </c>
      <c r="X990" s="1">
        <f>IF(Table1[[#This Row],[Column1]]=0,"",Table1[[#This Row],[Column1]])</f>
        <v>657.05</v>
      </c>
      <c r="Y990" s="1">
        <v>657.05</v>
      </c>
      <c r="Z990" s="1">
        <v>657.05</v>
      </c>
      <c r="AA990">
        <v>832</v>
      </c>
      <c r="AB990" s="1" t="s">
        <v>25</v>
      </c>
      <c r="AC990" s="1" t="s">
        <v>57</v>
      </c>
      <c r="AD990" s="1">
        <v>14</v>
      </c>
      <c r="AE990" s="3" t="s">
        <v>37</v>
      </c>
    </row>
    <row r="991" spans="1:31" ht="15.75" customHeight="1" x14ac:dyDescent="0.35">
      <c r="A991" s="1" t="s">
        <v>78</v>
      </c>
      <c r="B991" s="1" t="s">
        <v>1071</v>
      </c>
      <c r="C991" s="1" t="s">
        <v>486</v>
      </c>
      <c r="D991" s="1" t="s">
        <v>1072</v>
      </c>
      <c r="E991" s="5" t="s">
        <v>1072</v>
      </c>
      <c r="F991" s="4" t="str">
        <f>IF(ISNUMBER(Table13[[#This Row],[Claim_Date2]]),"",Table13[[#This Row],[Claim_Date2]])</f>
        <v>Jan 22 2023</v>
      </c>
      <c r="G991" s="4" t="s">
        <v>1072</v>
      </c>
      <c r="H991" s="4" t="str">
        <f>LEFT(Table13[[#This Row],[Values Col 1]],3)</f>
        <v>Jan</v>
      </c>
      <c r="I991" s="4" t="s">
        <v>1107</v>
      </c>
      <c r="J991" s="4" t="str">
        <f>MID(Table13[[#This Row],[Function Col]],5,2)</f>
        <v>22</v>
      </c>
      <c r="K991" s="4" t="s">
        <v>1122</v>
      </c>
      <c r="L991" s="4" t="str">
        <f>RIGHT(Table13[[#This Row],[Function Col]],4)</f>
        <v>2023</v>
      </c>
      <c r="M991" s="4" t="s">
        <v>1146</v>
      </c>
      <c r="N991" s="4" t="str">
        <f>IF(Table13[[#This Row],[Function Col5]]="","",_xlfn.CONCAT(Table13[[#This Row],[Day Col]],"/",Table13[[#This Row],[Month Col]],"/",Table13[[#This Row],[Year Col]]))</f>
        <v>22/Jan/2023</v>
      </c>
      <c r="O991" s="4" t="s">
        <v>1364</v>
      </c>
      <c r="P991" s="4" t="str">
        <f>IF(ISNUMBER(Table13[[#This Row],[Claim_Date2]]),Table13[[#This Row],[Claim_Date2]],Table13[[#This Row],[Function Col32]])</f>
        <v>22/Jan/2023</v>
      </c>
      <c r="Q991" s="4">
        <v>44948</v>
      </c>
      <c r="R991" s="1" t="s">
        <v>16</v>
      </c>
      <c r="S991" s="1" t="s">
        <v>47</v>
      </c>
      <c r="T991" s="1" t="s">
        <v>61</v>
      </c>
      <c r="U991" s="1"/>
      <c r="W991">
        <f>IF(Table1[[#This Row],[Claim_Amount]]&lt;0,0,Table1[[#This Row],[Claim_Amount]])</f>
        <v>0</v>
      </c>
      <c r="X991" t="str">
        <f>IF(Table1[[#This Row],[Column1]]=0,"",Table1[[#This Row],[Column1]])</f>
        <v/>
      </c>
      <c r="Y991" t="s">
        <v>1098</v>
      </c>
      <c r="Z991">
        <v>2481</v>
      </c>
      <c r="AA991" s="1">
        <v>2266.42</v>
      </c>
      <c r="AB991" s="1" t="s">
        <v>1091</v>
      </c>
      <c r="AC991" s="1" t="s">
        <v>26</v>
      </c>
      <c r="AD991">
        <v>9</v>
      </c>
      <c r="AE991" s="3" t="s">
        <v>19</v>
      </c>
    </row>
    <row r="992" spans="1:31" ht="15.75" customHeight="1" x14ac:dyDescent="0.35">
      <c r="A992" s="1" t="s">
        <v>114</v>
      </c>
      <c r="B992" s="1" t="s">
        <v>1073</v>
      </c>
      <c r="C992" s="1" t="s">
        <v>503</v>
      </c>
      <c r="D992" s="1" t="s">
        <v>883</v>
      </c>
      <c r="E992" s="5">
        <v>45187</v>
      </c>
      <c r="F992" s="4" t="str">
        <f>IF(ISNUMBER(Table13[[#This Row],[Claim_Date2]]),"",Table13[[#This Row],[Claim_Date2]])</f>
        <v/>
      </c>
      <c r="G992" s="4" t="s">
        <v>1098</v>
      </c>
      <c r="H992" s="4" t="str">
        <f>LEFT(Table13[[#This Row],[Values Col 1]],3)</f>
        <v/>
      </c>
      <c r="I992" s="4" t="s">
        <v>1098</v>
      </c>
      <c r="J992" s="4" t="str">
        <f>MID(Table13[[#This Row],[Function Col]],5,2)</f>
        <v/>
      </c>
      <c r="K992" s="4" t="s">
        <v>1098</v>
      </c>
      <c r="L992" s="4" t="str">
        <f>RIGHT(Table13[[#This Row],[Function Col]],4)</f>
        <v/>
      </c>
      <c r="M992" s="4" t="s">
        <v>1098</v>
      </c>
      <c r="N992" s="4" t="str">
        <f>IF(Table13[[#This Row],[Function Col5]]="","",_xlfn.CONCAT(Table13[[#This Row],[Day Col]],"/",Table13[[#This Row],[Month Col]],"/",Table13[[#This Row],[Year Col]]))</f>
        <v/>
      </c>
      <c r="O992" s="4" t="s">
        <v>1098</v>
      </c>
      <c r="P992" s="4">
        <f>IF(ISNUMBER(Table13[[#This Row],[Claim_Date2]]),Table13[[#This Row],[Claim_Date2]],Table13[[#This Row],[Function Col32]])</f>
        <v>45187</v>
      </c>
      <c r="Q992" s="4">
        <v>45187</v>
      </c>
      <c r="R992" s="1" t="s">
        <v>77</v>
      </c>
      <c r="S992" s="1" t="s">
        <v>23</v>
      </c>
      <c r="T992" s="1" t="s">
        <v>24</v>
      </c>
      <c r="U992" s="1"/>
      <c r="W992">
        <f>IF(Table1[[#This Row],[Claim_Amount]]&lt;0,0,Table1[[#This Row],[Claim_Amount]])</f>
        <v>0</v>
      </c>
      <c r="X992" t="str">
        <f>IF(Table1[[#This Row],[Column1]]=0,"",Table1[[#This Row],[Column1]])</f>
        <v/>
      </c>
      <c r="Y992" t="s">
        <v>1098</v>
      </c>
      <c r="Z992">
        <v>2481</v>
      </c>
      <c r="AA992" s="1">
        <v>1694.09</v>
      </c>
      <c r="AB992" s="1" t="s">
        <v>42</v>
      </c>
      <c r="AC992" s="1" t="s">
        <v>32</v>
      </c>
      <c r="AD992">
        <v>9</v>
      </c>
      <c r="AE992" s="3" t="s">
        <v>37</v>
      </c>
    </row>
    <row r="993" spans="1:31" ht="15.75" customHeight="1" x14ac:dyDescent="0.35">
      <c r="A993" s="1" t="s">
        <v>192</v>
      </c>
      <c r="B993" t="s">
        <v>1083</v>
      </c>
      <c r="C993" s="1" t="s">
        <v>207</v>
      </c>
      <c r="D993" s="1" t="s">
        <v>817</v>
      </c>
      <c r="E993" s="5">
        <v>45287</v>
      </c>
      <c r="F993" s="4" t="str">
        <f>IF(ISNUMBER(Table13[[#This Row],[Claim_Date2]]),"",Table13[[#This Row],[Claim_Date2]])</f>
        <v/>
      </c>
      <c r="G993" s="4" t="s">
        <v>1098</v>
      </c>
      <c r="H993" s="4" t="str">
        <f>LEFT(Table13[[#This Row],[Values Col 1]],3)</f>
        <v/>
      </c>
      <c r="I993" s="4" t="s">
        <v>1098</v>
      </c>
      <c r="J993" s="4" t="str">
        <f>MID(Table13[[#This Row],[Function Col]],5,2)</f>
        <v/>
      </c>
      <c r="K993" s="4" t="s">
        <v>1098</v>
      </c>
      <c r="L993" s="4" t="str">
        <f>RIGHT(Table13[[#This Row],[Function Col]],4)</f>
        <v/>
      </c>
      <c r="M993" s="4" t="s">
        <v>1098</v>
      </c>
      <c r="N993" s="4" t="str">
        <f>IF(Table13[[#This Row],[Function Col5]]="","",_xlfn.CONCAT(Table13[[#This Row],[Day Col]],"/",Table13[[#This Row],[Month Col]],"/",Table13[[#This Row],[Year Col]]))</f>
        <v/>
      </c>
      <c r="O993" s="4" t="s">
        <v>1098</v>
      </c>
      <c r="P993" s="4">
        <f>IF(ISNUMBER(Table13[[#This Row],[Claim_Date2]]),Table13[[#This Row],[Claim_Date2]],Table13[[#This Row],[Function Col32]])</f>
        <v>45287</v>
      </c>
      <c r="Q993" s="4">
        <v>45287</v>
      </c>
      <c r="R993" s="1" t="s">
        <v>30</v>
      </c>
      <c r="S993" s="1" t="s">
        <v>53</v>
      </c>
      <c r="T993" s="1" t="s">
        <v>24</v>
      </c>
      <c r="U993" s="1"/>
      <c r="W993">
        <f>IF(Table1[[#This Row],[Claim_Amount]]&lt;0,0,Table1[[#This Row],[Claim_Amount]])</f>
        <v>0</v>
      </c>
      <c r="X993" t="str">
        <f>IF(Table1[[#This Row],[Column1]]=0,"",Table1[[#This Row],[Column1]])</f>
        <v/>
      </c>
      <c r="Y993" t="s">
        <v>1098</v>
      </c>
      <c r="Z993">
        <v>2481</v>
      </c>
      <c r="AA993">
        <v>832</v>
      </c>
      <c r="AB993" s="1" t="s">
        <v>25</v>
      </c>
      <c r="AC993" s="1" t="s">
        <v>57</v>
      </c>
      <c r="AD993">
        <v>9</v>
      </c>
      <c r="AE993" s="3" t="s">
        <v>19</v>
      </c>
    </row>
    <row r="994" spans="1:31" ht="15.75" customHeight="1" x14ac:dyDescent="0.35">
      <c r="A994" s="1" t="s">
        <v>187</v>
      </c>
      <c r="B994" t="s">
        <v>1083</v>
      </c>
      <c r="C994" t="s">
        <v>1084</v>
      </c>
      <c r="D994" s="1" t="s">
        <v>1074</v>
      </c>
      <c r="E994" s="5" t="s">
        <v>1074</v>
      </c>
      <c r="F994" s="4" t="str">
        <f>IF(ISNUMBER(Table13[[#This Row],[Claim_Date2]]),"",Table13[[#This Row],[Claim_Date2]])</f>
        <v>Apr 13 2023</v>
      </c>
      <c r="G994" s="4" t="s">
        <v>1074</v>
      </c>
      <c r="H994" s="4" t="str">
        <f>LEFT(Table13[[#This Row],[Values Col 1]],3)</f>
        <v>Apr</v>
      </c>
      <c r="I994" s="4" t="s">
        <v>1104</v>
      </c>
      <c r="J994" s="4" t="str">
        <f>MID(Table13[[#This Row],[Function Col]],5,2)</f>
        <v>13</v>
      </c>
      <c r="K994" s="4" t="s">
        <v>1114</v>
      </c>
      <c r="L994" s="4" t="str">
        <f>RIGHT(Table13[[#This Row],[Function Col]],4)</f>
        <v>2023</v>
      </c>
      <c r="M994" s="4" t="s">
        <v>1146</v>
      </c>
      <c r="N994" s="4" t="str">
        <f>IF(Table13[[#This Row],[Function Col5]]="","",_xlfn.CONCAT(Table13[[#This Row],[Day Col]],"/",Table13[[#This Row],[Month Col]],"/",Table13[[#This Row],[Year Col]]))</f>
        <v>13/Apr/2023</v>
      </c>
      <c r="O994" s="4" t="s">
        <v>1365</v>
      </c>
      <c r="P994" s="4" t="str">
        <f>IF(ISNUMBER(Table13[[#This Row],[Claim_Date2]]),Table13[[#This Row],[Claim_Date2]],Table13[[#This Row],[Function Col32]])</f>
        <v>13/Apr/2023</v>
      </c>
      <c r="Q994" s="4">
        <v>45029</v>
      </c>
      <c r="R994" s="1" t="s">
        <v>77</v>
      </c>
      <c r="S994" s="1" t="s">
        <v>93</v>
      </c>
      <c r="T994" s="1" t="s">
        <v>48</v>
      </c>
      <c r="U994" s="1"/>
      <c r="V994" s="1">
        <v>-121</v>
      </c>
      <c r="W994" s="1">
        <f>IF(Table1[[#This Row],[Claim_Amount]]&lt;0,0,Table1[[#This Row],[Claim_Amount]])</f>
        <v>0</v>
      </c>
      <c r="X994" s="1" t="str">
        <f>IF(Table1[[#This Row],[Column1]]=0,"",Table1[[#This Row],[Column1]])</f>
        <v/>
      </c>
      <c r="Y994" s="1" t="s">
        <v>1098</v>
      </c>
      <c r="Z994" s="1">
        <v>2481</v>
      </c>
      <c r="AA994" s="1">
        <v>2212.1999999999998</v>
      </c>
      <c r="AB994" s="1" t="s">
        <v>25</v>
      </c>
      <c r="AC994" s="1" t="s">
        <v>32</v>
      </c>
      <c r="AD994" s="1">
        <v>37</v>
      </c>
      <c r="AE994" s="3" t="s">
        <v>1097</v>
      </c>
    </row>
    <row r="995" spans="1:31" ht="15.75" customHeight="1" x14ac:dyDescent="0.35">
      <c r="A995" s="1" t="s">
        <v>170</v>
      </c>
      <c r="B995" t="s">
        <v>1083</v>
      </c>
      <c r="C995" s="1" t="s">
        <v>458</v>
      </c>
      <c r="D995" s="1" t="s">
        <v>1075</v>
      </c>
      <c r="E995" s="5">
        <v>44956</v>
      </c>
      <c r="F995" s="4" t="str">
        <f>IF(ISNUMBER(Table13[[#This Row],[Claim_Date2]]),"",Table13[[#This Row],[Claim_Date2]])</f>
        <v/>
      </c>
      <c r="G995" s="4" t="s">
        <v>1098</v>
      </c>
      <c r="H995" s="4" t="str">
        <f>LEFT(Table13[[#This Row],[Values Col 1]],3)</f>
        <v/>
      </c>
      <c r="I995" s="4" t="s">
        <v>1098</v>
      </c>
      <c r="J995" s="4" t="str">
        <f>MID(Table13[[#This Row],[Function Col]],5,2)</f>
        <v/>
      </c>
      <c r="K995" s="4" t="s">
        <v>1098</v>
      </c>
      <c r="L995" s="4" t="str">
        <f>RIGHT(Table13[[#This Row],[Function Col]],4)</f>
        <v/>
      </c>
      <c r="M995" s="4" t="s">
        <v>1098</v>
      </c>
      <c r="N995" s="4" t="str">
        <f>IF(Table13[[#This Row],[Function Col5]]="","",_xlfn.CONCAT(Table13[[#This Row],[Day Col]],"/",Table13[[#This Row],[Month Col]],"/",Table13[[#This Row],[Year Col]]))</f>
        <v/>
      </c>
      <c r="O995" s="4" t="s">
        <v>1098</v>
      </c>
      <c r="P995" s="4">
        <f>IF(ISNUMBER(Table13[[#This Row],[Claim_Date2]]),Table13[[#This Row],[Claim_Date2]],Table13[[#This Row],[Function Col32]])</f>
        <v>44956</v>
      </c>
      <c r="Q995" s="4">
        <v>44956</v>
      </c>
      <c r="R995" s="1" t="s">
        <v>77</v>
      </c>
      <c r="S995" s="1" t="s">
        <v>53</v>
      </c>
      <c r="T995" s="1" t="s">
        <v>61</v>
      </c>
      <c r="U995" s="1"/>
      <c r="V995" s="1">
        <v>1587.48</v>
      </c>
      <c r="W995" s="1">
        <f>IF(Table1[[#This Row],[Claim_Amount]]&lt;0,0,Table1[[#This Row],[Claim_Amount]])</f>
        <v>1587.48</v>
      </c>
      <c r="X995" s="1">
        <f>IF(Table1[[#This Row],[Column1]]=0,"",Table1[[#This Row],[Column1]])</f>
        <v>1587.48</v>
      </c>
      <c r="Y995" s="1">
        <v>1587.48</v>
      </c>
      <c r="Z995" s="1">
        <v>1587.48</v>
      </c>
      <c r="AA995" s="1">
        <v>3787.73</v>
      </c>
      <c r="AB995" s="1" t="s">
        <v>25</v>
      </c>
      <c r="AC995" s="1" t="s">
        <v>1093</v>
      </c>
      <c r="AD995">
        <v>9</v>
      </c>
      <c r="AE995" s="3" t="s">
        <v>37</v>
      </c>
    </row>
    <row r="996" spans="1:31" ht="15.75" customHeight="1" x14ac:dyDescent="0.35">
      <c r="A996" s="1" t="s">
        <v>55</v>
      </c>
      <c r="B996" s="1" t="s">
        <v>451</v>
      </c>
      <c r="C996" t="s">
        <v>1084</v>
      </c>
      <c r="D996" s="1" t="s">
        <v>235</v>
      </c>
      <c r="E996" s="5" t="s">
        <v>235</v>
      </c>
      <c r="F996" s="4" t="str">
        <f>IF(ISNUMBER(Table13[[#This Row],[Claim_Date2]]),"",Table13[[#This Row],[Claim_Date2]])</f>
        <v>Oct 06 2023</v>
      </c>
      <c r="G996" s="4" t="s">
        <v>235</v>
      </c>
      <c r="H996" s="4" t="str">
        <f>LEFT(Table13[[#This Row],[Values Col 1]],3)</f>
        <v>Oct</v>
      </c>
      <c r="I996" s="4" t="s">
        <v>1103</v>
      </c>
      <c r="J996" s="4" t="str">
        <f>MID(Table13[[#This Row],[Function Col]],5,2)</f>
        <v>06</v>
      </c>
      <c r="K996" s="4" t="s">
        <v>1132</v>
      </c>
      <c r="L996" s="4" t="str">
        <f>RIGHT(Table13[[#This Row],[Function Col]],4)</f>
        <v>2023</v>
      </c>
      <c r="M996" s="4" t="s">
        <v>1146</v>
      </c>
      <c r="N996" s="4" t="str">
        <f>IF(Table13[[#This Row],[Function Col5]]="","",_xlfn.CONCAT(Table13[[#This Row],[Day Col]],"/",Table13[[#This Row],[Month Col]],"/",Table13[[#This Row],[Year Col]]))</f>
        <v>06/Oct/2023</v>
      </c>
      <c r="O996" s="4" t="s">
        <v>1176</v>
      </c>
      <c r="P996" s="4" t="str">
        <f>IF(ISNUMBER(Table13[[#This Row],[Claim_Date2]]),Table13[[#This Row],[Claim_Date2]],Table13[[#This Row],[Function Col32]])</f>
        <v>06/Oct/2023</v>
      </c>
      <c r="Q996" s="4">
        <v>45205</v>
      </c>
      <c r="R996" s="1" t="s">
        <v>16</v>
      </c>
      <c r="S996" t="s">
        <v>1085</v>
      </c>
      <c r="T996" s="1" t="s">
        <v>54</v>
      </c>
      <c r="U996" s="1"/>
      <c r="W996">
        <f>IF(Table1[[#This Row],[Claim_Amount]]&lt;0,0,Table1[[#This Row],[Claim_Amount]])</f>
        <v>0</v>
      </c>
      <c r="X996" t="str">
        <f>IF(Table1[[#This Row],[Column1]]=0,"",Table1[[#This Row],[Column1]])</f>
        <v/>
      </c>
      <c r="Y996" t="s">
        <v>1098</v>
      </c>
      <c r="Z996">
        <v>2481</v>
      </c>
      <c r="AA996">
        <v>832</v>
      </c>
      <c r="AB996" s="1" t="s">
        <v>17</v>
      </c>
      <c r="AC996" s="1" t="s">
        <v>26</v>
      </c>
      <c r="AD996" s="1">
        <v>20</v>
      </c>
      <c r="AE996" s="3" t="s">
        <v>19</v>
      </c>
    </row>
    <row r="997" spans="1:31" ht="15.75" customHeight="1" x14ac:dyDescent="0.35">
      <c r="A997" s="1" t="s">
        <v>247</v>
      </c>
      <c r="B997" t="s">
        <v>1083</v>
      </c>
      <c r="C997" s="1" t="s">
        <v>613</v>
      </c>
      <c r="D997" s="1" t="s">
        <v>1076</v>
      </c>
      <c r="E997" s="5" t="s">
        <v>1076</v>
      </c>
      <c r="F997" s="4" t="str">
        <f>IF(ISNUMBER(Table13[[#This Row],[Claim_Date2]]),"",Table13[[#This Row],[Claim_Date2]])</f>
        <v>Nov 28 2023</v>
      </c>
      <c r="G997" s="4" t="s">
        <v>1076</v>
      </c>
      <c r="H997" s="4" t="str">
        <f>LEFT(Table13[[#This Row],[Values Col 1]],3)</f>
        <v>Nov</v>
      </c>
      <c r="I997" s="4" t="s">
        <v>1105</v>
      </c>
      <c r="J997" s="4" t="str">
        <f>MID(Table13[[#This Row],[Function Col]],5,2)</f>
        <v>28</v>
      </c>
      <c r="K997" s="4" t="s">
        <v>1134</v>
      </c>
      <c r="L997" s="4" t="str">
        <f>RIGHT(Table13[[#This Row],[Function Col]],4)</f>
        <v>2023</v>
      </c>
      <c r="M997" s="4" t="s">
        <v>1146</v>
      </c>
      <c r="N997" s="4" t="str">
        <f>IF(Table13[[#This Row],[Function Col5]]="","",_xlfn.CONCAT(Table13[[#This Row],[Day Col]],"/",Table13[[#This Row],[Month Col]],"/",Table13[[#This Row],[Year Col]]))</f>
        <v>28/Nov/2023</v>
      </c>
      <c r="O997" s="4" t="s">
        <v>1366</v>
      </c>
      <c r="P997" s="4" t="str">
        <f>IF(ISNUMBER(Table13[[#This Row],[Claim_Date2]]),Table13[[#This Row],[Claim_Date2]],Table13[[#This Row],[Function Col32]])</f>
        <v>28/Nov/2023</v>
      </c>
      <c r="Q997" s="4">
        <v>45258</v>
      </c>
      <c r="R997" s="1" t="s">
        <v>85</v>
      </c>
      <c r="S997" s="1" t="s">
        <v>53</v>
      </c>
      <c r="T997" s="1" t="s">
        <v>48</v>
      </c>
      <c r="U997" s="1"/>
      <c r="V997" s="1">
        <v>-145</v>
      </c>
      <c r="W997" s="1">
        <f>IF(Table1[[#This Row],[Claim_Amount]]&lt;0,0,Table1[[#This Row],[Claim_Amount]])</f>
        <v>0</v>
      </c>
      <c r="X997" s="1" t="str">
        <f>IF(Table1[[#This Row],[Column1]]=0,"",Table1[[#This Row],[Column1]])</f>
        <v/>
      </c>
      <c r="Y997" s="1" t="s">
        <v>1098</v>
      </c>
      <c r="Z997" s="1">
        <v>2481</v>
      </c>
      <c r="AA997">
        <v>832</v>
      </c>
      <c r="AB997" s="1" t="s">
        <v>25</v>
      </c>
      <c r="AC997" s="1" t="s">
        <v>18</v>
      </c>
      <c r="AD997">
        <v>9</v>
      </c>
      <c r="AE997" s="3" t="s">
        <v>37</v>
      </c>
    </row>
    <row r="998" spans="1:31" ht="15.75" customHeight="1" x14ac:dyDescent="0.35">
      <c r="A998" s="1" t="s">
        <v>275</v>
      </c>
      <c r="B998" t="s">
        <v>1083</v>
      </c>
      <c r="C998" t="s">
        <v>1084</v>
      </c>
      <c r="D998" s="1" t="s">
        <v>432</v>
      </c>
      <c r="E998" s="5">
        <v>44979</v>
      </c>
      <c r="F998" s="4" t="str">
        <f>IF(ISNUMBER(Table13[[#This Row],[Claim_Date2]]),"",Table13[[#This Row],[Claim_Date2]])</f>
        <v/>
      </c>
      <c r="G998" s="4" t="s">
        <v>1098</v>
      </c>
      <c r="H998" s="4" t="str">
        <f>LEFT(Table13[[#This Row],[Values Col 1]],3)</f>
        <v/>
      </c>
      <c r="I998" s="4" t="s">
        <v>1098</v>
      </c>
      <c r="J998" s="4" t="str">
        <f>MID(Table13[[#This Row],[Function Col]],5,2)</f>
        <v/>
      </c>
      <c r="K998" s="4" t="s">
        <v>1098</v>
      </c>
      <c r="L998" s="4" t="str">
        <f>RIGHT(Table13[[#This Row],[Function Col]],4)</f>
        <v/>
      </c>
      <c r="M998" s="4" t="s">
        <v>1098</v>
      </c>
      <c r="N998" s="4" t="str">
        <f>IF(Table13[[#This Row],[Function Col5]]="","",_xlfn.CONCAT(Table13[[#This Row],[Day Col]],"/",Table13[[#This Row],[Month Col]],"/",Table13[[#This Row],[Year Col]]))</f>
        <v/>
      </c>
      <c r="O998" s="4" t="s">
        <v>1098</v>
      </c>
      <c r="P998" s="4">
        <f>IF(ISNUMBER(Table13[[#This Row],[Claim_Date2]]),Table13[[#This Row],[Claim_Date2]],Table13[[#This Row],[Function Col32]])</f>
        <v>44979</v>
      </c>
      <c r="Q998" s="4">
        <v>44979</v>
      </c>
      <c r="R998" s="1" t="s">
        <v>85</v>
      </c>
      <c r="S998" s="1" t="s">
        <v>93</v>
      </c>
      <c r="T998" s="1" t="s">
        <v>48</v>
      </c>
      <c r="U998" s="1"/>
      <c r="V998" s="1">
        <v>-22</v>
      </c>
      <c r="W998" s="1">
        <f>IF(Table1[[#This Row],[Claim_Amount]]&lt;0,0,Table1[[#This Row],[Claim_Amount]])</f>
        <v>0</v>
      </c>
      <c r="X998" s="1" t="str">
        <f>IF(Table1[[#This Row],[Column1]]=0,"",Table1[[#This Row],[Column1]])</f>
        <v/>
      </c>
      <c r="Y998" s="1" t="s">
        <v>1098</v>
      </c>
      <c r="Z998" s="1">
        <v>2481</v>
      </c>
      <c r="AA998">
        <v>832</v>
      </c>
      <c r="AB998" s="1" t="s">
        <v>17</v>
      </c>
      <c r="AC998" s="1" t="s">
        <v>18</v>
      </c>
      <c r="AD998" s="1">
        <v>53</v>
      </c>
      <c r="AE998" s="3" t="s">
        <v>27</v>
      </c>
    </row>
    <row r="999" spans="1:31" ht="15.75" customHeight="1" x14ac:dyDescent="0.35">
      <c r="A999" s="1" t="s">
        <v>62</v>
      </c>
      <c r="B999" s="1" t="s">
        <v>600</v>
      </c>
      <c r="C999" t="s">
        <v>1084</v>
      </c>
      <c r="D999" s="1" t="s">
        <v>1077</v>
      </c>
      <c r="E999" s="5" t="s">
        <v>1077</v>
      </c>
      <c r="F999" s="4" t="str">
        <f>IF(ISNUMBER(Table13[[#This Row],[Claim_Date2]]),"",Table13[[#This Row],[Claim_Date2]])</f>
        <v>Feb 28 2023</v>
      </c>
      <c r="G999" s="4" t="s">
        <v>1077</v>
      </c>
      <c r="H999" s="4" t="str">
        <f>LEFT(Table13[[#This Row],[Values Col 1]],3)</f>
        <v>Feb</v>
      </c>
      <c r="I999" s="4" t="s">
        <v>1109</v>
      </c>
      <c r="J999" s="4" t="str">
        <f>MID(Table13[[#This Row],[Function Col]],5,2)</f>
        <v>28</v>
      </c>
      <c r="K999" s="4" t="s">
        <v>1134</v>
      </c>
      <c r="L999" s="4" t="str">
        <f>RIGHT(Table13[[#This Row],[Function Col]],4)</f>
        <v>2023</v>
      </c>
      <c r="M999" s="4" t="s">
        <v>1146</v>
      </c>
      <c r="N999" s="4" t="str">
        <f>IF(Table13[[#This Row],[Function Col5]]="","",_xlfn.CONCAT(Table13[[#This Row],[Day Col]],"/",Table13[[#This Row],[Month Col]],"/",Table13[[#This Row],[Year Col]]))</f>
        <v>28/Feb/2023</v>
      </c>
      <c r="O999" s="4" t="s">
        <v>1367</v>
      </c>
      <c r="P999" s="4" t="str">
        <f>IF(ISNUMBER(Table13[[#This Row],[Claim_Date2]]),Table13[[#This Row],[Claim_Date2]],Table13[[#This Row],[Function Col32]])</f>
        <v>28/Feb/2023</v>
      </c>
      <c r="Q999" s="4">
        <v>44985</v>
      </c>
      <c r="R999" s="1" t="s">
        <v>77</v>
      </c>
      <c r="S999" s="1" t="s">
        <v>23</v>
      </c>
      <c r="T999" s="1" t="s">
        <v>61</v>
      </c>
      <c r="U999" s="1"/>
      <c r="W999">
        <f>IF(Table1[[#This Row],[Claim_Amount]]&lt;0,0,Table1[[#This Row],[Claim_Amount]])</f>
        <v>0</v>
      </c>
      <c r="X999" t="str">
        <f>IF(Table1[[#This Row],[Column1]]=0,"",Table1[[#This Row],[Column1]])</f>
        <v/>
      </c>
      <c r="Y999" t="s">
        <v>1098</v>
      </c>
      <c r="Z999">
        <v>2481</v>
      </c>
      <c r="AA999">
        <v>832</v>
      </c>
      <c r="AB999" s="1" t="s">
        <v>17</v>
      </c>
      <c r="AC999" s="1" t="s">
        <v>26</v>
      </c>
      <c r="AD999">
        <v>9</v>
      </c>
      <c r="AE999" s="3" t="s">
        <v>19</v>
      </c>
    </row>
    <row r="1000" spans="1:31" ht="15.75" customHeight="1" x14ac:dyDescent="0.35">
      <c r="A1000" s="1" t="s">
        <v>163</v>
      </c>
      <c r="B1000" t="s">
        <v>1083</v>
      </c>
      <c r="C1000" s="1" t="s">
        <v>632</v>
      </c>
      <c r="D1000" s="1" t="s">
        <v>1078</v>
      </c>
      <c r="E1000" s="5">
        <v>44972</v>
      </c>
      <c r="F1000" s="4" t="str">
        <f>IF(ISNUMBER(Table13[[#This Row],[Claim_Date2]]),"",Table13[[#This Row],[Claim_Date2]])</f>
        <v/>
      </c>
      <c r="G1000" s="4" t="s">
        <v>1098</v>
      </c>
      <c r="H1000" s="4" t="str">
        <f>LEFT(Table13[[#This Row],[Values Col 1]],3)</f>
        <v/>
      </c>
      <c r="I1000" s="4" t="s">
        <v>1098</v>
      </c>
      <c r="J1000" s="4" t="str">
        <f>MID(Table13[[#This Row],[Function Col]],5,2)</f>
        <v/>
      </c>
      <c r="K1000" s="4" t="s">
        <v>1098</v>
      </c>
      <c r="L1000" s="4" t="str">
        <f>RIGHT(Table13[[#This Row],[Function Col]],4)</f>
        <v/>
      </c>
      <c r="M1000" s="4" t="s">
        <v>1098</v>
      </c>
      <c r="N1000" s="4" t="str">
        <f>IF(Table13[[#This Row],[Function Col5]]="","",_xlfn.CONCAT(Table13[[#This Row],[Day Col]],"/",Table13[[#This Row],[Month Col]],"/",Table13[[#This Row],[Year Col]]))</f>
        <v/>
      </c>
      <c r="O1000" s="4" t="s">
        <v>1098</v>
      </c>
      <c r="P1000" s="4">
        <f>IF(ISNUMBER(Table13[[#This Row],[Claim_Date2]]),Table13[[#This Row],[Claim_Date2]],Table13[[#This Row],[Function Col32]])</f>
        <v>44972</v>
      </c>
      <c r="Q1000" s="4">
        <v>44972</v>
      </c>
      <c r="R1000" s="1" t="s">
        <v>16</v>
      </c>
      <c r="S1000" t="s">
        <v>1085</v>
      </c>
      <c r="T1000" t="s">
        <v>1086</v>
      </c>
      <c r="W1000">
        <f>IF(Table1[[#This Row],[Claim_Amount]]&lt;0,0,Table1[[#This Row],[Claim_Amount]])</f>
        <v>0</v>
      </c>
      <c r="X1000" t="str">
        <f>IF(Table1[[#This Row],[Column1]]=0,"",Table1[[#This Row],[Column1]])</f>
        <v/>
      </c>
      <c r="Y1000" t="s">
        <v>1098</v>
      </c>
      <c r="Z1000">
        <v>2481</v>
      </c>
      <c r="AA1000">
        <v>832</v>
      </c>
      <c r="AB1000" s="1" t="s">
        <v>25</v>
      </c>
      <c r="AC1000" s="1" t="s">
        <v>18</v>
      </c>
      <c r="AD1000">
        <v>9</v>
      </c>
      <c r="AE1000" s="3" t="s">
        <v>1097</v>
      </c>
    </row>
    <row r="1001" spans="1:31" ht="15.75" customHeight="1" x14ac:dyDescent="0.35">
      <c r="A1001" s="1" t="s">
        <v>209</v>
      </c>
      <c r="B1001" t="s">
        <v>1083</v>
      </c>
      <c r="C1001" t="s">
        <v>1084</v>
      </c>
      <c r="D1001" s="1" t="s">
        <v>1068</v>
      </c>
      <c r="E1001" s="5">
        <v>44984</v>
      </c>
      <c r="F1001" s="4" t="str">
        <f>IF(ISNUMBER(Table13[[#This Row],[Claim_Date2]]),"",Table13[[#This Row],[Claim_Date2]])</f>
        <v/>
      </c>
      <c r="G1001" s="4" t="s">
        <v>1098</v>
      </c>
      <c r="H1001" s="4" t="str">
        <f>LEFT(Table13[[#This Row],[Values Col 1]],3)</f>
        <v/>
      </c>
      <c r="I1001" s="4" t="s">
        <v>1098</v>
      </c>
      <c r="J1001" s="4" t="str">
        <f>MID(Table13[[#This Row],[Function Col]],5,2)</f>
        <v/>
      </c>
      <c r="K1001" s="4" t="s">
        <v>1098</v>
      </c>
      <c r="L1001" s="4" t="str">
        <f>RIGHT(Table13[[#This Row],[Function Col]],4)</f>
        <v/>
      </c>
      <c r="M1001" s="4" t="s">
        <v>1098</v>
      </c>
      <c r="N1001" s="4" t="str">
        <f>IF(Table13[[#This Row],[Function Col5]]="","",_xlfn.CONCAT(Table13[[#This Row],[Day Col]],"/",Table13[[#This Row],[Month Col]],"/",Table13[[#This Row],[Year Col]]))</f>
        <v/>
      </c>
      <c r="O1001" s="4" t="s">
        <v>1098</v>
      </c>
      <c r="P1001" s="4">
        <f>IF(ISNUMBER(Table13[[#This Row],[Claim_Date2]]),Table13[[#This Row],[Claim_Date2]],Table13[[#This Row],[Function Col32]])</f>
        <v>44984</v>
      </c>
      <c r="Q1001" s="4">
        <v>44984</v>
      </c>
      <c r="R1001" s="1" t="s">
        <v>16</v>
      </c>
      <c r="S1001" t="s">
        <v>1085</v>
      </c>
      <c r="T1001" s="1" t="s">
        <v>54</v>
      </c>
      <c r="U1001" s="1"/>
      <c r="W1001">
        <f>IF(Table1[[#This Row],[Claim_Amount]]&lt;0,0,Table1[[#This Row],[Claim_Amount]])</f>
        <v>0</v>
      </c>
      <c r="X1001" t="str">
        <f>IF(Table1[[#This Row],[Column1]]=0,"",Table1[[#This Row],[Column1]])</f>
        <v/>
      </c>
      <c r="Y1001" t="s">
        <v>1098</v>
      </c>
      <c r="Z1001">
        <v>2481</v>
      </c>
      <c r="AA1001">
        <v>832</v>
      </c>
      <c r="AB1001" s="1" t="s">
        <v>25</v>
      </c>
      <c r="AC1001" s="1" t="s">
        <v>26</v>
      </c>
      <c r="AD1001">
        <v>9</v>
      </c>
      <c r="AE1001" s="3" t="s">
        <v>27</v>
      </c>
    </row>
    <row r="1002" spans="1:31" ht="15.75" customHeight="1" x14ac:dyDescent="0.35">
      <c r="A1002" s="9" t="s">
        <v>1089</v>
      </c>
      <c r="E1002" s="9"/>
      <c r="F1002" s="9"/>
      <c r="G1002" s="9"/>
      <c r="H1002" s="9"/>
      <c r="I1002" s="9"/>
      <c r="J1002" s="9"/>
      <c r="K1002" s="9"/>
      <c r="L1002" s="9"/>
      <c r="M1002" s="9"/>
      <c r="N1002" s="9"/>
      <c r="O1002" s="9"/>
      <c r="P1002" s="9"/>
      <c r="Q1002" s="9"/>
      <c r="R1002" s="9"/>
      <c r="S1002" s="9"/>
      <c r="T1002" s="9"/>
      <c r="U1002" s="9"/>
      <c r="AB1002" s="9"/>
      <c r="AC1002" s="9"/>
      <c r="AE1002" s="9"/>
    </row>
    <row r="1003" spans="1:31" ht="15.75" customHeight="1" x14ac:dyDescent="0.35"/>
    <row r="1004" spans="1:31" ht="15.75" customHeight="1" x14ac:dyDescent="0.35"/>
    <row r="1005" spans="1:31" ht="15.75" customHeight="1" x14ac:dyDescent="0.35"/>
    <row r="1006" spans="1:31" ht="15.75" customHeight="1" x14ac:dyDescent="0.35"/>
    <row r="1007" spans="1:31" ht="15.75" customHeight="1" x14ac:dyDescent="0.35"/>
    <row r="1008" spans="1:31"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row r="1018" ht="15.75" customHeight="1" x14ac:dyDescent="0.35"/>
    <row r="1019" ht="15.75" customHeight="1" x14ac:dyDescent="0.35"/>
    <row r="1020" ht="15.75" customHeight="1" x14ac:dyDescent="0.35"/>
    <row r="1021" ht="15.75" customHeight="1" x14ac:dyDescent="0.35"/>
    <row r="1022" ht="15.75" customHeight="1" x14ac:dyDescent="0.35"/>
    <row r="1023" ht="15.75" customHeight="1" x14ac:dyDescent="0.35"/>
    <row r="1024" ht="15.75" customHeight="1" x14ac:dyDescent="0.35"/>
    <row r="1025" ht="15.75" customHeight="1" x14ac:dyDescent="0.35"/>
    <row r="1026" ht="15.75" customHeight="1" x14ac:dyDescent="0.35"/>
    <row r="1027" ht="15.75" customHeight="1" x14ac:dyDescent="0.35"/>
    <row r="1028" ht="15.75" customHeight="1" x14ac:dyDescent="0.35"/>
    <row r="1029" ht="15.75" customHeight="1" x14ac:dyDescent="0.35"/>
    <row r="1030" ht="15.75" customHeight="1" x14ac:dyDescent="0.35"/>
    <row r="1031" ht="15.75" customHeight="1" x14ac:dyDescent="0.35"/>
    <row r="1032" ht="15.75" customHeight="1" x14ac:dyDescent="0.35"/>
    <row r="1033" ht="15.75" customHeight="1" x14ac:dyDescent="0.35"/>
    <row r="1034" ht="15.75" customHeight="1" x14ac:dyDescent="0.35"/>
    <row r="1035" ht="15.75" customHeight="1" x14ac:dyDescent="0.35"/>
    <row r="1036" ht="15.75" customHeight="1" x14ac:dyDescent="0.35"/>
    <row r="1037" ht="15.75" customHeight="1" x14ac:dyDescent="0.35"/>
    <row r="1038" ht="15.75" customHeight="1" x14ac:dyDescent="0.35"/>
    <row r="1039" ht="15.75" customHeight="1" x14ac:dyDescent="0.35"/>
    <row r="1040" ht="15.75" customHeight="1" x14ac:dyDescent="0.35"/>
    <row r="1041" ht="15.75" customHeight="1" x14ac:dyDescent="0.35"/>
    <row r="1042" ht="15.75" customHeight="1" x14ac:dyDescent="0.35"/>
    <row r="1043" ht="15.75" customHeight="1" x14ac:dyDescent="0.35"/>
    <row r="1044" ht="15.75" customHeight="1" x14ac:dyDescent="0.35"/>
    <row r="1045" ht="15.75" customHeight="1" x14ac:dyDescent="0.35"/>
    <row r="1046" ht="15.75" customHeight="1" x14ac:dyDescent="0.35"/>
    <row r="1047" ht="15.75" customHeight="1" x14ac:dyDescent="0.35"/>
    <row r="1048" ht="15.75" customHeight="1" x14ac:dyDescent="0.35"/>
    <row r="1049" ht="15.75" customHeight="1" x14ac:dyDescent="0.35"/>
    <row r="1050" ht="15.75" customHeight="1" x14ac:dyDescent="0.35"/>
    <row r="1051" ht="15.75" customHeight="1" x14ac:dyDescent="0.35"/>
    <row r="1052" ht="15.75" customHeight="1" x14ac:dyDescent="0.35"/>
    <row r="1053" ht="15.75" customHeight="1" x14ac:dyDescent="0.35"/>
    <row r="1054" ht="15.75" customHeight="1" x14ac:dyDescent="0.35"/>
    <row r="1055" ht="15.75" customHeight="1" x14ac:dyDescent="0.35"/>
    <row r="1056" ht="15.75" customHeight="1" x14ac:dyDescent="0.35"/>
    <row r="1057" ht="15.75" customHeight="1" x14ac:dyDescent="0.35"/>
    <row r="1058" ht="15.75" customHeight="1" x14ac:dyDescent="0.35"/>
    <row r="1059" ht="15.75" customHeight="1" x14ac:dyDescent="0.35"/>
    <row r="1060" ht="15.75" customHeight="1" x14ac:dyDescent="0.35"/>
    <row r="1061" ht="15.75" customHeight="1" x14ac:dyDescent="0.35"/>
    <row r="1062" ht="15.75" customHeight="1" x14ac:dyDescent="0.35"/>
    <row r="1063" ht="15.75" customHeight="1" x14ac:dyDescent="0.35"/>
    <row r="1064" ht="15.75" customHeight="1" x14ac:dyDescent="0.35"/>
    <row r="1065" ht="15.75" customHeight="1" x14ac:dyDescent="0.35"/>
    <row r="1066" ht="15.75" customHeight="1" x14ac:dyDescent="0.35"/>
    <row r="1067" ht="15.75" customHeight="1" x14ac:dyDescent="0.35"/>
    <row r="1068" ht="15.75" customHeight="1" x14ac:dyDescent="0.35"/>
    <row r="1069" ht="15.75" customHeight="1" x14ac:dyDescent="0.35"/>
    <row r="1070" ht="15.75" customHeight="1" x14ac:dyDescent="0.35"/>
    <row r="1071" ht="15.75" customHeight="1" x14ac:dyDescent="0.35"/>
    <row r="1072" ht="15.75" customHeight="1" x14ac:dyDescent="0.35"/>
    <row r="1073" ht="15.75" customHeight="1" x14ac:dyDescent="0.35"/>
    <row r="1074" ht="15.75" customHeight="1" x14ac:dyDescent="0.35"/>
    <row r="1075" ht="15.75" customHeight="1" x14ac:dyDescent="0.35"/>
    <row r="1076" ht="15.75" customHeight="1" x14ac:dyDescent="0.35"/>
    <row r="1077" ht="15.75" customHeight="1" x14ac:dyDescent="0.35"/>
    <row r="1078" ht="15.75" customHeight="1" x14ac:dyDescent="0.35"/>
    <row r="1079" ht="15.75" customHeight="1" x14ac:dyDescent="0.35"/>
    <row r="1080" ht="15.75" customHeight="1" x14ac:dyDescent="0.35"/>
    <row r="1081" ht="15.75" customHeight="1" x14ac:dyDescent="0.35"/>
    <row r="1082" ht="15.75" customHeight="1" x14ac:dyDescent="0.35"/>
    <row r="1083" ht="15.75" customHeight="1" x14ac:dyDescent="0.35"/>
    <row r="1084" ht="15.75" customHeight="1" x14ac:dyDescent="0.35"/>
    <row r="1085" ht="15.75" customHeight="1" x14ac:dyDescent="0.35"/>
    <row r="1086" ht="15.75" customHeight="1" x14ac:dyDescent="0.35"/>
    <row r="1087" ht="15.75" customHeight="1" x14ac:dyDescent="0.35"/>
    <row r="1088" ht="15.75" customHeight="1" x14ac:dyDescent="0.35"/>
    <row r="1089" ht="15.75" customHeight="1" x14ac:dyDescent="0.35"/>
    <row r="1090" ht="15.75" customHeight="1" x14ac:dyDescent="0.35"/>
    <row r="1091" ht="15.75" customHeight="1" x14ac:dyDescent="0.35"/>
    <row r="1092" ht="15.75" customHeight="1" x14ac:dyDescent="0.35"/>
    <row r="1093" ht="15.75" customHeight="1" x14ac:dyDescent="0.35"/>
    <row r="1094" ht="15.75" customHeight="1" x14ac:dyDescent="0.35"/>
    <row r="1095" ht="15.75" customHeight="1" x14ac:dyDescent="0.35"/>
    <row r="1096" ht="15.75" customHeight="1" x14ac:dyDescent="0.35"/>
    <row r="1097" ht="15.75" customHeight="1" x14ac:dyDescent="0.35"/>
    <row r="1098" ht="15.75" customHeight="1" x14ac:dyDescent="0.35"/>
    <row r="1099" ht="15.75" customHeight="1" x14ac:dyDescent="0.35"/>
    <row r="1100" ht="15.75" customHeight="1" x14ac:dyDescent="0.35"/>
    <row r="1101" ht="15.75" customHeight="1" x14ac:dyDescent="0.35"/>
    <row r="1102" ht="15.75" customHeight="1" x14ac:dyDescent="0.35"/>
    <row r="1103" ht="15.75" customHeight="1" x14ac:dyDescent="0.35"/>
    <row r="1104" ht="15.75" customHeight="1" x14ac:dyDescent="0.35"/>
    <row r="1105" ht="15.75" customHeight="1" x14ac:dyDescent="0.35"/>
    <row r="1106" ht="15.75" customHeight="1" x14ac:dyDescent="0.35"/>
    <row r="1107" ht="15.75" customHeight="1" x14ac:dyDescent="0.35"/>
    <row r="1108" ht="15.75" customHeight="1" x14ac:dyDescent="0.35"/>
    <row r="1109" ht="15.75" customHeight="1" x14ac:dyDescent="0.35"/>
    <row r="1110" ht="15.75" customHeight="1" x14ac:dyDescent="0.35"/>
    <row r="1111" ht="15.75" customHeight="1" x14ac:dyDescent="0.35"/>
    <row r="1112" ht="15.75" customHeight="1" x14ac:dyDescent="0.35"/>
    <row r="1113" ht="15.75" customHeight="1" x14ac:dyDescent="0.35"/>
    <row r="1114" ht="15.75" customHeight="1" x14ac:dyDescent="0.35"/>
    <row r="1115" ht="15.75" customHeight="1" x14ac:dyDescent="0.35"/>
    <row r="1116" ht="15.75" customHeight="1" x14ac:dyDescent="0.35"/>
    <row r="1117" ht="15.75" customHeight="1" x14ac:dyDescent="0.35"/>
    <row r="1118" ht="15.75" customHeight="1" x14ac:dyDescent="0.35"/>
    <row r="1119" ht="15.75" customHeight="1" x14ac:dyDescent="0.35"/>
    <row r="1120" ht="15.75" customHeight="1" x14ac:dyDescent="0.35"/>
    <row r="1121" ht="15.75" customHeight="1" x14ac:dyDescent="0.35"/>
    <row r="1122" ht="15.75" customHeight="1" x14ac:dyDescent="0.35"/>
    <row r="1123" ht="15.75" customHeight="1" x14ac:dyDescent="0.35"/>
    <row r="1124" ht="15.75" customHeight="1" x14ac:dyDescent="0.35"/>
    <row r="1125" ht="15.75" customHeight="1" x14ac:dyDescent="0.35"/>
    <row r="1126" ht="15.75" customHeight="1" x14ac:dyDescent="0.35"/>
    <row r="1127" ht="15.75" customHeight="1" x14ac:dyDescent="0.35"/>
    <row r="1128" ht="15.75" customHeight="1" x14ac:dyDescent="0.35"/>
    <row r="1129" ht="15.75" customHeight="1" x14ac:dyDescent="0.35"/>
    <row r="1130" ht="15.75" customHeight="1" x14ac:dyDescent="0.35"/>
    <row r="1131" ht="15.75" customHeight="1" x14ac:dyDescent="0.35"/>
    <row r="1132" ht="15.75" customHeight="1" x14ac:dyDescent="0.35"/>
    <row r="1133" ht="15.75" customHeight="1" x14ac:dyDescent="0.35"/>
    <row r="1134" ht="15.75" customHeight="1" x14ac:dyDescent="0.35"/>
    <row r="1135" ht="15.75" customHeight="1" x14ac:dyDescent="0.35"/>
    <row r="1136" ht="15.75" customHeight="1" x14ac:dyDescent="0.35"/>
    <row r="1137" ht="15.75" customHeight="1" x14ac:dyDescent="0.35"/>
    <row r="1138" ht="15.75" customHeight="1" x14ac:dyDescent="0.35"/>
    <row r="1139" ht="15.75" customHeight="1" x14ac:dyDescent="0.35"/>
    <row r="1140" ht="15.75" customHeight="1" x14ac:dyDescent="0.35"/>
    <row r="1141" ht="15.75" customHeight="1" x14ac:dyDescent="0.35"/>
    <row r="1142" ht="15.75" customHeight="1" x14ac:dyDescent="0.35"/>
    <row r="1143" ht="15.75" customHeight="1" x14ac:dyDescent="0.35"/>
    <row r="1144" ht="15.75" customHeight="1" x14ac:dyDescent="0.35"/>
    <row r="1145" ht="15.75" customHeight="1" x14ac:dyDescent="0.35"/>
    <row r="1146" ht="15.75" customHeight="1" x14ac:dyDescent="0.35"/>
    <row r="1147" ht="15.75" customHeight="1" x14ac:dyDescent="0.35"/>
    <row r="1148" ht="15.75" customHeight="1" x14ac:dyDescent="0.35"/>
    <row r="1149" ht="15.75" customHeight="1" x14ac:dyDescent="0.35"/>
    <row r="1150" ht="15.75" customHeight="1" x14ac:dyDescent="0.35"/>
    <row r="1151" ht="15.75" customHeight="1" x14ac:dyDescent="0.35"/>
    <row r="1152" ht="15.75" customHeight="1" x14ac:dyDescent="0.35"/>
    <row r="1153" ht="15.75" customHeight="1" x14ac:dyDescent="0.35"/>
    <row r="1154" ht="15.75" customHeight="1" x14ac:dyDescent="0.35"/>
    <row r="1155" ht="15.75" customHeight="1" x14ac:dyDescent="0.35"/>
    <row r="1156" ht="15.75" customHeight="1" x14ac:dyDescent="0.35"/>
    <row r="1157" ht="15.75" customHeight="1" x14ac:dyDescent="0.35"/>
    <row r="1158" ht="15.75" customHeight="1" x14ac:dyDescent="0.35"/>
    <row r="1159" ht="15.75" customHeight="1" x14ac:dyDescent="0.35"/>
    <row r="1160" ht="15.75" customHeight="1" x14ac:dyDescent="0.35"/>
    <row r="1161" ht="15.75" customHeight="1" x14ac:dyDescent="0.35"/>
    <row r="1162" ht="15.75" customHeight="1" x14ac:dyDescent="0.35"/>
    <row r="1163" ht="15.75" customHeight="1" x14ac:dyDescent="0.35"/>
    <row r="1164" ht="15.75" customHeight="1" x14ac:dyDescent="0.35"/>
    <row r="1165" ht="15.75" customHeight="1" x14ac:dyDescent="0.35"/>
    <row r="1166" ht="15.75" customHeight="1" x14ac:dyDescent="0.35"/>
    <row r="1167" ht="15.75" customHeight="1" x14ac:dyDescent="0.35"/>
    <row r="1168" ht="15.75" customHeight="1" x14ac:dyDescent="0.35"/>
    <row r="1169" ht="15.75" customHeight="1" x14ac:dyDescent="0.35"/>
    <row r="1170" ht="15.75" customHeight="1" x14ac:dyDescent="0.35"/>
    <row r="1171" ht="15.75" customHeight="1" x14ac:dyDescent="0.35"/>
    <row r="1172" ht="15.75" customHeight="1" x14ac:dyDescent="0.35"/>
    <row r="1173" ht="15.75" customHeight="1" x14ac:dyDescent="0.35"/>
    <row r="1174" ht="15.75" customHeight="1" x14ac:dyDescent="0.35"/>
    <row r="1175" ht="15.75" customHeight="1" x14ac:dyDescent="0.35"/>
    <row r="1176" ht="15.75" customHeight="1" x14ac:dyDescent="0.35"/>
    <row r="1177" ht="15.75" customHeight="1" x14ac:dyDescent="0.35"/>
    <row r="1178" ht="15.75" customHeight="1" x14ac:dyDescent="0.35"/>
    <row r="1179" ht="15.75" customHeight="1" x14ac:dyDescent="0.35"/>
    <row r="1180" ht="15.75" customHeight="1" x14ac:dyDescent="0.35"/>
    <row r="1181" ht="15.75" customHeight="1" x14ac:dyDescent="0.35"/>
    <row r="1182" ht="15.75" customHeight="1" x14ac:dyDescent="0.35"/>
    <row r="1183" ht="15.75" customHeight="1" x14ac:dyDescent="0.35"/>
    <row r="1184" ht="15.75" customHeight="1" x14ac:dyDescent="0.35"/>
    <row r="1185" ht="15.75" customHeight="1" x14ac:dyDescent="0.35"/>
    <row r="1186" ht="15.75" customHeight="1" x14ac:dyDescent="0.35"/>
    <row r="1187" ht="15.75" customHeight="1" x14ac:dyDescent="0.35"/>
    <row r="1188" ht="15.75" customHeight="1" x14ac:dyDescent="0.35"/>
    <row r="1189" ht="15.75" customHeight="1" x14ac:dyDescent="0.35"/>
    <row r="1190" ht="15.75" customHeight="1" x14ac:dyDescent="0.35"/>
    <row r="1191" ht="15.75" customHeight="1" x14ac:dyDescent="0.35"/>
    <row r="1192" ht="15.75" customHeight="1" x14ac:dyDescent="0.35"/>
    <row r="1193" ht="15.75" customHeight="1" x14ac:dyDescent="0.35"/>
    <row r="1194" ht="15.75" customHeight="1" x14ac:dyDescent="0.35"/>
    <row r="1195" ht="15.75" customHeight="1" x14ac:dyDescent="0.35"/>
    <row r="1196" ht="15.75" customHeight="1" x14ac:dyDescent="0.35"/>
    <row r="1197" ht="15.75" customHeight="1" x14ac:dyDescent="0.35"/>
    <row r="1198" ht="15.75" customHeight="1" x14ac:dyDescent="0.35"/>
    <row r="1199" ht="15.75" customHeight="1" x14ac:dyDescent="0.35"/>
    <row r="1200" ht="15.75" customHeight="1" x14ac:dyDescent="0.35"/>
    <row r="1201" ht="15.75" customHeight="1" x14ac:dyDescent="0.35"/>
    <row r="1202" ht="15.75" customHeight="1" x14ac:dyDescent="0.35"/>
    <row r="1203" ht="15.75" customHeight="1" x14ac:dyDescent="0.35"/>
    <row r="1204" ht="15.75" customHeight="1" x14ac:dyDescent="0.35"/>
    <row r="1205" ht="15.75" customHeight="1" x14ac:dyDescent="0.35"/>
    <row r="1206" ht="15.75" customHeight="1" x14ac:dyDescent="0.35"/>
    <row r="1207" ht="15.75" customHeight="1" x14ac:dyDescent="0.35"/>
    <row r="1208" ht="15.75" customHeight="1" x14ac:dyDescent="0.35"/>
    <row r="1209" ht="15.75" customHeight="1" x14ac:dyDescent="0.35"/>
    <row r="1210" ht="15.75" customHeight="1" x14ac:dyDescent="0.35"/>
    <row r="1211" ht="15.75" customHeight="1" x14ac:dyDescent="0.35"/>
    <row r="1212" ht="15.75" customHeight="1" x14ac:dyDescent="0.35"/>
    <row r="1213" ht="15.75" customHeight="1" x14ac:dyDescent="0.35"/>
    <row r="1214" ht="15.75" customHeight="1" x14ac:dyDescent="0.35"/>
    <row r="1215" ht="15.75" customHeight="1" x14ac:dyDescent="0.35"/>
    <row r="1216" ht="15.75" customHeight="1" x14ac:dyDescent="0.35"/>
    <row r="1217" ht="15.75" customHeight="1" x14ac:dyDescent="0.35"/>
    <row r="1218" ht="15.75" customHeight="1" x14ac:dyDescent="0.35"/>
    <row r="1219" ht="15.75" customHeight="1" x14ac:dyDescent="0.35"/>
    <row r="1220" ht="15.75" customHeight="1" x14ac:dyDescent="0.35"/>
    <row r="1221" ht="15.75" customHeight="1" x14ac:dyDescent="0.35"/>
    <row r="1222" ht="15.75" customHeight="1" x14ac:dyDescent="0.35"/>
    <row r="1223" ht="15.75" customHeight="1" x14ac:dyDescent="0.35"/>
    <row r="1224" ht="15.75" customHeight="1" x14ac:dyDescent="0.35"/>
    <row r="1225" ht="15.75" customHeight="1" x14ac:dyDescent="0.35"/>
    <row r="1226" ht="15.75" customHeight="1" x14ac:dyDescent="0.35"/>
    <row r="1227" ht="15.75" customHeight="1" x14ac:dyDescent="0.35"/>
    <row r="1228" ht="15.75" customHeight="1" x14ac:dyDescent="0.35"/>
    <row r="1229" ht="15.75" customHeight="1" x14ac:dyDescent="0.35"/>
    <row r="1230" ht="15.75" customHeight="1" x14ac:dyDescent="0.35"/>
    <row r="1231" ht="15.75" customHeight="1" x14ac:dyDescent="0.35"/>
    <row r="1232" ht="15.75" customHeight="1" x14ac:dyDescent="0.35"/>
    <row r="1233" ht="15.75" customHeight="1" x14ac:dyDescent="0.35"/>
    <row r="1234" ht="15.75" customHeight="1" x14ac:dyDescent="0.35"/>
    <row r="1235" ht="15.75" customHeight="1" x14ac:dyDescent="0.35"/>
    <row r="1236" ht="15.75" customHeight="1" x14ac:dyDescent="0.35"/>
    <row r="1237" ht="15.75" customHeight="1" x14ac:dyDescent="0.35"/>
    <row r="1238" ht="15.75" customHeight="1" x14ac:dyDescent="0.35"/>
    <row r="1239" ht="15.75" customHeight="1" x14ac:dyDescent="0.35"/>
    <row r="1240" ht="15.75" customHeight="1" x14ac:dyDescent="0.35"/>
    <row r="1241" ht="15.75" customHeight="1" x14ac:dyDescent="0.35"/>
    <row r="1242" ht="15.75" customHeight="1" x14ac:dyDescent="0.35"/>
    <row r="1243" ht="15.75" customHeight="1" x14ac:dyDescent="0.35"/>
    <row r="1244" ht="15.75" customHeight="1" x14ac:dyDescent="0.35"/>
    <row r="1245" ht="15.75" customHeight="1" x14ac:dyDescent="0.35"/>
    <row r="1246" ht="15.75" customHeight="1" x14ac:dyDescent="0.35"/>
    <row r="1247" ht="15.75" customHeight="1" x14ac:dyDescent="0.35"/>
    <row r="1248" ht="15.75" customHeight="1" x14ac:dyDescent="0.35"/>
    <row r="1249" ht="15.75" customHeight="1" x14ac:dyDescent="0.35"/>
    <row r="1250" ht="15.75" customHeight="1" x14ac:dyDescent="0.35"/>
    <row r="1251" ht="15.75" customHeight="1" x14ac:dyDescent="0.35"/>
    <row r="1252" ht="15.75" customHeight="1" x14ac:dyDescent="0.35"/>
    <row r="1253" ht="15.75" customHeight="1" x14ac:dyDescent="0.35"/>
    <row r="1254" ht="15.75" customHeight="1" x14ac:dyDescent="0.35"/>
    <row r="1255" ht="15.75" customHeight="1" x14ac:dyDescent="0.35"/>
    <row r="1256" ht="15.75" customHeight="1" x14ac:dyDescent="0.35"/>
    <row r="1257" ht="15.75" customHeight="1" x14ac:dyDescent="0.35"/>
    <row r="1258" ht="15.75" customHeight="1" x14ac:dyDescent="0.35"/>
    <row r="1259" ht="15.75" customHeight="1" x14ac:dyDescent="0.35"/>
    <row r="1260" ht="15.75" customHeight="1" x14ac:dyDescent="0.35"/>
    <row r="1261" ht="15.75" customHeight="1" x14ac:dyDescent="0.35"/>
    <row r="1262" ht="15.75" customHeight="1" x14ac:dyDescent="0.35"/>
    <row r="1263" ht="15.75" customHeight="1" x14ac:dyDescent="0.35"/>
    <row r="1264" ht="15.75" customHeight="1" x14ac:dyDescent="0.35"/>
    <row r="1265" ht="15.75" customHeight="1" x14ac:dyDescent="0.35"/>
    <row r="1266" ht="15.75" customHeight="1" x14ac:dyDescent="0.35"/>
    <row r="1267" ht="15.75" customHeight="1" x14ac:dyDescent="0.35"/>
    <row r="1268" ht="15.75" customHeight="1" x14ac:dyDescent="0.35"/>
    <row r="1269" ht="15.75" customHeight="1" x14ac:dyDescent="0.35"/>
    <row r="1270" ht="15.75" customHeight="1" x14ac:dyDescent="0.35"/>
    <row r="1271" ht="15.75" customHeight="1" x14ac:dyDescent="0.35"/>
    <row r="1272" ht="15.75" customHeight="1" x14ac:dyDescent="0.35"/>
    <row r="1273" ht="15.75" customHeight="1" x14ac:dyDescent="0.35"/>
    <row r="1274" ht="15.75" customHeight="1" x14ac:dyDescent="0.35"/>
    <row r="1275" ht="15.75" customHeight="1" x14ac:dyDescent="0.35"/>
    <row r="1276" ht="15.75" customHeight="1" x14ac:dyDescent="0.35"/>
    <row r="1277" ht="15.75" customHeight="1" x14ac:dyDescent="0.35"/>
    <row r="1278" ht="15.75" customHeight="1" x14ac:dyDescent="0.35"/>
    <row r="1279" ht="15.75" customHeight="1" x14ac:dyDescent="0.35"/>
    <row r="1280" ht="15.75" customHeight="1" x14ac:dyDescent="0.35"/>
    <row r="1281" ht="15.75" customHeight="1" x14ac:dyDescent="0.35"/>
    <row r="1282" ht="15.75" customHeight="1" x14ac:dyDescent="0.35"/>
    <row r="1283" ht="15.75" customHeight="1" x14ac:dyDescent="0.35"/>
    <row r="1284" ht="15.75" customHeight="1" x14ac:dyDescent="0.35"/>
    <row r="1285" ht="15.75" customHeight="1" x14ac:dyDescent="0.35"/>
    <row r="1286" ht="15.75" customHeight="1" x14ac:dyDescent="0.35"/>
    <row r="1287" ht="15.75" customHeight="1" x14ac:dyDescent="0.35"/>
    <row r="1288" ht="15.75" customHeight="1" x14ac:dyDescent="0.35"/>
    <row r="1289" ht="15.75" customHeight="1" x14ac:dyDescent="0.35"/>
    <row r="1290" ht="15.75" customHeight="1" x14ac:dyDescent="0.35"/>
    <row r="1291" ht="15.75" customHeight="1" x14ac:dyDescent="0.35"/>
    <row r="1292" ht="15.75" customHeight="1" x14ac:dyDescent="0.35"/>
    <row r="1293" ht="15.75" customHeight="1" x14ac:dyDescent="0.35"/>
    <row r="1294" ht="15.75" customHeight="1" x14ac:dyDescent="0.35"/>
    <row r="1295" ht="15.75" customHeight="1" x14ac:dyDescent="0.35"/>
    <row r="1296" ht="15.75" customHeight="1" x14ac:dyDescent="0.35"/>
    <row r="1297" ht="15.75" customHeight="1" x14ac:dyDescent="0.35"/>
    <row r="1298" ht="15.75" customHeight="1" x14ac:dyDescent="0.35"/>
    <row r="1299" ht="15.75" customHeight="1" x14ac:dyDescent="0.35"/>
    <row r="1300" ht="15.75" customHeight="1" x14ac:dyDescent="0.35"/>
    <row r="1301" ht="15.75" customHeight="1" x14ac:dyDescent="0.35"/>
    <row r="1302" ht="15.75" customHeight="1" x14ac:dyDescent="0.35"/>
    <row r="1303" ht="15.75" customHeight="1" x14ac:dyDescent="0.35"/>
    <row r="1304" ht="15.75" customHeight="1" x14ac:dyDescent="0.35"/>
    <row r="1305" ht="15.75" customHeight="1" x14ac:dyDescent="0.35"/>
    <row r="1306" ht="15.75" customHeight="1" x14ac:dyDescent="0.35"/>
    <row r="1307" ht="15.75" customHeight="1" x14ac:dyDescent="0.35"/>
    <row r="1308" ht="15.75" customHeight="1" x14ac:dyDescent="0.35"/>
    <row r="1309" ht="15.75" customHeight="1" x14ac:dyDescent="0.35"/>
    <row r="1310" ht="15.75" customHeight="1" x14ac:dyDescent="0.35"/>
    <row r="1311" ht="15.75" customHeight="1" x14ac:dyDescent="0.35"/>
    <row r="1312" ht="15.75" customHeight="1" x14ac:dyDescent="0.35"/>
    <row r="1313" ht="15.75" customHeight="1" x14ac:dyDescent="0.35"/>
    <row r="1314" ht="15.75" customHeight="1" x14ac:dyDescent="0.35"/>
    <row r="1315" ht="15.75" customHeight="1" x14ac:dyDescent="0.35"/>
    <row r="1316" ht="15.75" customHeight="1" x14ac:dyDescent="0.35"/>
    <row r="1317" ht="15.75" customHeight="1" x14ac:dyDescent="0.35"/>
    <row r="1318" ht="15.75" customHeight="1" x14ac:dyDescent="0.35"/>
    <row r="1319" ht="15.75" customHeight="1" x14ac:dyDescent="0.35"/>
    <row r="1320" ht="15.75" customHeight="1" x14ac:dyDescent="0.35"/>
    <row r="1321" ht="15.75" customHeight="1" x14ac:dyDescent="0.35"/>
    <row r="1322" ht="15.75" customHeight="1" x14ac:dyDescent="0.35"/>
    <row r="1323" ht="15.75" customHeight="1" x14ac:dyDescent="0.35"/>
    <row r="1324" ht="15.75" customHeight="1" x14ac:dyDescent="0.35"/>
    <row r="1325" ht="15.75" customHeight="1" x14ac:dyDescent="0.35"/>
    <row r="1326" ht="15.75" customHeight="1" x14ac:dyDescent="0.35"/>
    <row r="1327" ht="15.75" customHeight="1" x14ac:dyDescent="0.35"/>
    <row r="1328" ht="15.75" customHeight="1" x14ac:dyDescent="0.35"/>
    <row r="1329" ht="15.75" customHeight="1" x14ac:dyDescent="0.35"/>
    <row r="1330" ht="15.75" customHeight="1" x14ac:dyDescent="0.35"/>
    <row r="1331" ht="15.75" customHeight="1" x14ac:dyDescent="0.35"/>
    <row r="1332" ht="15.75" customHeight="1" x14ac:dyDescent="0.35"/>
    <row r="1333" ht="15.75" customHeight="1" x14ac:dyDescent="0.35"/>
    <row r="1334" ht="15.75" customHeight="1" x14ac:dyDescent="0.35"/>
    <row r="1335" ht="15.75" customHeight="1" x14ac:dyDescent="0.35"/>
    <row r="1336" ht="15.75" customHeight="1" x14ac:dyDescent="0.35"/>
    <row r="1337" ht="15.75" customHeight="1" x14ac:dyDescent="0.35"/>
    <row r="1338" ht="15.75" customHeight="1" x14ac:dyDescent="0.35"/>
    <row r="1339" ht="15.75" customHeight="1" x14ac:dyDescent="0.35"/>
    <row r="1340" ht="15.75" customHeight="1" x14ac:dyDescent="0.35"/>
    <row r="1341" ht="15.75" customHeight="1" x14ac:dyDescent="0.35"/>
    <row r="1342" ht="15.75" customHeight="1" x14ac:dyDescent="0.35"/>
    <row r="1343" ht="15.75" customHeight="1" x14ac:dyDescent="0.35"/>
    <row r="1344" ht="15.75" customHeight="1" x14ac:dyDescent="0.35"/>
    <row r="1345" ht="15.75" customHeight="1" x14ac:dyDescent="0.35"/>
    <row r="1346" ht="15.75" customHeight="1" x14ac:dyDescent="0.35"/>
    <row r="1347" ht="15.75" customHeight="1" x14ac:dyDescent="0.35"/>
    <row r="1348" ht="15.75" customHeight="1" x14ac:dyDescent="0.35"/>
    <row r="1349" ht="15.75" customHeight="1" x14ac:dyDescent="0.35"/>
    <row r="1350" ht="15.75" customHeight="1" x14ac:dyDescent="0.35"/>
    <row r="1351" ht="15.75" customHeight="1" x14ac:dyDescent="0.35"/>
    <row r="1352" ht="15.75" customHeight="1" x14ac:dyDescent="0.35"/>
    <row r="1353" ht="15.75" customHeight="1" x14ac:dyDescent="0.35"/>
    <row r="1354" ht="15.75" customHeight="1" x14ac:dyDescent="0.35"/>
    <row r="1355" ht="15.75" customHeight="1" x14ac:dyDescent="0.35"/>
    <row r="1356" ht="15.75" customHeight="1" x14ac:dyDescent="0.35"/>
    <row r="1357" ht="15.75" customHeight="1" x14ac:dyDescent="0.35"/>
    <row r="1358" ht="15.75" customHeight="1" x14ac:dyDescent="0.35"/>
    <row r="1359" ht="15.75" customHeight="1" x14ac:dyDescent="0.35"/>
    <row r="1360" ht="15.75" customHeight="1" x14ac:dyDescent="0.35"/>
    <row r="1361" ht="15.75" customHeight="1" x14ac:dyDescent="0.35"/>
    <row r="1362" ht="15.75" customHeight="1" x14ac:dyDescent="0.35"/>
    <row r="1363" ht="15.75" customHeight="1" x14ac:dyDescent="0.35"/>
    <row r="1364" ht="15.75" customHeight="1" x14ac:dyDescent="0.35"/>
    <row r="1365" ht="15.75" customHeight="1" x14ac:dyDescent="0.35"/>
    <row r="1366" ht="15.75" customHeight="1" x14ac:dyDescent="0.35"/>
    <row r="1367" ht="15.75" customHeight="1" x14ac:dyDescent="0.35"/>
    <row r="1368" ht="15.75" customHeight="1" x14ac:dyDescent="0.35"/>
    <row r="1369" ht="15.75" customHeight="1" x14ac:dyDescent="0.35"/>
    <row r="1370" ht="15.75" customHeight="1" x14ac:dyDescent="0.35"/>
    <row r="1371" ht="15.75" customHeight="1" x14ac:dyDescent="0.35"/>
    <row r="1372" ht="15.75" customHeight="1" x14ac:dyDescent="0.35"/>
    <row r="1373" ht="15.75" customHeight="1" x14ac:dyDescent="0.35"/>
    <row r="1374" ht="15.75" customHeight="1" x14ac:dyDescent="0.35"/>
    <row r="1375" ht="15.75" customHeight="1" x14ac:dyDescent="0.35"/>
    <row r="1376" ht="15.75" customHeight="1" x14ac:dyDescent="0.35"/>
    <row r="1377" ht="15.75" customHeight="1" x14ac:dyDescent="0.35"/>
    <row r="1378" ht="15.75" customHeight="1" x14ac:dyDescent="0.35"/>
    <row r="1379" ht="15.75" customHeight="1" x14ac:dyDescent="0.35"/>
    <row r="1380" ht="15.75" customHeight="1" x14ac:dyDescent="0.35"/>
    <row r="1381" ht="15.75" customHeight="1" x14ac:dyDescent="0.35"/>
    <row r="1382" ht="15.75" customHeight="1" x14ac:dyDescent="0.35"/>
    <row r="1383" ht="15.75" customHeight="1" x14ac:dyDescent="0.35"/>
    <row r="1384" ht="15.75" customHeight="1" x14ac:dyDescent="0.35"/>
    <row r="1385" ht="15.75" customHeight="1" x14ac:dyDescent="0.35"/>
    <row r="1386" ht="15.75" customHeight="1" x14ac:dyDescent="0.35"/>
    <row r="1387" ht="15.75" customHeight="1" x14ac:dyDescent="0.35"/>
    <row r="1388" ht="15.75" customHeight="1" x14ac:dyDescent="0.35"/>
    <row r="1389" ht="15.75" customHeight="1" x14ac:dyDescent="0.35"/>
    <row r="1390" ht="15.75" customHeight="1" x14ac:dyDescent="0.35"/>
    <row r="1391" ht="15.75" customHeight="1" x14ac:dyDescent="0.35"/>
    <row r="1392" ht="15.75" customHeight="1" x14ac:dyDescent="0.35"/>
    <row r="1393" ht="15.75" customHeight="1" x14ac:dyDescent="0.35"/>
    <row r="1394" ht="15.75" customHeight="1" x14ac:dyDescent="0.35"/>
    <row r="1395" ht="15.75" customHeight="1" x14ac:dyDescent="0.35"/>
    <row r="1396" ht="15.75" customHeight="1" x14ac:dyDescent="0.35"/>
    <row r="1397" ht="15.75" customHeight="1" x14ac:dyDescent="0.35"/>
    <row r="1398" ht="15.75" customHeight="1" x14ac:dyDescent="0.35"/>
    <row r="1399" ht="15.75" customHeight="1" x14ac:dyDescent="0.35"/>
    <row r="1400" ht="15.75" customHeight="1" x14ac:dyDescent="0.35"/>
    <row r="1401" ht="15.75" customHeight="1" x14ac:dyDescent="0.35"/>
    <row r="1402" ht="15.75" customHeight="1" x14ac:dyDescent="0.35"/>
    <row r="1403" ht="15.75" customHeight="1" x14ac:dyDescent="0.35"/>
    <row r="1404" ht="15.75" customHeight="1" x14ac:dyDescent="0.35"/>
    <row r="1405" ht="15.75" customHeight="1" x14ac:dyDescent="0.35"/>
    <row r="1406" ht="15.75" customHeight="1" x14ac:dyDescent="0.35"/>
    <row r="1407" ht="15.75" customHeight="1" x14ac:dyDescent="0.35"/>
    <row r="1408" ht="15.75" customHeight="1" x14ac:dyDescent="0.35"/>
    <row r="1409" ht="15.75" customHeight="1" x14ac:dyDescent="0.35"/>
    <row r="1410" ht="15.75" customHeight="1" x14ac:dyDescent="0.35"/>
    <row r="1411" ht="15.75" customHeight="1" x14ac:dyDescent="0.35"/>
    <row r="1412" ht="15.75" customHeight="1" x14ac:dyDescent="0.35"/>
    <row r="1413" ht="15.75" customHeight="1" x14ac:dyDescent="0.35"/>
    <row r="1414" ht="15.75" customHeight="1" x14ac:dyDescent="0.35"/>
    <row r="1415" ht="15.75" customHeight="1" x14ac:dyDescent="0.35"/>
    <row r="1416" ht="15.75" customHeight="1" x14ac:dyDescent="0.35"/>
    <row r="1417" ht="15.75" customHeight="1" x14ac:dyDescent="0.35"/>
    <row r="1418" ht="15.75" customHeight="1" x14ac:dyDescent="0.35"/>
    <row r="1419" ht="15.75" customHeight="1" x14ac:dyDescent="0.35"/>
    <row r="1420" ht="15.75" customHeight="1" x14ac:dyDescent="0.35"/>
    <row r="1421" ht="15.75" customHeight="1" x14ac:dyDescent="0.35"/>
    <row r="1422" ht="15.75" customHeight="1" x14ac:dyDescent="0.35"/>
    <row r="1423" ht="15.75" customHeight="1" x14ac:dyDescent="0.35"/>
    <row r="1424" ht="15.75" customHeight="1" x14ac:dyDescent="0.35"/>
    <row r="1425" ht="15.75" customHeight="1" x14ac:dyDescent="0.35"/>
    <row r="1426" ht="15.75" customHeight="1" x14ac:dyDescent="0.35"/>
    <row r="1427" ht="15.75" customHeight="1" x14ac:dyDescent="0.35"/>
    <row r="1428" ht="15.75" customHeight="1" x14ac:dyDescent="0.35"/>
    <row r="1429" ht="15.75" customHeight="1" x14ac:dyDescent="0.35"/>
    <row r="1430" ht="15.75" customHeight="1" x14ac:dyDescent="0.35"/>
    <row r="1431" ht="15.75" customHeight="1" x14ac:dyDescent="0.35"/>
    <row r="1432" ht="15.75" customHeight="1" x14ac:dyDescent="0.35"/>
    <row r="1433" ht="15.75" customHeight="1" x14ac:dyDescent="0.35"/>
    <row r="1434" ht="15.75" customHeight="1" x14ac:dyDescent="0.35"/>
    <row r="1435" ht="15.75" customHeight="1" x14ac:dyDescent="0.35"/>
    <row r="1436" ht="15.75" customHeight="1" x14ac:dyDescent="0.35"/>
    <row r="1437" ht="15.75" customHeight="1" x14ac:dyDescent="0.35"/>
    <row r="1438" ht="15.75" customHeight="1" x14ac:dyDescent="0.35"/>
    <row r="1439" ht="15.75" customHeight="1" x14ac:dyDescent="0.35"/>
    <row r="1440" ht="15.75" customHeight="1" x14ac:dyDescent="0.35"/>
    <row r="1441" ht="15.75" customHeight="1" x14ac:dyDescent="0.35"/>
    <row r="1442" ht="15.75" customHeight="1" x14ac:dyDescent="0.35"/>
    <row r="1443" ht="15.75" customHeight="1" x14ac:dyDescent="0.35"/>
    <row r="1444" ht="15.75" customHeight="1" x14ac:dyDescent="0.35"/>
    <row r="1445" ht="15.75" customHeight="1" x14ac:dyDescent="0.35"/>
    <row r="1446" ht="15.75" customHeight="1" x14ac:dyDescent="0.35"/>
    <row r="1447" ht="15.75" customHeight="1" x14ac:dyDescent="0.35"/>
    <row r="1448" ht="15.75" customHeight="1" x14ac:dyDescent="0.35"/>
    <row r="1449" ht="15.75" customHeight="1" x14ac:dyDescent="0.35"/>
    <row r="1450" ht="15.75" customHeight="1" x14ac:dyDescent="0.35"/>
    <row r="1451" ht="15.75" customHeight="1" x14ac:dyDescent="0.35"/>
    <row r="1452" ht="15.75" customHeight="1" x14ac:dyDescent="0.35"/>
    <row r="1453" ht="15.75" customHeight="1" x14ac:dyDescent="0.35"/>
    <row r="1454" ht="15.75" customHeight="1" x14ac:dyDescent="0.35"/>
    <row r="1455" ht="15.75" customHeight="1" x14ac:dyDescent="0.35"/>
    <row r="1456" ht="15.75" customHeight="1" x14ac:dyDescent="0.35"/>
    <row r="1457" ht="15.75" customHeight="1" x14ac:dyDescent="0.35"/>
    <row r="1458" ht="15.75" customHeight="1" x14ac:dyDescent="0.35"/>
    <row r="1459" ht="15.75" customHeight="1" x14ac:dyDescent="0.35"/>
    <row r="1460" ht="15.75" customHeight="1" x14ac:dyDescent="0.35"/>
    <row r="1461" ht="15.75" customHeight="1" x14ac:dyDescent="0.35"/>
    <row r="1462" ht="15.75" customHeight="1" x14ac:dyDescent="0.35"/>
    <row r="1463" ht="15.75" customHeight="1" x14ac:dyDescent="0.35"/>
    <row r="1464" ht="15.75" customHeight="1" x14ac:dyDescent="0.35"/>
    <row r="1465" ht="15.75" customHeight="1" x14ac:dyDescent="0.35"/>
    <row r="1466" ht="15.75" customHeight="1" x14ac:dyDescent="0.35"/>
    <row r="1467" ht="15.75" customHeight="1" x14ac:dyDescent="0.35"/>
    <row r="1468" ht="15.75" customHeight="1" x14ac:dyDescent="0.35"/>
    <row r="1469" ht="15.75" customHeight="1" x14ac:dyDescent="0.35"/>
    <row r="1470" ht="15.75" customHeight="1" x14ac:dyDescent="0.35"/>
    <row r="1471" ht="15.75" customHeight="1" x14ac:dyDescent="0.35"/>
    <row r="1472" ht="15.75" customHeight="1" x14ac:dyDescent="0.35"/>
    <row r="1473" ht="15.75" customHeight="1" x14ac:dyDescent="0.35"/>
    <row r="1474" ht="15.75" customHeight="1" x14ac:dyDescent="0.35"/>
    <row r="1475" ht="15.75" customHeight="1" x14ac:dyDescent="0.35"/>
    <row r="1476" ht="15.75" customHeight="1" x14ac:dyDescent="0.35"/>
    <row r="1477" ht="15.75" customHeight="1" x14ac:dyDescent="0.35"/>
    <row r="1478" ht="15.75" customHeight="1" x14ac:dyDescent="0.35"/>
    <row r="1479" ht="15.75" customHeight="1" x14ac:dyDescent="0.35"/>
    <row r="1480" ht="15.75" customHeight="1" x14ac:dyDescent="0.35"/>
    <row r="1481" ht="15.75" customHeight="1" x14ac:dyDescent="0.35"/>
    <row r="1482" ht="15.75" customHeight="1" x14ac:dyDescent="0.35"/>
    <row r="1483" ht="15.75" customHeight="1" x14ac:dyDescent="0.35"/>
    <row r="1484" ht="15.75" customHeight="1" x14ac:dyDescent="0.35"/>
    <row r="1485" ht="15.75" customHeight="1" x14ac:dyDescent="0.35"/>
    <row r="1486" ht="15.75" customHeight="1" x14ac:dyDescent="0.35"/>
    <row r="1487" ht="15.75" customHeight="1" x14ac:dyDescent="0.35"/>
    <row r="1488" ht="15.75" customHeight="1" x14ac:dyDescent="0.35"/>
    <row r="1489" ht="15.75" customHeight="1" x14ac:dyDescent="0.35"/>
    <row r="1490" ht="15.75" customHeight="1" x14ac:dyDescent="0.35"/>
    <row r="1491" ht="15.75" customHeight="1" x14ac:dyDescent="0.35"/>
    <row r="1492" ht="15.75" customHeight="1" x14ac:dyDescent="0.35"/>
    <row r="1493" ht="15.75" customHeight="1" x14ac:dyDescent="0.35"/>
    <row r="1494" ht="15.75" customHeight="1" x14ac:dyDescent="0.35"/>
    <row r="1495" ht="15.75" customHeight="1" x14ac:dyDescent="0.35"/>
    <row r="1496" ht="15.75" customHeight="1" x14ac:dyDescent="0.35"/>
    <row r="1497" ht="15.75" customHeight="1" x14ac:dyDescent="0.35"/>
    <row r="1498" ht="15.75" customHeight="1" x14ac:dyDescent="0.35"/>
    <row r="1499" ht="15.75" customHeight="1" x14ac:dyDescent="0.35"/>
    <row r="1500" ht="15.75" customHeight="1" x14ac:dyDescent="0.35"/>
    <row r="1501" ht="15.75" customHeight="1" x14ac:dyDescent="0.35"/>
    <row r="1502" ht="15.75" customHeight="1" x14ac:dyDescent="0.35"/>
    <row r="1503" ht="15.75" customHeight="1" x14ac:dyDescent="0.35"/>
    <row r="1504" ht="15.75" customHeight="1" x14ac:dyDescent="0.35"/>
    <row r="1505" ht="15.75" customHeight="1" x14ac:dyDescent="0.35"/>
    <row r="1506" ht="15.75" customHeight="1" x14ac:dyDescent="0.35"/>
    <row r="1507" ht="15.75" customHeight="1" x14ac:dyDescent="0.35"/>
    <row r="1508" ht="15.75" customHeight="1" x14ac:dyDescent="0.35"/>
    <row r="1509" ht="15.75" customHeight="1" x14ac:dyDescent="0.35"/>
    <row r="1510" ht="15.75" customHeight="1" x14ac:dyDescent="0.35"/>
    <row r="1511" ht="15.75" customHeight="1" x14ac:dyDescent="0.35"/>
    <row r="1512" ht="15.75" customHeight="1" x14ac:dyDescent="0.35"/>
    <row r="1513" ht="15.75" customHeight="1" x14ac:dyDescent="0.35"/>
    <row r="1514" ht="15.75" customHeight="1" x14ac:dyDescent="0.35"/>
    <row r="1515" ht="15.75" customHeight="1" x14ac:dyDescent="0.35"/>
    <row r="1516" ht="15.75" customHeight="1" x14ac:dyDescent="0.35"/>
    <row r="1517" ht="15.75" customHeight="1" x14ac:dyDescent="0.35"/>
    <row r="1518" ht="15.75" customHeight="1" x14ac:dyDescent="0.35"/>
    <row r="1519" ht="15.75" customHeight="1" x14ac:dyDescent="0.35"/>
    <row r="1520" ht="15.75" customHeight="1" x14ac:dyDescent="0.35"/>
    <row r="1521" ht="15.75" customHeight="1" x14ac:dyDescent="0.35"/>
    <row r="1522" ht="15.75" customHeight="1" x14ac:dyDescent="0.35"/>
    <row r="1523" ht="15.75" customHeight="1" x14ac:dyDescent="0.35"/>
    <row r="1524" ht="15.75" customHeight="1" x14ac:dyDescent="0.35"/>
    <row r="1525" ht="15.75" customHeight="1" x14ac:dyDescent="0.35"/>
    <row r="1526" ht="15.75" customHeight="1" x14ac:dyDescent="0.35"/>
    <row r="1527" ht="15.75" customHeight="1" x14ac:dyDescent="0.35"/>
    <row r="1528" ht="15.75" customHeight="1" x14ac:dyDescent="0.35"/>
    <row r="1529" ht="15.75" customHeight="1" x14ac:dyDescent="0.35"/>
    <row r="1530" ht="15.75" customHeight="1" x14ac:dyDescent="0.35"/>
    <row r="1531" ht="15.75" customHeight="1" x14ac:dyDescent="0.35"/>
    <row r="1532" ht="15.75" customHeight="1" x14ac:dyDescent="0.35"/>
    <row r="1533" ht="15.75" customHeight="1" x14ac:dyDescent="0.35"/>
    <row r="1534" ht="15.75" customHeight="1" x14ac:dyDescent="0.35"/>
    <row r="1535" ht="15.75" customHeight="1" x14ac:dyDescent="0.35"/>
    <row r="1536" ht="15.75" customHeight="1" x14ac:dyDescent="0.35"/>
    <row r="1537" ht="15.75" customHeight="1" x14ac:dyDescent="0.35"/>
    <row r="1538" ht="15.75" customHeight="1" x14ac:dyDescent="0.35"/>
    <row r="1539" ht="15.75" customHeight="1" x14ac:dyDescent="0.35"/>
    <row r="1540" ht="15.75" customHeight="1" x14ac:dyDescent="0.35"/>
    <row r="1541" ht="15.75" customHeight="1" x14ac:dyDescent="0.35"/>
    <row r="1542" ht="15.75" customHeight="1" x14ac:dyDescent="0.35"/>
    <row r="1543" ht="15.75" customHeight="1" x14ac:dyDescent="0.35"/>
    <row r="1544" ht="15.75" customHeight="1" x14ac:dyDescent="0.35"/>
    <row r="1545" ht="15.75" customHeight="1" x14ac:dyDescent="0.35"/>
    <row r="1546" ht="15.75" customHeight="1" x14ac:dyDescent="0.35"/>
    <row r="1547" ht="15.75" customHeight="1" x14ac:dyDescent="0.35"/>
    <row r="1548" ht="15.75" customHeight="1" x14ac:dyDescent="0.35"/>
    <row r="1549" ht="15.75" customHeight="1" x14ac:dyDescent="0.35"/>
    <row r="1550" ht="15.75" customHeight="1" x14ac:dyDescent="0.35"/>
    <row r="1551" ht="15.75" customHeight="1" x14ac:dyDescent="0.35"/>
    <row r="1552" ht="15.75" customHeight="1" x14ac:dyDescent="0.35"/>
    <row r="1553" ht="15.75" customHeight="1" x14ac:dyDescent="0.35"/>
    <row r="1554" ht="15.75" customHeight="1" x14ac:dyDescent="0.35"/>
    <row r="1555" ht="15.75" customHeight="1" x14ac:dyDescent="0.35"/>
    <row r="1556" ht="15.75" customHeight="1" x14ac:dyDescent="0.35"/>
    <row r="1557" ht="15.75" customHeight="1" x14ac:dyDescent="0.35"/>
    <row r="1558" ht="15.75" customHeight="1" x14ac:dyDescent="0.35"/>
    <row r="1559" ht="15.75" customHeight="1" x14ac:dyDescent="0.35"/>
    <row r="1560" ht="15.75" customHeight="1" x14ac:dyDescent="0.35"/>
    <row r="1561" ht="15.75" customHeight="1" x14ac:dyDescent="0.35"/>
    <row r="1562" ht="15.75" customHeight="1" x14ac:dyDescent="0.35"/>
    <row r="1563" ht="15.75" customHeight="1" x14ac:dyDescent="0.35"/>
    <row r="1564" ht="15.75" customHeight="1" x14ac:dyDescent="0.35"/>
    <row r="1565" ht="15.75" customHeight="1" x14ac:dyDescent="0.35"/>
    <row r="1566" ht="15.75" customHeight="1" x14ac:dyDescent="0.35"/>
    <row r="1567" ht="15.75" customHeight="1" x14ac:dyDescent="0.35"/>
    <row r="1568" ht="15.75" customHeight="1" x14ac:dyDescent="0.35"/>
    <row r="1569" ht="15.75" customHeight="1" x14ac:dyDescent="0.35"/>
    <row r="1570" ht="15.75" customHeight="1" x14ac:dyDescent="0.35"/>
    <row r="1571" ht="15.75" customHeight="1" x14ac:dyDescent="0.35"/>
    <row r="1572" ht="15.75" customHeight="1" x14ac:dyDescent="0.35"/>
    <row r="1573" ht="15.75" customHeight="1" x14ac:dyDescent="0.35"/>
    <row r="1574" ht="15.75" customHeight="1" x14ac:dyDescent="0.35"/>
    <row r="1575" ht="15.75" customHeight="1" x14ac:dyDescent="0.35"/>
    <row r="1576" ht="15.75" customHeight="1" x14ac:dyDescent="0.35"/>
    <row r="1577" ht="15.75" customHeight="1" x14ac:dyDescent="0.35"/>
    <row r="1578" ht="15.75" customHeight="1" x14ac:dyDescent="0.35"/>
    <row r="1579" ht="15.75" customHeight="1" x14ac:dyDescent="0.35"/>
    <row r="1580" ht="15.75" customHeight="1" x14ac:dyDescent="0.35"/>
    <row r="1581" ht="15.75" customHeight="1" x14ac:dyDescent="0.35"/>
    <row r="1582" ht="15.75" customHeight="1" x14ac:dyDescent="0.35"/>
    <row r="1583" ht="15.75" customHeight="1" x14ac:dyDescent="0.35"/>
    <row r="1584" ht="15.75" customHeight="1" x14ac:dyDescent="0.35"/>
    <row r="1585" ht="15.75" customHeight="1" x14ac:dyDescent="0.35"/>
    <row r="1586" ht="15.75" customHeight="1" x14ac:dyDescent="0.35"/>
    <row r="1587" ht="15.75" customHeight="1" x14ac:dyDescent="0.35"/>
    <row r="1588" ht="15.75" customHeight="1" x14ac:dyDescent="0.35"/>
    <row r="1589" ht="15.75" customHeight="1" x14ac:dyDescent="0.35"/>
    <row r="1590" ht="15.75" customHeight="1" x14ac:dyDescent="0.35"/>
    <row r="1591" ht="15.75" customHeight="1" x14ac:dyDescent="0.35"/>
    <row r="1592" ht="15.75" customHeight="1" x14ac:dyDescent="0.35"/>
    <row r="1593" ht="15.75" customHeight="1" x14ac:dyDescent="0.35"/>
    <row r="1594" ht="15.75" customHeight="1" x14ac:dyDescent="0.35"/>
    <row r="1595" ht="15.75" customHeight="1" x14ac:dyDescent="0.35"/>
    <row r="1596" ht="15.75" customHeight="1" x14ac:dyDescent="0.35"/>
    <row r="1597" ht="15.75" customHeight="1" x14ac:dyDescent="0.35"/>
    <row r="1598" ht="15.75" customHeight="1" x14ac:dyDescent="0.35"/>
    <row r="1599" ht="15.75" customHeight="1" x14ac:dyDescent="0.35"/>
    <row r="1600" ht="15.75" customHeight="1" x14ac:dyDescent="0.35"/>
    <row r="1601" ht="15.75" customHeight="1" x14ac:dyDescent="0.35"/>
    <row r="1602" ht="15.75" customHeight="1" x14ac:dyDescent="0.35"/>
    <row r="1603" ht="15.75" customHeight="1" x14ac:dyDescent="0.35"/>
    <row r="1604" ht="15.75" customHeight="1" x14ac:dyDescent="0.35"/>
    <row r="1605" ht="15.75" customHeight="1" x14ac:dyDescent="0.35"/>
    <row r="1606" ht="15.75" customHeight="1" x14ac:dyDescent="0.35"/>
    <row r="1607" ht="15.75" customHeight="1" x14ac:dyDescent="0.35"/>
    <row r="1608" ht="15.75" customHeight="1" x14ac:dyDescent="0.35"/>
    <row r="1609" ht="15.75" customHeight="1" x14ac:dyDescent="0.35"/>
    <row r="1610" ht="15.75" customHeight="1" x14ac:dyDescent="0.35"/>
    <row r="1611" ht="15.75" customHeight="1" x14ac:dyDescent="0.35"/>
    <row r="1612" ht="15.75" customHeight="1" x14ac:dyDescent="0.35"/>
    <row r="1613" ht="15.75" customHeight="1" x14ac:dyDescent="0.35"/>
    <row r="1614" ht="15.75" customHeight="1" x14ac:dyDescent="0.35"/>
    <row r="1615" ht="15.75" customHeight="1" x14ac:dyDescent="0.35"/>
    <row r="1616" ht="15.75" customHeight="1" x14ac:dyDescent="0.35"/>
    <row r="1617" ht="15.75" customHeight="1" x14ac:dyDescent="0.35"/>
    <row r="1618" ht="15.75" customHeight="1" x14ac:dyDescent="0.35"/>
    <row r="1619" ht="15.75" customHeight="1" x14ac:dyDescent="0.35"/>
    <row r="1620" ht="15.75" customHeight="1" x14ac:dyDescent="0.35"/>
    <row r="1621" ht="15.75" customHeight="1" x14ac:dyDescent="0.35"/>
    <row r="1622" ht="15.75" customHeight="1" x14ac:dyDescent="0.35"/>
    <row r="1623" ht="15.75" customHeight="1" x14ac:dyDescent="0.35"/>
    <row r="1624" ht="15.75" customHeight="1" x14ac:dyDescent="0.35"/>
    <row r="1625" ht="15.75" customHeight="1" x14ac:dyDescent="0.35"/>
    <row r="1626" ht="15.75" customHeight="1" x14ac:dyDescent="0.35"/>
    <row r="1627" ht="15.75" customHeight="1" x14ac:dyDescent="0.35"/>
    <row r="1628" ht="15.75" customHeight="1" x14ac:dyDescent="0.35"/>
    <row r="1629" ht="15.75" customHeight="1" x14ac:dyDescent="0.35"/>
    <row r="1630" ht="15.75" customHeight="1" x14ac:dyDescent="0.35"/>
    <row r="1631" ht="15.75" customHeight="1" x14ac:dyDescent="0.35"/>
    <row r="1632" ht="15.75" customHeight="1" x14ac:dyDescent="0.35"/>
    <row r="1633" ht="15.75" customHeight="1" x14ac:dyDescent="0.35"/>
    <row r="1634" ht="15.75" customHeight="1" x14ac:dyDescent="0.35"/>
    <row r="1635" ht="15.75" customHeight="1" x14ac:dyDescent="0.35"/>
    <row r="1636" ht="15.75" customHeight="1" x14ac:dyDescent="0.35"/>
    <row r="1637" ht="15.75" customHeight="1" x14ac:dyDescent="0.35"/>
    <row r="1638" ht="15.75" customHeight="1" x14ac:dyDescent="0.35"/>
    <row r="1639" ht="15.75" customHeight="1" x14ac:dyDescent="0.35"/>
    <row r="1640" ht="15.75" customHeight="1" x14ac:dyDescent="0.35"/>
    <row r="1641" ht="15.75" customHeight="1" x14ac:dyDescent="0.35"/>
    <row r="1642" ht="15.75" customHeight="1" x14ac:dyDescent="0.35"/>
    <row r="1643" ht="15.75" customHeight="1" x14ac:dyDescent="0.35"/>
    <row r="1644" ht="15.75" customHeight="1" x14ac:dyDescent="0.35"/>
    <row r="1645" ht="15.75" customHeight="1" x14ac:dyDescent="0.35"/>
    <row r="1646" ht="15.75" customHeight="1" x14ac:dyDescent="0.35"/>
    <row r="1647" ht="15.75" customHeight="1" x14ac:dyDescent="0.35"/>
    <row r="1648" ht="15.75" customHeight="1" x14ac:dyDescent="0.35"/>
    <row r="1649" ht="15.75" customHeight="1" x14ac:dyDescent="0.35"/>
    <row r="1650" ht="15.75" customHeight="1" x14ac:dyDescent="0.35"/>
    <row r="1651" ht="15.75" customHeight="1" x14ac:dyDescent="0.35"/>
    <row r="1652" ht="15.75" customHeight="1" x14ac:dyDescent="0.35"/>
    <row r="1653" ht="15.75" customHeight="1" x14ac:dyDescent="0.35"/>
    <row r="1654" ht="15.75" customHeight="1" x14ac:dyDescent="0.35"/>
    <row r="1655" ht="15.75" customHeight="1" x14ac:dyDescent="0.35"/>
    <row r="1656" ht="15.75" customHeight="1" x14ac:dyDescent="0.35"/>
    <row r="1657" ht="15.75" customHeight="1" x14ac:dyDescent="0.35"/>
    <row r="1658" ht="15.75" customHeight="1" x14ac:dyDescent="0.35"/>
    <row r="1659" ht="15.75" customHeight="1" x14ac:dyDescent="0.35"/>
    <row r="1660" ht="15.75" customHeight="1" x14ac:dyDescent="0.35"/>
    <row r="1661" ht="15.75" customHeight="1" x14ac:dyDescent="0.35"/>
    <row r="1662" ht="15.75" customHeight="1" x14ac:dyDescent="0.35"/>
    <row r="1663" ht="15.75" customHeight="1" x14ac:dyDescent="0.35"/>
    <row r="1664" ht="15.75" customHeight="1" x14ac:dyDescent="0.35"/>
    <row r="1665" ht="15.75" customHeight="1" x14ac:dyDescent="0.35"/>
    <row r="1666" ht="15.75" customHeight="1" x14ac:dyDescent="0.35"/>
    <row r="1667" ht="15.75" customHeight="1" x14ac:dyDescent="0.35"/>
    <row r="1668" ht="15.75" customHeight="1" x14ac:dyDescent="0.35"/>
    <row r="1669" ht="15.75" customHeight="1" x14ac:dyDescent="0.35"/>
    <row r="1670" ht="15.75" customHeight="1" x14ac:dyDescent="0.35"/>
    <row r="1671" ht="15.75" customHeight="1" x14ac:dyDescent="0.35"/>
    <row r="1672" ht="15.75" customHeight="1" x14ac:dyDescent="0.35"/>
    <row r="1673" ht="15.75" customHeight="1" x14ac:dyDescent="0.35"/>
    <row r="1674" ht="15.75" customHeight="1" x14ac:dyDescent="0.35"/>
    <row r="1675" ht="15.75" customHeight="1" x14ac:dyDescent="0.35"/>
    <row r="1676" ht="15.75" customHeight="1" x14ac:dyDescent="0.35"/>
    <row r="1677" ht="15.75" customHeight="1" x14ac:dyDescent="0.35"/>
    <row r="1678" ht="15.75" customHeight="1" x14ac:dyDescent="0.35"/>
    <row r="1679" ht="15.75" customHeight="1" x14ac:dyDescent="0.35"/>
    <row r="1680" ht="15.75" customHeight="1" x14ac:dyDescent="0.35"/>
    <row r="1681" ht="15.75" customHeight="1" x14ac:dyDescent="0.35"/>
    <row r="1682" ht="15.75" customHeight="1" x14ac:dyDescent="0.35"/>
    <row r="1683" ht="15.75" customHeight="1" x14ac:dyDescent="0.35"/>
    <row r="1684" ht="15.75" customHeight="1" x14ac:dyDescent="0.35"/>
    <row r="1685" ht="15.75" customHeight="1" x14ac:dyDescent="0.35"/>
    <row r="1686" ht="15.75" customHeight="1" x14ac:dyDescent="0.35"/>
    <row r="1687" ht="15.75" customHeight="1" x14ac:dyDescent="0.35"/>
    <row r="1688" ht="15.75" customHeight="1" x14ac:dyDescent="0.35"/>
    <row r="1689" ht="15.75" customHeight="1" x14ac:dyDescent="0.35"/>
    <row r="1690" ht="15.75" customHeight="1" x14ac:dyDescent="0.35"/>
    <row r="1691" ht="15.75" customHeight="1" x14ac:dyDescent="0.35"/>
    <row r="1692" ht="15.75" customHeight="1" x14ac:dyDescent="0.35"/>
    <row r="1693" ht="15.75" customHeight="1" x14ac:dyDescent="0.35"/>
    <row r="1694" ht="15.75" customHeight="1" x14ac:dyDescent="0.35"/>
    <row r="1695" ht="15.75" customHeight="1" x14ac:dyDescent="0.35"/>
    <row r="1696" ht="15.75" customHeight="1" x14ac:dyDescent="0.35"/>
    <row r="1697" ht="15.75" customHeight="1" x14ac:dyDescent="0.35"/>
    <row r="1698" ht="15.75" customHeight="1" x14ac:dyDescent="0.35"/>
    <row r="1699" ht="15.75" customHeight="1" x14ac:dyDescent="0.35"/>
    <row r="1700" ht="15.75" customHeight="1" x14ac:dyDescent="0.35"/>
    <row r="1701" ht="15.75" customHeight="1" x14ac:dyDescent="0.35"/>
    <row r="1702" ht="15.75" customHeight="1" x14ac:dyDescent="0.35"/>
    <row r="1703" ht="15.75" customHeight="1" x14ac:dyDescent="0.35"/>
    <row r="1704" ht="15.75" customHeight="1" x14ac:dyDescent="0.35"/>
    <row r="1705" ht="15.75" customHeight="1" x14ac:dyDescent="0.35"/>
    <row r="1706" ht="15.75" customHeight="1" x14ac:dyDescent="0.35"/>
    <row r="1707" ht="15.75" customHeight="1" x14ac:dyDescent="0.35"/>
    <row r="1708" ht="15.75" customHeight="1" x14ac:dyDescent="0.35"/>
    <row r="1709" ht="15.75" customHeight="1" x14ac:dyDescent="0.35"/>
    <row r="1710" ht="15.75" customHeight="1" x14ac:dyDescent="0.35"/>
    <row r="1711" ht="15.75" customHeight="1" x14ac:dyDescent="0.35"/>
    <row r="1712" ht="15.75" customHeight="1" x14ac:dyDescent="0.35"/>
    <row r="1713" ht="15.75" customHeight="1" x14ac:dyDescent="0.35"/>
    <row r="1714" ht="15.75" customHeight="1" x14ac:dyDescent="0.35"/>
    <row r="1715" ht="15.75" customHeight="1" x14ac:dyDescent="0.35"/>
    <row r="1716" ht="15.75" customHeight="1" x14ac:dyDescent="0.35"/>
    <row r="1717" ht="15.75" customHeight="1" x14ac:dyDescent="0.35"/>
    <row r="1718" ht="15.75" customHeight="1" x14ac:dyDescent="0.35"/>
    <row r="1719" ht="15.75" customHeight="1" x14ac:dyDescent="0.35"/>
    <row r="1720" ht="15.75" customHeight="1" x14ac:dyDescent="0.35"/>
    <row r="1721" ht="15.75" customHeight="1" x14ac:dyDescent="0.35"/>
    <row r="1722" ht="15.75" customHeight="1" x14ac:dyDescent="0.35"/>
    <row r="1723" ht="15.75" customHeight="1" x14ac:dyDescent="0.35"/>
    <row r="1724" ht="15.75" customHeight="1" x14ac:dyDescent="0.35"/>
    <row r="1725" ht="15.75" customHeight="1" x14ac:dyDescent="0.35"/>
    <row r="1726" ht="15.75" customHeight="1" x14ac:dyDescent="0.35"/>
    <row r="1727" ht="15.75" customHeight="1" x14ac:dyDescent="0.35"/>
    <row r="1728" ht="15.75" customHeight="1" x14ac:dyDescent="0.35"/>
    <row r="1729" ht="15.75" customHeight="1" x14ac:dyDescent="0.35"/>
    <row r="1730" ht="15.75" customHeight="1" x14ac:dyDescent="0.35"/>
    <row r="1731" ht="15.75" customHeight="1" x14ac:dyDescent="0.35"/>
    <row r="1732" ht="15.75" customHeight="1" x14ac:dyDescent="0.35"/>
    <row r="1733" ht="15.75" customHeight="1" x14ac:dyDescent="0.35"/>
    <row r="1734" ht="15.75" customHeight="1" x14ac:dyDescent="0.35"/>
    <row r="1735" ht="15.75" customHeight="1" x14ac:dyDescent="0.35"/>
    <row r="1736" ht="15.75" customHeight="1" x14ac:dyDescent="0.35"/>
    <row r="1737" ht="15.75" customHeight="1" x14ac:dyDescent="0.35"/>
    <row r="1738" ht="15.75" customHeight="1" x14ac:dyDescent="0.35"/>
    <row r="1739" ht="15.75" customHeight="1" x14ac:dyDescent="0.35"/>
    <row r="1740" ht="15.75" customHeight="1" x14ac:dyDescent="0.35"/>
    <row r="1741" ht="15.75" customHeight="1" x14ac:dyDescent="0.35"/>
    <row r="1742" ht="15.75" customHeight="1" x14ac:dyDescent="0.35"/>
    <row r="1743" ht="15.75" customHeight="1" x14ac:dyDescent="0.35"/>
    <row r="1744" ht="15.75" customHeight="1" x14ac:dyDescent="0.35"/>
    <row r="1745" ht="15.75" customHeight="1" x14ac:dyDescent="0.35"/>
    <row r="1746" ht="15.75" customHeight="1" x14ac:dyDescent="0.35"/>
    <row r="1747" ht="15.75" customHeight="1" x14ac:dyDescent="0.35"/>
    <row r="1748" ht="15.75" customHeight="1" x14ac:dyDescent="0.35"/>
    <row r="1749" ht="15.75" customHeight="1" x14ac:dyDescent="0.35"/>
    <row r="1750" ht="15.75" customHeight="1" x14ac:dyDescent="0.35"/>
    <row r="1751" ht="15.75" customHeight="1" x14ac:dyDescent="0.35"/>
    <row r="1752" ht="15.75" customHeight="1" x14ac:dyDescent="0.35"/>
    <row r="1753" ht="15.75" customHeight="1" x14ac:dyDescent="0.35"/>
    <row r="1754" ht="15.75" customHeight="1" x14ac:dyDescent="0.35"/>
    <row r="1755" ht="15.75" customHeight="1" x14ac:dyDescent="0.35"/>
    <row r="1756" ht="15.75" customHeight="1" x14ac:dyDescent="0.35"/>
    <row r="1757" ht="15.75" customHeight="1" x14ac:dyDescent="0.35"/>
    <row r="1758" ht="15.75" customHeight="1" x14ac:dyDescent="0.35"/>
    <row r="1759" ht="15.75" customHeight="1" x14ac:dyDescent="0.35"/>
    <row r="1760" ht="15.75" customHeight="1" x14ac:dyDescent="0.35"/>
    <row r="1761" ht="15.75" customHeight="1" x14ac:dyDescent="0.35"/>
    <row r="1762" ht="15.75" customHeight="1" x14ac:dyDescent="0.35"/>
    <row r="1763" ht="15.75" customHeight="1" x14ac:dyDescent="0.35"/>
    <row r="1764" ht="15.75" customHeight="1" x14ac:dyDescent="0.35"/>
    <row r="1765" ht="15.75" customHeight="1" x14ac:dyDescent="0.35"/>
    <row r="1766" ht="15.75" customHeight="1" x14ac:dyDescent="0.35"/>
    <row r="1767" ht="15.75" customHeight="1" x14ac:dyDescent="0.35"/>
    <row r="1768" ht="15.75" customHeight="1" x14ac:dyDescent="0.35"/>
    <row r="1769" ht="15.75" customHeight="1" x14ac:dyDescent="0.35"/>
    <row r="1770" ht="15.75" customHeight="1" x14ac:dyDescent="0.35"/>
    <row r="1771" ht="15.75" customHeight="1" x14ac:dyDescent="0.35"/>
    <row r="1772" ht="15.75" customHeight="1" x14ac:dyDescent="0.35"/>
    <row r="1773" ht="15.75" customHeight="1" x14ac:dyDescent="0.35"/>
    <row r="1774" ht="15.75" customHeight="1" x14ac:dyDescent="0.35"/>
    <row r="1775" ht="15.75" customHeight="1" x14ac:dyDescent="0.35"/>
    <row r="1776" ht="15.75" customHeight="1" x14ac:dyDescent="0.35"/>
    <row r="1777" ht="15.75" customHeight="1" x14ac:dyDescent="0.35"/>
    <row r="1778" ht="15.75" customHeight="1" x14ac:dyDescent="0.35"/>
    <row r="1779" ht="15.75" customHeight="1" x14ac:dyDescent="0.35"/>
    <row r="1780" ht="15.75" customHeight="1" x14ac:dyDescent="0.35"/>
    <row r="1781" ht="15.75" customHeight="1" x14ac:dyDescent="0.35"/>
    <row r="1782" ht="15.75" customHeight="1" x14ac:dyDescent="0.35"/>
    <row r="1783" ht="15.75" customHeight="1" x14ac:dyDescent="0.35"/>
    <row r="1784" ht="15.75" customHeight="1" x14ac:dyDescent="0.35"/>
    <row r="1785" ht="15.75" customHeight="1" x14ac:dyDescent="0.35"/>
    <row r="1786" ht="15.75" customHeight="1" x14ac:dyDescent="0.35"/>
    <row r="1787" ht="15.75" customHeight="1" x14ac:dyDescent="0.35"/>
    <row r="1788" ht="15.75" customHeight="1" x14ac:dyDescent="0.35"/>
    <row r="1789" ht="15.75" customHeight="1" x14ac:dyDescent="0.35"/>
    <row r="1790" ht="15.75" customHeight="1" x14ac:dyDescent="0.35"/>
    <row r="1791" ht="15.75" customHeight="1" x14ac:dyDescent="0.35"/>
    <row r="1792" ht="15.75" customHeight="1" x14ac:dyDescent="0.35"/>
    <row r="1793" ht="15.75" customHeight="1" x14ac:dyDescent="0.35"/>
    <row r="1794" ht="15.75" customHeight="1" x14ac:dyDescent="0.35"/>
    <row r="1795" ht="15.75" customHeight="1" x14ac:dyDescent="0.35"/>
    <row r="1796" ht="15.75" customHeight="1" x14ac:dyDescent="0.35"/>
    <row r="1797" ht="15.75" customHeight="1" x14ac:dyDescent="0.35"/>
    <row r="1798" ht="15.75" customHeight="1" x14ac:dyDescent="0.35"/>
    <row r="1799" ht="15.75" customHeight="1" x14ac:dyDescent="0.35"/>
    <row r="1800" ht="15.75" customHeight="1" x14ac:dyDescent="0.35"/>
    <row r="1801" ht="15.75" customHeight="1" x14ac:dyDescent="0.35"/>
    <row r="1802" ht="15.75" customHeight="1" x14ac:dyDescent="0.35"/>
    <row r="1803" ht="15.75" customHeight="1" x14ac:dyDescent="0.35"/>
    <row r="1804" ht="15.75" customHeight="1" x14ac:dyDescent="0.35"/>
    <row r="1805" ht="15.75" customHeight="1" x14ac:dyDescent="0.35"/>
    <row r="1806" ht="15.75" customHeight="1" x14ac:dyDescent="0.35"/>
    <row r="1807" ht="15.75" customHeight="1" x14ac:dyDescent="0.35"/>
    <row r="1808" ht="15.75" customHeight="1" x14ac:dyDescent="0.35"/>
    <row r="1809" ht="15.75" customHeight="1" x14ac:dyDescent="0.35"/>
    <row r="1810" ht="15.75" customHeight="1" x14ac:dyDescent="0.35"/>
    <row r="1811" ht="15.75" customHeight="1" x14ac:dyDescent="0.35"/>
    <row r="1812" ht="15.75" customHeight="1" x14ac:dyDescent="0.35"/>
    <row r="1813" ht="15.75" customHeight="1" x14ac:dyDescent="0.35"/>
    <row r="1814" ht="15.75" customHeight="1" x14ac:dyDescent="0.35"/>
    <row r="1815" ht="15.75" customHeight="1" x14ac:dyDescent="0.35"/>
    <row r="1816" ht="15.75" customHeight="1" x14ac:dyDescent="0.35"/>
    <row r="1817" ht="15.75" customHeight="1" x14ac:dyDescent="0.35"/>
    <row r="1818" ht="15.75" customHeight="1" x14ac:dyDescent="0.35"/>
    <row r="1819" ht="15.75" customHeight="1" x14ac:dyDescent="0.35"/>
    <row r="1820" ht="15.75" customHeight="1" x14ac:dyDescent="0.35"/>
    <row r="1821" ht="15.75" customHeight="1" x14ac:dyDescent="0.35"/>
    <row r="1822" ht="15.75" customHeight="1" x14ac:dyDescent="0.35"/>
    <row r="1823" ht="15.75" customHeight="1" x14ac:dyDescent="0.35"/>
    <row r="1824" ht="15.75" customHeight="1" x14ac:dyDescent="0.35"/>
    <row r="1825" ht="15.75" customHeight="1" x14ac:dyDescent="0.35"/>
    <row r="1826" ht="15.75" customHeight="1" x14ac:dyDescent="0.35"/>
    <row r="1827" ht="15.75" customHeight="1" x14ac:dyDescent="0.35"/>
    <row r="1828" ht="15.75" customHeight="1" x14ac:dyDescent="0.35"/>
    <row r="1829" ht="15.75" customHeight="1" x14ac:dyDescent="0.35"/>
    <row r="1830" ht="15.75" customHeight="1" x14ac:dyDescent="0.35"/>
    <row r="1831" ht="15.75" customHeight="1" x14ac:dyDescent="0.35"/>
    <row r="1832" ht="15.75" customHeight="1" x14ac:dyDescent="0.35"/>
    <row r="1833" ht="15.75" customHeight="1" x14ac:dyDescent="0.35"/>
    <row r="1834" ht="15.75" customHeight="1" x14ac:dyDescent="0.35"/>
    <row r="1835" ht="15.75" customHeight="1" x14ac:dyDescent="0.35"/>
    <row r="1836" ht="15.75" customHeight="1" x14ac:dyDescent="0.35"/>
    <row r="1837" ht="15.75" customHeight="1" x14ac:dyDescent="0.35"/>
    <row r="1838" ht="15.75" customHeight="1" x14ac:dyDescent="0.35"/>
    <row r="1839" ht="15.75" customHeight="1" x14ac:dyDescent="0.35"/>
    <row r="1840" ht="15.75" customHeight="1" x14ac:dyDescent="0.35"/>
    <row r="1841" ht="15.75" customHeight="1" x14ac:dyDescent="0.35"/>
    <row r="1842" ht="15.75" customHeight="1" x14ac:dyDescent="0.35"/>
    <row r="1843" ht="15.75" customHeight="1" x14ac:dyDescent="0.35"/>
    <row r="1844" ht="15.75" customHeight="1" x14ac:dyDescent="0.35"/>
    <row r="1845" ht="15.75" customHeight="1" x14ac:dyDescent="0.35"/>
    <row r="1846" ht="15.75" customHeight="1" x14ac:dyDescent="0.35"/>
    <row r="1847" ht="15.75" customHeight="1" x14ac:dyDescent="0.35"/>
    <row r="1848" ht="15.75" customHeight="1" x14ac:dyDescent="0.35"/>
    <row r="1849" ht="15.75" customHeight="1" x14ac:dyDescent="0.35"/>
    <row r="1850" ht="15.75" customHeight="1" x14ac:dyDescent="0.35"/>
    <row r="1851" ht="15.75" customHeight="1" x14ac:dyDescent="0.35"/>
    <row r="1852" ht="15.75" customHeight="1" x14ac:dyDescent="0.35"/>
    <row r="1853" ht="15.75" customHeight="1" x14ac:dyDescent="0.35"/>
    <row r="1854" ht="15.75" customHeight="1" x14ac:dyDescent="0.35"/>
    <row r="1855" ht="15.75" customHeight="1" x14ac:dyDescent="0.35"/>
    <row r="1856" ht="15.75" customHeight="1" x14ac:dyDescent="0.35"/>
    <row r="1857" ht="15.75" customHeight="1" x14ac:dyDescent="0.35"/>
    <row r="1858" ht="15.75" customHeight="1" x14ac:dyDescent="0.35"/>
    <row r="1859" ht="15.75" customHeight="1" x14ac:dyDescent="0.35"/>
    <row r="1860" ht="15.75" customHeight="1" x14ac:dyDescent="0.35"/>
    <row r="1861" ht="15.75" customHeight="1" x14ac:dyDescent="0.35"/>
    <row r="1862" ht="15.75" customHeight="1" x14ac:dyDescent="0.35"/>
    <row r="1863" ht="15.75" customHeight="1" x14ac:dyDescent="0.35"/>
    <row r="1864" ht="15.75" customHeight="1" x14ac:dyDescent="0.35"/>
    <row r="1865" ht="15.75" customHeight="1" x14ac:dyDescent="0.35"/>
    <row r="1866" ht="15.75" customHeight="1" x14ac:dyDescent="0.35"/>
    <row r="1867" ht="15.75" customHeight="1" x14ac:dyDescent="0.35"/>
    <row r="1868" ht="15.75" customHeight="1" x14ac:dyDescent="0.35"/>
    <row r="1869" ht="15.75" customHeight="1" x14ac:dyDescent="0.35"/>
    <row r="1870" ht="15.75" customHeight="1" x14ac:dyDescent="0.35"/>
    <row r="1871" ht="15.75" customHeight="1" x14ac:dyDescent="0.35"/>
    <row r="1872" ht="15.75" customHeight="1" x14ac:dyDescent="0.35"/>
    <row r="1873" ht="15.75" customHeight="1" x14ac:dyDescent="0.35"/>
    <row r="1874" ht="15.75" customHeight="1" x14ac:dyDescent="0.35"/>
    <row r="1875" ht="15.75" customHeight="1" x14ac:dyDescent="0.35"/>
    <row r="1876" ht="15.75" customHeight="1" x14ac:dyDescent="0.35"/>
    <row r="1877" ht="15.75" customHeight="1" x14ac:dyDescent="0.35"/>
    <row r="1878" ht="15.75" customHeight="1" x14ac:dyDescent="0.35"/>
    <row r="1879" ht="15.75" customHeight="1" x14ac:dyDescent="0.35"/>
    <row r="1880" ht="15.75" customHeight="1" x14ac:dyDescent="0.35"/>
    <row r="1881" ht="15.75" customHeight="1" x14ac:dyDescent="0.35"/>
    <row r="1882" ht="15.75" customHeight="1" x14ac:dyDescent="0.35"/>
    <row r="1883" ht="15.75" customHeight="1" x14ac:dyDescent="0.35"/>
    <row r="1884" ht="15.75" customHeight="1" x14ac:dyDescent="0.35"/>
    <row r="1885" ht="15.75" customHeight="1" x14ac:dyDescent="0.35"/>
    <row r="1886" ht="15.75" customHeight="1" x14ac:dyDescent="0.35"/>
    <row r="1887" ht="15.75" customHeight="1" x14ac:dyDescent="0.35"/>
    <row r="1888" ht="15.75" customHeight="1" x14ac:dyDescent="0.35"/>
    <row r="1889" ht="15.75" customHeight="1" x14ac:dyDescent="0.35"/>
    <row r="1890" ht="15.75" customHeight="1" x14ac:dyDescent="0.35"/>
    <row r="1891" ht="15.75" customHeight="1" x14ac:dyDescent="0.35"/>
    <row r="1892" ht="15.75" customHeight="1" x14ac:dyDescent="0.35"/>
    <row r="1893" ht="15.75" customHeight="1" x14ac:dyDescent="0.35"/>
    <row r="1894" ht="15.75" customHeight="1" x14ac:dyDescent="0.35"/>
    <row r="1895" ht="15.75" customHeight="1" x14ac:dyDescent="0.35"/>
    <row r="1896" ht="15.75" customHeight="1" x14ac:dyDescent="0.35"/>
    <row r="1897" ht="15.75" customHeight="1" x14ac:dyDescent="0.35"/>
    <row r="1898" ht="15.75" customHeight="1" x14ac:dyDescent="0.35"/>
    <row r="1899" ht="15.75" customHeight="1" x14ac:dyDescent="0.35"/>
    <row r="1900" ht="15.75" customHeight="1" x14ac:dyDescent="0.35"/>
    <row r="1901" ht="15.75" customHeight="1" x14ac:dyDescent="0.35"/>
    <row r="1902" ht="15.75" customHeight="1" x14ac:dyDescent="0.35"/>
    <row r="1903" ht="15.75" customHeight="1" x14ac:dyDescent="0.35"/>
    <row r="1904" ht="15.75" customHeight="1" x14ac:dyDescent="0.35"/>
    <row r="1905" ht="15.75" customHeight="1" x14ac:dyDescent="0.35"/>
    <row r="1906" ht="15.75" customHeight="1" x14ac:dyDescent="0.35"/>
    <row r="1907" ht="15.75" customHeight="1" x14ac:dyDescent="0.35"/>
    <row r="1908" ht="15.75" customHeight="1" x14ac:dyDescent="0.35"/>
    <row r="1909" ht="15.75" customHeight="1" x14ac:dyDescent="0.35"/>
    <row r="1910" ht="15.75" customHeight="1" x14ac:dyDescent="0.35"/>
    <row r="1911" ht="15.75" customHeight="1" x14ac:dyDescent="0.35"/>
    <row r="1912" ht="15.75" customHeight="1" x14ac:dyDescent="0.35"/>
    <row r="1913" ht="15.75" customHeight="1" x14ac:dyDescent="0.35"/>
    <row r="1914" ht="15.75" customHeight="1" x14ac:dyDescent="0.35"/>
    <row r="1915" ht="15.75" customHeight="1" x14ac:dyDescent="0.35"/>
    <row r="1916" ht="15.75" customHeight="1" x14ac:dyDescent="0.35"/>
    <row r="1917" ht="15.75" customHeight="1" x14ac:dyDescent="0.35"/>
    <row r="1918" ht="15.75" customHeight="1" x14ac:dyDescent="0.35"/>
    <row r="1919" ht="15.75" customHeight="1" x14ac:dyDescent="0.35"/>
    <row r="1920" ht="15.75" customHeight="1" x14ac:dyDescent="0.35"/>
    <row r="1921" ht="15.75" customHeight="1" x14ac:dyDescent="0.35"/>
    <row r="1922" ht="15.75" customHeight="1" x14ac:dyDescent="0.35"/>
    <row r="1923" ht="15.75" customHeight="1" x14ac:dyDescent="0.35"/>
    <row r="1924" ht="15.75" customHeight="1" x14ac:dyDescent="0.35"/>
    <row r="1925" ht="15.75" customHeight="1" x14ac:dyDescent="0.35"/>
    <row r="1926" ht="15.75" customHeight="1" x14ac:dyDescent="0.35"/>
    <row r="1927" ht="15.75" customHeight="1" x14ac:dyDescent="0.35"/>
    <row r="1928" ht="15.75" customHeight="1" x14ac:dyDescent="0.35"/>
    <row r="1929" ht="15.75" customHeight="1" x14ac:dyDescent="0.35"/>
    <row r="1930" ht="15.75" customHeight="1" x14ac:dyDescent="0.35"/>
    <row r="1931" ht="15.75" customHeight="1" x14ac:dyDescent="0.35"/>
    <row r="1932" ht="15.75" customHeight="1" x14ac:dyDescent="0.35"/>
    <row r="1933" ht="15.75" customHeight="1" x14ac:dyDescent="0.35"/>
    <row r="1934" ht="15.75" customHeight="1" x14ac:dyDescent="0.35"/>
    <row r="1935" ht="15.75" customHeight="1" x14ac:dyDescent="0.35"/>
    <row r="1936" ht="15.75" customHeight="1" x14ac:dyDescent="0.35"/>
    <row r="1937" ht="15.75" customHeight="1" x14ac:dyDescent="0.35"/>
    <row r="1938" ht="15.75" customHeight="1" x14ac:dyDescent="0.35"/>
    <row r="1939" ht="15.75" customHeight="1" x14ac:dyDescent="0.35"/>
    <row r="1940" ht="15.75" customHeight="1" x14ac:dyDescent="0.35"/>
    <row r="1941" ht="15.75" customHeight="1" x14ac:dyDescent="0.35"/>
    <row r="1942" ht="15.75" customHeight="1" x14ac:dyDescent="0.35"/>
    <row r="1943" ht="15.75" customHeight="1" x14ac:dyDescent="0.35"/>
    <row r="1944" ht="15.75" customHeight="1" x14ac:dyDescent="0.35"/>
    <row r="1945" ht="15.75" customHeight="1" x14ac:dyDescent="0.35"/>
    <row r="1946" ht="15.75" customHeight="1" x14ac:dyDescent="0.35"/>
    <row r="1947" ht="15.75" customHeight="1" x14ac:dyDescent="0.35"/>
    <row r="1948" ht="15.75" customHeight="1" x14ac:dyDescent="0.35"/>
    <row r="1949" ht="15.75" customHeight="1" x14ac:dyDescent="0.35"/>
    <row r="1950" ht="15.75" customHeight="1" x14ac:dyDescent="0.35"/>
    <row r="1951" ht="15.75" customHeight="1" x14ac:dyDescent="0.35"/>
    <row r="1952" ht="15.75" customHeight="1" x14ac:dyDescent="0.35"/>
    <row r="1953" ht="15.75" customHeight="1" x14ac:dyDescent="0.35"/>
    <row r="1954" ht="15.75" customHeight="1" x14ac:dyDescent="0.35"/>
    <row r="1955" ht="15.75" customHeight="1" x14ac:dyDescent="0.35"/>
    <row r="1956" ht="15.75" customHeight="1" x14ac:dyDescent="0.35"/>
    <row r="1957" ht="15.75" customHeight="1" x14ac:dyDescent="0.35"/>
    <row r="1958" ht="15.75" customHeight="1" x14ac:dyDescent="0.35"/>
    <row r="1959" ht="15.75" customHeight="1" x14ac:dyDescent="0.35"/>
    <row r="1960" ht="15.75" customHeight="1" x14ac:dyDescent="0.35"/>
    <row r="1961" ht="15.75" customHeight="1" x14ac:dyDescent="0.35"/>
    <row r="1962" ht="15.75" customHeight="1" x14ac:dyDescent="0.35"/>
    <row r="1963" ht="15.75" customHeight="1" x14ac:dyDescent="0.35"/>
    <row r="1964" ht="15.75" customHeight="1" x14ac:dyDescent="0.35"/>
    <row r="1965" ht="15.75" customHeight="1" x14ac:dyDescent="0.35"/>
    <row r="1966" ht="15.75" customHeight="1" x14ac:dyDescent="0.35"/>
    <row r="1967" ht="15.75" customHeight="1" x14ac:dyDescent="0.35"/>
    <row r="1968" ht="15.75" customHeight="1" x14ac:dyDescent="0.35"/>
    <row r="1969" ht="15.75" customHeight="1" x14ac:dyDescent="0.35"/>
    <row r="1970" ht="15.75" customHeight="1" x14ac:dyDescent="0.35"/>
    <row r="1971" ht="15.75" customHeight="1" x14ac:dyDescent="0.35"/>
    <row r="1972" ht="15.75" customHeight="1" x14ac:dyDescent="0.35"/>
    <row r="1973" ht="15.75" customHeight="1" x14ac:dyDescent="0.35"/>
    <row r="1974" ht="15.75" customHeight="1" x14ac:dyDescent="0.35"/>
    <row r="1975" ht="15.75" customHeight="1" x14ac:dyDescent="0.35"/>
    <row r="1976" ht="15.75" customHeight="1" x14ac:dyDescent="0.35"/>
    <row r="1977" ht="15.75" customHeight="1" x14ac:dyDescent="0.35"/>
    <row r="1978" ht="15.75" customHeight="1" x14ac:dyDescent="0.35"/>
    <row r="1979" ht="15.75" customHeight="1" x14ac:dyDescent="0.35"/>
    <row r="1980" ht="15.75" customHeight="1" x14ac:dyDescent="0.35"/>
    <row r="1981" ht="15.75" customHeight="1" x14ac:dyDescent="0.35"/>
    <row r="1982" ht="15.75" customHeight="1" x14ac:dyDescent="0.35"/>
    <row r="1983" ht="15.75" customHeight="1" x14ac:dyDescent="0.35"/>
    <row r="1984" ht="15.75" customHeight="1" x14ac:dyDescent="0.35"/>
    <row r="1985" ht="15.75" customHeight="1" x14ac:dyDescent="0.35"/>
    <row r="1986" ht="15.75" customHeight="1" x14ac:dyDescent="0.35"/>
    <row r="1987" ht="15.75" customHeight="1" x14ac:dyDescent="0.35"/>
    <row r="1988" ht="15.75" customHeight="1" x14ac:dyDescent="0.35"/>
    <row r="1989" ht="15.75" customHeight="1" x14ac:dyDescent="0.35"/>
    <row r="1990" ht="15.75" customHeight="1" x14ac:dyDescent="0.35"/>
    <row r="1991" ht="15.75" customHeight="1" x14ac:dyDescent="0.35"/>
    <row r="1992" ht="15.75" customHeight="1" x14ac:dyDescent="0.35"/>
    <row r="1993" ht="15.75" customHeight="1" x14ac:dyDescent="0.35"/>
    <row r="1994" ht="15.75" customHeight="1" x14ac:dyDescent="0.35"/>
    <row r="1995" ht="15.75" customHeight="1" x14ac:dyDescent="0.35"/>
    <row r="1996" ht="15.75" customHeight="1" x14ac:dyDescent="0.35"/>
    <row r="1997" ht="15.75" customHeight="1" x14ac:dyDescent="0.35"/>
    <row r="1998" ht="15.75" customHeight="1" x14ac:dyDescent="0.35"/>
    <row r="1999" ht="15.75" customHeight="1" x14ac:dyDescent="0.35"/>
    <row r="2000" ht="15.75" customHeight="1" x14ac:dyDescent="0.35"/>
    <row r="2001" ht="15.75" customHeight="1" x14ac:dyDescent="0.35"/>
  </sheetData>
  <phoneticPr fontId="4" type="noConversion"/>
  <pageMargins left="0.7" right="0.7" top="0.75" bottom="0.75" header="0" footer="0"/>
  <pageSetup orientation="landscape" r:id="rId1"/>
  <ignoredErrors>
    <ignoredError sqref="K2 M2" numberStoredAsText="1"/>
  </ignoredErrors>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8CE0A-91EE-4FC6-B462-B9C50DAEAFC8}">
  <dimension ref="A1:P2001"/>
  <sheetViews>
    <sheetView topLeftCell="F1" zoomScaleNormal="100" workbookViewId="0">
      <selection activeCell="M2" sqref="M2:M1001"/>
    </sheetView>
  </sheetViews>
  <sheetFormatPr defaultColWidth="14.453125" defaultRowHeight="15" customHeight="1" x14ac:dyDescent="0.35"/>
  <cols>
    <col min="1" max="1" width="12.81640625" bestFit="1" customWidth="1"/>
    <col min="2" max="2" width="13.7265625" customWidth="1"/>
    <col min="3" max="3" width="14.7265625" bestFit="1" customWidth="1"/>
    <col min="4" max="4" width="14.453125" bestFit="1" customWidth="1"/>
    <col min="5" max="5" width="15.7265625" bestFit="1" customWidth="1"/>
    <col min="6" max="6" width="18.08984375" customWidth="1"/>
    <col min="7" max="7" width="18.81640625" bestFit="1" customWidth="1"/>
    <col min="8" max="8" width="17.26953125" bestFit="1" customWidth="1"/>
    <col min="9" max="9" width="20.90625" bestFit="1" customWidth="1"/>
    <col min="10" max="10" width="15.7265625" bestFit="1" customWidth="1"/>
    <col min="11" max="11" width="22.26953125" bestFit="1" customWidth="1"/>
    <col min="12" max="12" width="18.36328125" bestFit="1" customWidth="1"/>
    <col min="13" max="13" width="16.7265625" bestFit="1" customWidth="1"/>
    <col min="14" max="14" width="10.453125" bestFit="1" customWidth="1"/>
    <col min="15" max="15" width="7.81640625" bestFit="1" customWidth="1"/>
    <col min="16" max="21" width="8.7265625" customWidth="1"/>
  </cols>
  <sheetData>
    <row r="1" spans="1:16" ht="14.5" x14ac:dyDescent="0.35">
      <c r="A1" s="2" t="s">
        <v>0</v>
      </c>
      <c r="B1" s="2" t="s">
        <v>1079</v>
      </c>
      <c r="C1" s="2" t="s">
        <v>1080</v>
      </c>
      <c r="D1" s="6" t="s">
        <v>1369</v>
      </c>
      <c r="E1" s="2" t="s">
        <v>1081</v>
      </c>
      <c r="F1" s="2" t="s">
        <v>1082</v>
      </c>
      <c r="G1" s="2" t="s">
        <v>1087</v>
      </c>
      <c r="H1" s="2" t="s">
        <v>1088</v>
      </c>
      <c r="I1" s="2" t="s">
        <v>1090</v>
      </c>
      <c r="J1" s="2" t="s">
        <v>1092</v>
      </c>
      <c r="K1" s="2" t="s">
        <v>1094</v>
      </c>
      <c r="L1" s="2" t="s">
        <v>1095</v>
      </c>
      <c r="M1" s="6" t="s">
        <v>1368</v>
      </c>
    </row>
    <row r="2" spans="1:16" ht="14.5" x14ac:dyDescent="0.35">
      <c r="A2" s="1" t="s">
        <v>13</v>
      </c>
      <c r="B2" s="1" t="s">
        <v>14</v>
      </c>
      <c r="C2" t="s">
        <v>1084</v>
      </c>
      <c r="D2" s="4">
        <v>44998</v>
      </c>
      <c r="E2" s="1" t="s">
        <v>16</v>
      </c>
      <c r="F2" t="s">
        <v>1085</v>
      </c>
      <c r="G2" t="s">
        <v>1086</v>
      </c>
      <c r="H2" s="1">
        <v>2481</v>
      </c>
      <c r="I2" s="1">
        <v>207.32</v>
      </c>
      <c r="J2" s="1" t="s">
        <v>17</v>
      </c>
      <c r="K2" s="1" t="s">
        <v>18</v>
      </c>
      <c r="L2">
        <v>9</v>
      </c>
      <c r="M2" t="s">
        <v>19</v>
      </c>
    </row>
    <row r="3" spans="1:16" ht="14.5" x14ac:dyDescent="0.35">
      <c r="A3" s="1" t="s">
        <v>20</v>
      </c>
      <c r="B3" t="s">
        <v>1083</v>
      </c>
      <c r="C3" t="s">
        <v>1084</v>
      </c>
      <c r="D3" s="4">
        <v>45156</v>
      </c>
      <c r="E3" s="1" t="s">
        <v>85</v>
      </c>
      <c r="F3" s="1" t="s">
        <v>23</v>
      </c>
      <c r="G3" s="1" t="s">
        <v>24</v>
      </c>
      <c r="H3">
        <v>2481</v>
      </c>
      <c r="I3">
        <v>2575.83</v>
      </c>
      <c r="J3" s="1" t="s">
        <v>25</v>
      </c>
      <c r="K3" s="1" t="s">
        <v>26</v>
      </c>
      <c r="L3" s="1">
        <v>24</v>
      </c>
      <c r="M3" s="1" t="s">
        <v>19</v>
      </c>
      <c r="P3" cm="1">
        <f t="array" ref="P3">COUNT(_xlfn.UNICODE(Table1345[Patient ID]))</f>
        <v>1000</v>
      </c>
    </row>
    <row r="4" spans="1:16" ht="14.5" x14ac:dyDescent="0.35">
      <c r="A4" s="1" t="s">
        <v>28</v>
      </c>
      <c r="B4" t="s">
        <v>1083</v>
      </c>
      <c r="C4" t="s">
        <v>1084</v>
      </c>
      <c r="D4" s="4">
        <v>45201</v>
      </c>
      <c r="E4" s="1" t="s">
        <v>30</v>
      </c>
      <c r="F4" s="1" t="s">
        <v>31</v>
      </c>
      <c r="G4" t="s">
        <v>1086</v>
      </c>
      <c r="H4">
        <v>2481</v>
      </c>
      <c r="I4" s="1">
        <v>3537.63</v>
      </c>
      <c r="J4" s="1" t="s">
        <v>17</v>
      </c>
      <c r="K4" s="1" t="s">
        <v>32</v>
      </c>
      <c r="L4" s="1">
        <v>5</v>
      </c>
      <c r="M4" s="1" t="s">
        <v>19</v>
      </c>
    </row>
    <row r="5" spans="1:16" ht="14.5" x14ac:dyDescent="0.35">
      <c r="A5" s="1" t="s">
        <v>33</v>
      </c>
      <c r="B5" t="s">
        <v>1083</v>
      </c>
      <c r="C5" t="s">
        <v>1084</v>
      </c>
      <c r="D5" s="4">
        <v>45010</v>
      </c>
      <c r="E5" s="1" t="s">
        <v>16</v>
      </c>
      <c r="F5" s="1" t="s">
        <v>31</v>
      </c>
      <c r="G5" t="s">
        <v>1086</v>
      </c>
      <c r="H5" s="1">
        <v>4686.4399999999996</v>
      </c>
      <c r="I5" s="1">
        <v>3065.2</v>
      </c>
      <c r="J5" s="1" t="s">
        <v>17</v>
      </c>
      <c r="K5" s="1" t="s">
        <v>18</v>
      </c>
      <c r="L5">
        <v>9</v>
      </c>
      <c r="M5" t="s">
        <v>65</v>
      </c>
    </row>
    <row r="6" spans="1:16" ht="14.5" x14ac:dyDescent="0.35">
      <c r="A6" s="1" t="s">
        <v>38</v>
      </c>
      <c r="B6" t="s">
        <v>1083</v>
      </c>
      <c r="C6" s="1" t="s">
        <v>39</v>
      </c>
      <c r="D6" s="4">
        <v>45277</v>
      </c>
      <c r="E6" s="1" t="s">
        <v>85</v>
      </c>
      <c r="F6" s="1" t="s">
        <v>23</v>
      </c>
      <c r="G6" s="1" t="s">
        <v>41</v>
      </c>
      <c r="H6">
        <v>2481</v>
      </c>
      <c r="I6">
        <v>2575.83</v>
      </c>
      <c r="J6" s="1" t="s">
        <v>42</v>
      </c>
      <c r="K6" s="1" t="s">
        <v>18</v>
      </c>
      <c r="L6">
        <v>9</v>
      </c>
      <c r="M6" t="s">
        <v>65</v>
      </c>
    </row>
    <row r="7" spans="1:16" ht="14.5" x14ac:dyDescent="0.35">
      <c r="A7" s="1" t="s">
        <v>43</v>
      </c>
      <c r="B7" s="1" t="s">
        <v>44</v>
      </c>
      <c r="C7" s="1" t="s">
        <v>45</v>
      </c>
      <c r="D7" s="4">
        <v>45214</v>
      </c>
      <c r="E7" s="1" t="s">
        <v>16</v>
      </c>
      <c r="F7" s="1" t="s">
        <v>47</v>
      </c>
      <c r="G7" s="1" t="s">
        <v>48</v>
      </c>
      <c r="H7">
        <v>2481</v>
      </c>
      <c r="I7" s="1">
        <v>1135.6400000000001</v>
      </c>
      <c r="J7" s="1" t="s">
        <v>17</v>
      </c>
      <c r="K7" s="1" t="s">
        <v>1093</v>
      </c>
      <c r="L7" s="1">
        <v>5</v>
      </c>
      <c r="M7" s="1" t="s">
        <v>19</v>
      </c>
    </row>
    <row r="8" spans="1:16" ht="14.5" x14ac:dyDescent="0.35">
      <c r="A8" s="1" t="s">
        <v>50</v>
      </c>
      <c r="B8" s="1" t="s">
        <v>51</v>
      </c>
      <c r="C8" t="s">
        <v>1084</v>
      </c>
      <c r="D8" s="4">
        <v>44959</v>
      </c>
      <c r="E8" s="1" t="s">
        <v>30</v>
      </c>
      <c r="F8" s="1" t="s">
        <v>53</v>
      </c>
      <c r="G8" s="1" t="s">
        <v>54</v>
      </c>
      <c r="H8" s="1">
        <v>1294.5</v>
      </c>
      <c r="I8" s="1">
        <v>3417.4</v>
      </c>
      <c r="J8" s="1" t="s">
        <v>17</v>
      </c>
      <c r="K8" s="1" t="s">
        <v>32</v>
      </c>
      <c r="L8">
        <v>9</v>
      </c>
      <c r="M8" t="s">
        <v>19</v>
      </c>
    </row>
    <row r="9" spans="1:16" ht="14.5" x14ac:dyDescent="0.35">
      <c r="A9" s="1" t="s">
        <v>55</v>
      </c>
      <c r="B9" t="s">
        <v>1083</v>
      </c>
      <c r="C9" t="s">
        <v>1084</v>
      </c>
      <c r="D9" s="4">
        <v>44928</v>
      </c>
      <c r="E9" s="1" t="s">
        <v>30</v>
      </c>
      <c r="F9" s="1" t="s">
        <v>23</v>
      </c>
      <c r="G9" t="s">
        <v>1086</v>
      </c>
      <c r="H9">
        <v>2481</v>
      </c>
      <c r="I9" s="1">
        <v>806.55</v>
      </c>
      <c r="J9" s="1" t="s">
        <v>17</v>
      </c>
      <c r="K9" s="1" t="s">
        <v>57</v>
      </c>
      <c r="L9" s="1">
        <v>58</v>
      </c>
      <c r="M9" s="1" t="s">
        <v>42</v>
      </c>
      <c r="N9" s="7"/>
    </row>
    <row r="10" spans="1:16" ht="14.5" x14ac:dyDescent="0.35">
      <c r="A10" s="1" t="s">
        <v>58</v>
      </c>
      <c r="B10" s="1" t="s">
        <v>59</v>
      </c>
      <c r="C10" t="s">
        <v>1084</v>
      </c>
      <c r="D10" s="4">
        <v>45084</v>
      </c>
      <c r="E10" s="1" t="s">
        <v>30</v>
      </c>
      <c r="F10" s="1" t="s">
        <v>23</v>
      </c>
      <c r="G10" s="1" t="s">
        <v>61</v>
      </c>
      <c r="H10">
        <v>2481</v>
      </c>
      <c r="I10">
        <v>2575.83</v>
      </c>
      <c r="J10" s="1" t="s">
        <v>17</v>
      </c>
      <c r="K10" s="1" t="s">
        <v>18</v>
      </c>
      <c r="L10">
        <v>9</v>
      </c>
      <c r="M10" t="s">
        <v>42</v>
      </c>
    </row>
    <row r="11" spans="1:16" ht="14.5" x14ac:dyDescent="0.35">
      <c r="A11" s="1" t="s">
        <v>62</v>
      </c>
      <c r="B11" t="s">
        <v>1083</v>
      </c>
      <c r="C11" s="1" t="s">
        <v>63</v>
      </c>
      <c r="D11" s="4">
        <v>45131</v>
      </c>
      <c r="E11" s="1" t="s">
        <v>16</v>
      </c>
      <c r="F11" s="1" t="s">
        <v>31</v>
      </c>
      <c r="G11" s="1" t="s">
        <v>48</v>
      </c>
      <c r="H11" s="1">
        <v>4503.09</v>
      </c>
      <c r="I11" s="1">
        <v>1277.1300000000001</v>
      </c>
      <c r="J11" s="1" t="s">
        <v>42</v>
      </c>
      <c r="K11" s="1" t="s">
        <v>26</v>
      </c>
      <c r="L11">
        <v>9</v>
      </c>
      <c r="M11" t="s">
        <v>65</v>
      </c>
    </row>
    <row r="12" spans="1:16" ht="14.5" x14ac:dyDescent="0.35">
      <c r="A12" s="1" t="s">
        <v>66</v>
      </c>
      <c r="B12" s="1" t="s">
        <v>67</v>
      </c>
      <c r="C12" s="1" t="s">
        <v>68</v>
      </c>
      <c r="D12" s="4">
        <v>44961</v>
      </c>
      <c r="E12" s="1" t="s">
        <v>16</v>
      </c>
      <c r="F12" s="1" t="s">
        <v>47</v>
      </c>
      <c r="G12" s="1" t="s">
        <v>24</v>
      </c>
      <c r="H12">
        <v>2481</v>
      </c>
      <c r="I12">
        <v>2575.83</v>
      </c>
      <c r="J12" s="1" t="s">
        <v>17</v>
      </c>
      <c r="K12" s="1" t="s">
        <v>57</v>
      </c>
      <c r="L12" s="1">
        <v>30</v>
      </c>
      <c r="M12" s="1" t="s">
        <v>65</v>
      </c>
    </row>
    <row r="13" spans="1:16" ht="14.5" x14ac:dyDescent="0.35">
      <c r="A13" s="1" t="s">
        <v>70</v>
      </c>
      <c r="B13" s="1" t="s">
        <v>71</v>
      </c>
      <c r="C13" t="s">
        <v>1084</v>
      </c>
      <c r="D13" s="4">
        <v>45143</v>
      </c>
      <c r="E13" s="1" t="s">
        <v>85</v>
      </c>
      <c r="F13" t="s">
        <v>1085</v>
      </c>
      <c r="G13" s="1" t="s">
        <v>61</v>
      </c>
      <c r="H13" s="1">
        <v>3383.15</v>
      </c>
      <c r="I13">
        <v>2575.83</v>
      </c>
      <c r="J13" s="1" t="s">
        <v>42</v>
      </c>
      <c r="K13" s="1" t="s">
        <v>26</v>
      </c>
      <c r="L13" s="1">
        <v>15</v>
      </c>
      <c r="M13" s="1" t="s">
        <v>65</v>
      </c>
    </row>
    <row r="14" spans="1:16" ht="14.5" x14ac:dyDescent="0.35">
      <c r="A14" s="1" t="s">
        <v>73</v>
      </c>
      <c r="B14" s="1" t="s">
        <v>74</v>
      </c>
      <c r="C14" s="1" t="s">
        <v>75</v>
      </c>
      <c r="D14" s="4">
        <v>45069</v>
      </c>
      <c r="E14" s="1" t="s">
        <v>77</v>
      </c>
      <c r="F14" s="1" t="s">
        <v>47</v>
      </c>
      <c r="G14" s="1" t="s">
        <v>61</v>
      </c>
      <c r="H14" s="1">
        <v>300.41000000000003</v>
      </c>
      <c r="I14" s="1">
        <v>4846.53</v>
      </c>
      <c r="J14" s="1" t="s">
        <v>17</v>
      </c>
      <c r="K14" s="1" t="s">
        <v>1093</v>
      </c>
      <c r="L14">
        <v>9</v>
      </c>
      <c r="M14" t="s">
        <v>65</v>
      </c>
    </row>
    <row r="15" spans="1:16" ht="14.5" x14ac:dyDescent="0.35">
      <c r="A15" s="1" t="s">
        <v>78</v>
      </c>
      <c r="B15" s="1" t="s">
        <v>79</v>
      </c>
      <c r="C15" s="1" t="s">
        <v>80</v>
      </c>
      <c r="D15" s="4">
        <v>45062</v>
      </c>
      <c r="E15" s="1" t="s">
        <v>77</v>
      </c>
      <c r="F15" t="s">
        <v>1085</v>
      </c>
      <c r="G15" t="s">
        <v>1086</v>
      </c>
      <c r="H15" s="1">
        <v>2481</v>
      </c>
      <c r="I15">
        <v>2575.83</v>
      </c>
      <c r="J15" s="1" t="s">
        <v>17</v>
      </c>
      <c r="K15" s="1" t="s">
        <v>26</v>
      </c>
      <c r="L15">
        <v>9</v>
      </c>
      <c r="M15" t="s">
        <v>42</v>
      </c>
    </row>
    <row r="16" spans="1:16" ht="14.5" x14ac:dyDescent="0.35">
      <c r="A16" s="1" t="s">
        <v>82</v>
      </c>
      <c r="B16" t="s">
        <v>1083</v>
      </c>
      <c r="C16" s="1" t="s">
        <v>83</v>
      </c>
      <c r="D16" s="4">
        <v>45184</v>
      </c>
      <c r="E16" s="1" t="s">
        <v>85</v>
      </c>
      <c r="F16" s="1" t="s">
        <v>23</v>
      </c>
      <c r="G16" s="1" t="s">
        <v>54</v>
      </c>
      <c r="H16" s="1">
        <v>446.55</v>
      </c>
      <c r="I16">
        <v>2575.83</v>
      </c>
      <c r="J16" s="1" t="s">
        <v>17</v>
      </c>
      <c r="K16" s="1" t="s">
        <v>1093</v>
      </c>
      <c r="L16">
        <v>9</v>
      </c>
      <c r="M16" t="s">
        <v>65</v>
      </c>
    </row>
    <row r="17" spans="1:13" ht="14.5" x14ac:dyDescent="0.35">
      <c r="A17" s="1" t="s">
        <v>66</v>
      </c>
      <c r="B17" s="1" t="s">
        <v>86</v>
      </c>
      <c r="C17" s="1" t="s">
        <v>87</v>
      </c>
      <c r="D17" s="4">
        <v>45225</v>
      </c>
      <c r="E17" s="1" t="s">
        <v>30</v>
      </c>
      <c r="F17" s="1" t="s">
        <v>31</v>
      </c>
      <c r="G17" s="1" t="s">
        <v>41</v>
      </c>
      <c r="H17">
        <v>2481</v>
      </c>
      <c r="I17">
        <v>2575.83</v>
      </c>
      <c r="J17" s="1" t="s">
        <v>17</v>
      </c>
      <c r="K17" s="1" t="s">
        <v>32</v>
      </c>
      <c r="L17">
        <v>9</v>
      </c>
      <c r="M17" t="s">
        <v>19</v>
      </c>
    </row>
    <row r="18" spans="1:13" ht="14.5" x14ac:dyDescent="0.35">
      <c r="A18" s="1" t="s">
        <v>89</v>
      </c>
      <c r="B18" t="s">
        <v>1083</v>
      </c>
      <c r="C18" s="1" t="s">
        <v>90</v>
      </c>
      <c r="D18" s="4">
        <v>45036</v>
      </c>
      <c r="E18" s="1" t="s">
        <v>92</v>
      </c>
      <c r="F18" s="1" t="s">
        <v>93</v>
      </c>
      <c r="G18" s="1" t="s">
        <v>41</v>
      </c>
      <c r="H18">
        <v>2481</v>
      </c>
      <c r="I18">
        <v>2575.83</v>
      </c>
      <c r="J18" s="1" t="s">
        <v>17</v>
      </c>
      <c r="K18" s="1" t="s">
        <v>32</v>
      </c>
      <c r="L18">
        <v>9</v>
      </c>
      <c r="M18" t="s">
        <v>42</v>
      </c>
    </row>
    <row r="19" spans="1:13" ht="14.5" x14ac:dyDescent="0.35">
      <c r="A19" s="1" t="s">
        <v>89</v>
      </c>
      <c r="B19" t="s">
        <v>1083</v>
      </c>
      <c r="C19" s="1" t="s">
        <v>94</v>
      </c>
      <c r="D19" s="4">
        <v>44995</v>
      </c>
      <c r="E19" s="1" t="s">
        <v>16</v>
      </c>
      <c r="F19" s="1" t="s">
        <v>47</v>
      </c>
      <c r="G19" s="1" t="s">
        <v>24</v>
      </c>
      <c r="H19">
        <v>2481</v>
      </c>
      <c r="I19" s="1">
        <v>3602.18</v>
      </c>
      <c r="J19" s="1" t="s">
        <v>42</v>
      </c>
      <c r="K19" s="1" t="s">
        <v>57</v>
      </c>
      <c r="L19">
        <v>9</v>
      </c>
      <c r="M19" t="s">
        <v>19</v>
      </c>
    </row>
    <row r="20" spans="1:13" ht="14.5" x14ac:dyDescent="0.35">
      <c r="A20" s="1" t="s">
        <v>96</v>
      </c>
      <c r="B20" t="s">
        <v>1083</v>
      </c>
      <c r="C20" s="1" t="s">
        <v>97</v>
      </c>
      <c r="D20" s="4">
        <v>44993</v>
      </c>
      <c r="E20" s="1" t="s">
        <v>92</v>
      </c>
      <c r="F20" s="1" t="s">
        <v>93</v>
      </c>
      <c r="G20" t="s">
        <v>1086</v>
      </c>
      <c r="H20" s="1">
        <v>2481</v>
      </c>
      <c r="I20" s="1">
        <v>2826.49</v>
      </c>
      <c r="J20" s="1" t="s">
        <v>25</v>
      </c>
      <c r="K20" s="1" t="s">
        <v>18</v>
      </c>
      <c r="L20" s="1">
        <v>34</v>
      </c>
      <c r="M20" s="1" t="s">
        <v>19</v>
      </c>
    </row>
    <row r="21" spans="1:13" ht="15.75" customHeight="1" x14ac:dyDescent="0.35">
      <c r="A21" s="1" t="s">
        <v>66</v>
      </c>
      <c r="B21" s="1" t="s">
        <v>99</v>
      </c>
      <c r="C21" s="1" t="s">
        <v>100</v>
      </c>
      <c r="D21" s="4">
        <v>44948</v>
      </c>
      <c r="E21" s="1" t="s">
        <v>92</v>
      </c>
      <c r="F21" s="1" t="s">
        <v>93</v>
      </c>
      <c r="G21" t="s">
        <v>1086</v>
      </c>
      <c r="H21">
        <v>2481</v>
      </c>
      <c r="I21">
        <v>2575.83</v>
      </c>
      <c r="J21" s="1" t="s">
        <v>17</v>
      </c>
      <c r="K21" s="1" t="s">
        <v>18</v>
      </c>
      <c r="L21" s="1">
        <v>59</v>
      </c>
      <c r="M21" s="1" t="s">
        <v>65</v>
      </c>
    </row>
    <row r="22" spans="1:13" ht="15.75" customHeight="1" x14ac:dyDescent="0.35">
      <c r="A22" s="1" t="s">
        <v>102</v>
      </c>
      <c r="B22" s="1" t="s">
        <v>103</v>
      </c>
      <c r="C22" t="s">
        <v>1084</v>
      </c>
      <c r="D22" s="4">
        <v>45269</v>
      </c>
      <c r="E22" s="1" t="s">
        <v>85</v>
      </c>
      <c r="F22" t="s">
        <v>1085</v>
      </c>
      <c r="G22" s="1" t="s">
        <v>61</v>
      </c>
      <c r="H22" s="1">
        <v>2481</v>
      </c>
      <c r="I22">
        <v>2575.83</v>
      </c>
      <c r="J22" s="1" t="s">
        <v>42</v>
      </c>
      <c r="K22" s="1" t="s">
        <v>32</v>
      </c>
      <c r="L22" s="1">
        <v>52</v>
      </c>
      <c r="M22" s="1" t="s">
        <v>65</v>
      </c>
    </row>
    <row r="23" spans="1:13" ht="15.75" customHeight="1" x14ac:dyDescent="0.35">
      <c r="A23" s="1" t="s">
        <v>105</v>
      </c>
      <c r="B23" s="1" t="s">
        <v>106</v>
      </c>
      <c r="C23" t="s">
        <v>1084</v>
      </c>
      <c r="D23" s="4">
        <v>44962</v>
      </c>
      <c r="E23" s="1" t="s">
        <v>16</v>
      </c>
      <c r="F23" s="1" t="s">
        <v>47</v>
      </c>
      <c r="G23" s="1" t="s">
        <v>48</v>
      </c>
      <c r="H23">
        <v>2481</v>
      </c>
      <c r="I23" s="1">
        <v>4699.22</v>
      </c>
      <c r="J23" s="1" t="s">
        <v>42</v>
      </c>
      <c r="K23" s="1" t="s">
        <v>18</v>
      </c>
      <c r="L23">
        <v>9</v>
      </c>
      <c r="M23" t="s">
        <v>19</v>
      </c>
    </row>
    <row r="24" spans="1:13" ht="15.75" customHeight="1" x14ac:dyDescent="0.35">
      <c r="A24" s="1" t="s">
        <v>108</v>
      </c>
      <c r="B24" t="s">
        <v>1083</v>
      </c>
      <c r="C24" t="s">
        <v>1084</v>
      </c>
      <c r="D24" s="4">
        <v>45150</v>
      </c>
      <c r="E24" s="1" t="s">
        <v>77</v>
      </c>
      <c r="F24" s="1" t="s">
        <v>47</v>
      </c>
      <c r="G24" s="1" t="s">
        <v>24</v>
      </c>
      <c r="H24" s="1">
        <v>2481</v>
      </c>
      <c r="I24">
        <v>2575.83</v>
      </c>
      <c r="J24" s="1" t="s">
        <v>17</v>
      </c>
      <c r="K24" s="1" t="s">
        <v>32</v>
      </c>
      <c r="L24" s="1">
        <v>27</v>
      </c>
      <c r="M24" s="1" t="s">
        <v>19</v>
      </c>
    </row>
    <row r="25" spans="1:13" ht="15.75" customHeight="1" x14ac:dyDescent="0.35">
      <c r="A25" s="1" t="s">
        <v>110</v>
      </c>
      <c r="B25" t="s">
        <v>1083</v>
      </c>
      <c r="C25" t="s">
        <v>1084</v>
      </c>
      <c r="D25" s="4">
        <v>45085</v>
      </c>
      <c r="E25" s="1" t="s">
        <v>92</v>
      </c>
      <c r="F25" s="1" t="s">
        <v>53</v>
      </c>
      <c r="G25" t="s">
        <v>1086</v>
      </c>
      <c r="H25">
        <v>2481</v>
      </c>
      <c r="I25">
        <v>2575.83</v>
      </c>
      <c r="J25" s="1" t="s">
        <v>17</v>
      </c>
      <c r="K25" s="1" t="s">
        <v>57</v>
      </c>
      <c r="L25">
        <v>9</v>
      </c>
      <c r="M25" t="s">
        <v>65</v>
      </c>
    </row>
    <row r="26" spans="1:13" ht="15.75" customHeight="1" x14ac:dyDescent="0.35">
      <c r="A26" s="1" t="s">
        <v>20</v>
      </c>
      <c r="B26" t="s">
        <v>1083</v>
      </c>
      <c r="C26" s="1" t="s">
        <v>112</v>
      </c>
      <c r="D26" s="4">
        <v>45237</v>
      </c>
      <c r="E26" s="1" t="s">
        <v>92</v>
      </c>
      <c r="F26" s="1" t="s">
        <v>53</v>
      </c>
      <c r="G26" s="1" t="s">
        <v>48</v>
      </c>
      <c r="H26" s="1">
        <v>2481</v>
      </c>
      <c r="I26">
        <v>2575.83</v>
      </c>
      <c r="J26" s="1" t="s">
        <v>17</v>
      </c>
      <c r="K26" s="1" t="s">
        <v>26</v>
      </c>
      <c r="L26">
        <v>9</v>
      </c>
      <c r="M26" t="s">
        <v>42</v>
      </c>
    </row>
    <row r="27" spans="1:13" ht="15.75" customHeight="1" x14ac:dyDescent="0.35">
      <c r="A27" s="1" t="s">
        <v>114</v>
      </c>
      <c r="B27" s="1" t="s">
        <v>115</v>
      </c>
      <c r="C27" t="s">
        <v>1084</v>
      </c>
      <c r="D27" s="4">
        <v>45042</v>
      </c>
      <c r="E27" s="1" t="s">
        <v>16</v>
      </c>
      <c r="F27" s="1" t="s">
        <v>93</v>
      </c>
      <c r="G27" s="1" t="s">
        <v>48</v>
      </c>
      <c r="H27" s="1">
        <v>2481</v>
      </c>
      <c r="I27">
        <v>2575.83</v>
      </c>
      <c r="J27" s="1" t="s">
        <v>17</v>
      </c>
      <c r="K27" s="1" t="s">
        <v>18</v>
      </c>
      <c r="L27">
        <v>9</v>
      </c>
      <c r="M27" t="s">
        <v>65</v>
      </c>
    </row>
    <row r="28" spans="1:13" ht="15.75" customHeight="1" x14ac:dyDescent="0.35">
      <c r="A28" s="1" t="s">
        <v>117</v>
      </c>
      <c r="B28" s="1" t="s">
        <v>118</v>
      </c>
      <c r="C28" s="1" t="s">
        <v>119</v>
      </c>
      <c r="D28" s="4">
        <v>44981</v>
      </c>
      <c r="E28" s="1" t="s">
        <v>85</v>
      </c>
      <c r="F28" t="s">
        <v>1085</v>
      </c>
      <c r="G28" s="1" t="s">
        <v>54</v>
      </c>
      <c r="H28">
        <v>2481</v>
      </c>
      <c r="I28" s="1">
        <v>4591.4799999999996</v>
      </c>
      <c r="J28" s="1" t="s">
        <v>25</v>
      </c>
      <c r="K28" s="1" t="s">
        <v>18</v>
      </c>
      <c r="L28">
        <v>9</v>
      </c>
      <c r="M28" t="s">
        <v>42</v>
      </c>
    </row>
    <row r="29" spans="1:13" ht="15.75" customHeight="1" x14ac:dyDescent="0.35">
      <c r="A29" s="1" t="s">
        <v>20</v>
      </c>
      <c r="B29" t="s">
        <v>1083</v>
      </c>
      <c r="C29" t="s">
        <v>1084</v>
      </c>
      <c r="D29" s="4">
        <v>45145</v>
      </c>
      <c r="E29" s="1" t="s">
        <v>77</v>
      </c>
      <c r="F29" s="1" t="s">
        <v>93</v>
      </c>
      <c r="G29" t="s">
        <v>1086</v>
      </c>
      <c r="H29">
        <v>2481</v>
      </c>
      <c r="I29">
        <v>2575.83</v>
      </c>
      <c r="J29" s="1" t="s">
        <v>42</v>
      </c>
      <c r="K29" s="1" t="s">
        <v>57</v>
      </c>
      <c r="L29">
        <v>9</v>
      </c>
      <c r="M29" t="s">
        <v>65</v>
      </c>
    </row>
    <row r="30" spans="1:13" ht="15.75" customHeight="1" x14ac:dyDescent="0.35">
      <c r="A30" s="1" t="s">
        <v>38</v>
      </c>
      <c r="B30" s="1" t="s">
        <v>123</v>
      </c>
      <c r="C30" t="s">
        <v>1084</v>
      </c>
      <c r="D30" s="4">
        <v>45066</v>
      </c>
      <c r="E30" s="1" t="s">
        <v>30</v>
      </c>
      <c r="F30" s="1" t="s">
        <v>23</v>
      </c>
      <c r="G30" s="1" t="s">
        <v>24</v>
      </c>
      <c r="H30">
        <v>2481</v>
      </c>
      <c r="I30" s="1">
        <v>3546.77</v>
      </c>
      <c r="J30" s="1" t="s">
        <v>25</v>
      </c>
      <c r="K30" s="1" t="s">
        <v>1093</v>
      </c>
      <c r="L30">
        <v>9</v>
      </c>
      <c r="M30" t="s">
        <v>65</v>
      </c>
    </row>
    <row r="31" spans="1:13" ht="15.75" customHeight="1" x14ac:dyDescent="0.35">
      <c r="A31" s="1" t="s">
        <v>70</v>
      </c>
      <c r="B31" s="1" t="s">
        <v>125</v>
      </c>
      <c r="C31" t="s">
        <v>1084</v>
      </c>
      <c r="D31" s="4">
        <v>44937</v>
      </c>
      <c r="E31" s="1" t="s">
        <v>77</v>
      </c>
      <c r="F31" s="1" t="s">
        <v>53</v>
      </c>
      <c r="G31" s="1" t="s">
        <v>61</v>
      </c>
      <c r="H31" s="1">
        <v>2481</v>
      </c>
      <c r="I31">
        <v>2575.83</v>
      </c>
      <c r="J31" s="1" t="s">
        <v>17</v>
      </c>
      <c r="K31" s="1" t="s">
        <v>57</v>
      </c>
      <c r="L31">
        <v>9</v>
      </c>
      <c r="M31" t="s">
        <v>65</v>
      </c>
    </row>
    <row r="32" spans="1:13" ht="15.75" customHeight="1" x14ac:dyDescent="0.35">
      <c r="A32" s="1" t="s">
        <v>117</v>
      </c>
      <c r="B32" t="s">
        <v>1083</v>
      </c>
      <c r="C32" t="s">
        <v>1084</v>
      </c>
      <c r="D32" s="4">
        <v>45099</v>
      </c>
      <c r="E32" s="1" t="s">
        <v>16</v>
      </c>
      <c r="F32" s="1" t="s">
        <v>53</v>
      </c>
      <c r="G32" t="s">
        <v>1086</v>
      </c>
      <c r="H32">
        <v>2481</v>
      </c>
      <c r="I32">
        <v>2575.83</v>
      </c>
      <c r="J32" s="1" t="s">
        <v>25</v>
      </c>
      <c r="K32" s="1" t="s">
        <v>1093</v>
      </c>
      <c r="L32">
        <v>9</v>
      </c>
      <c r="M32" t="s">
        <v>19</v>
      </c>
    </row>
    <row r="33" spans="1:13" ht="15.75" customHeight="1" x14ac:dyDescent="0.35">
      <c r="A33" s="1" t="s">
        <v>96</v>
      </c>
      <c r="B33" t="s">
        <v>1083</v>
      </c>
      <c r="C33" t="s">
        <v>1084</v>
      </c>
      <c r="D33" s="4">
        <v>44952</v>
      </c>
      <c r="E33" s="1" t="s">
        <v>92</v>
      </c>
      <c r="F33" s="1" t="s">
        <v>93</v>
      </c>
      <c r="G33" s="1" t="s">
        <v>48</v>
      </c>
      <c r="H33">
        <v>2481</v>
      </c>
      <c r="I33">
        <v>2575.83</v>
      </c>
      <c r="J33" s="1" t="s">
        <v>42</v>
      </c>
      <c r="K33" s="1" t="s">
        <v>26</v>
      </c>
      <c r="L33" s="1">
        <v>30</v>
      </c>
      <c r="M33" s="1" t="s">
        <v>42</v>
      </c>
    </row>
    <row r="34" spans="1:13" ht="15.75" customHeight="1" x14ac:dyDescent="0.35">
      <c r="A34" s="1" t="s">
        <v>82</v>
      </c>
      <c r="B34" s="1" t="s">
        <v>129</v>
      </c>
      <c r="C34" s="1" t="s">
        <v>130</v>
      </c>
      <c r="D34" s="4">
        <v>45260</v>
      </c>
      <c r="E34" s="1" t="s">
        <v>85</v>
      </c>
      <c r="F34" s="1" t="s">
        <v>23</v>
      </c>
      <c r="G34" s="1" t="s">
        <v>54</v>
      </c>
      <c r="H34" s="1">
        <v>2481</v>
      </c>
      <c r="I34">
        <v>2575.83</v>
      </c>
      <c r="J34" s="1" t="s">
        <v>17</v>
      </c>
      <c r="K34" s="1" t="s">
        <v>1093</v>
      </c>
      <c r="L34">
        <v>9</v>
      </c>
      <c r="M34" t="s">
        <v>19</v>
      </c>
    </row>
    <row r="35" spans="1:13" ht="15.75" customHeight="1" x14ac:dyDescent="0.35">
      <c r="A35" s="1" t="s">
        <v>132</v>
      </c>
      <c r="B35" t="s">
        <v>1083</v>
      </c>
      <c r="C35" s="1" t="s">
        <v>133</v>
      </c>
      <c r="D35" s="4">
        <v>44982</v>
      </c>
      <c r="E35" s="1" t="s">
        <v>16</v>
      </c>
      <c r="F35" s="1" t="s">
        <v>31</v>
      </c>
      <c r="G35" s="1" t="s">
        <v>54</v>
      </c>
      <c r="H35" s="1">
        <v>2481</v>
      </c>
      <c r="I35" s="1">
        <v>4710.28</v>
      </c>
      <c r="J35" s="1" t="s">
        <v>25</v>
      </c>
      <c r="K35" s="1" t="s">
        <v>57</v>
      </c>
      <c r="L35">
        <v>9</v>
      </c>
      <c r="M35" t="s">
        <v>65</v>
      </c>
    </row>
    <row r="36" spans="1:13" ht="15.75" customHeight="1" x14ac:dyDescent="0.35">
      <c r="A36" s="1" t="s">
        <v>108</v>
      </c>
      <c r="B36" t="s">
        <v>1083</v>
      </c>
      <c r="C36" s="1" t="s">
        <v>135</v>
      </c>
      <c r="D36" s="4">
        <v>45104</v>
      </c>
      <c r="E36" s="1" t="s">
        <v>77</v>
      </c>
      <c r="F36" t="s">
        <v>1085</v>
      </c>
      <c r="G36" s="1" t="s">
        <v>41</v>
      </c>
      <c r="H36">
        <v>2481</v>
      </c>
      <c r="I36">
        <v>2575.83</v>
      </c>
      <c r="J36" s="1" t="s">
        <v>25</v>
      </c>
      <c r="K36" s="1" t="s">
        <v>26</v>
      </c>
      <c r="L36">
        <v>9</v>
      </c>
      <c r="M36" t="s">
        <v>65</v>
      </c>
    </row>
    <row r="37" spans="1:13" ht="15.75" customHeight="1" x14ac:dyDescent="0.35">
      <c r="A37" s="1" t="s">
        <v>137</v>
      </c>
      <c r="B37" t="s">
        <v>1083</v>
      </c>
      <c r="C37" t="s">
        <v>1084</v>
      </c>
      <c r="D37" s="4">
        <v>45202</v>
      </c>
      <c r="E37" s="1" t="s">
        <v>77</v>
      </c>
      <c r="F37" t="s">
        <v>1085</v>
      </c>
      <c r="G37" s="1" t="s">
        <v>54</v>
      </c>
      <c r="H37" s="1">
        <v>1378.56</v>
      </c>
      <c r="I37">
        <v>2575.83</v>
      </c>
      <c r="J37" s="1" t="s">
        <v>17</v>
      </c>
      <c r="K37" s="1" t="s">
        <v>1093</v>
      </c>
      <c r="L37">
        <v>9</v>
      </c>
      <c r="M37" t="s">
        <v>65</v>
      </c>
    </row>
    <row r="38" spans="1:13" ht="15.75" customHeight="1" x14ac:dyDescent="0.35">
      <c r="A38" s="1" t="s">
        <v>114</v>
      </c>
      <c r="B38" t="s">
        <v>1083</v>
      </c>
      <c r="C38" s="1" t="s">
        <v>139</v>
      </c>
      <c r="D38" s="4">
        <v>45035</v>
      </c>
      <c r="E38" s="1" t="s">
        <v>92</v>
      </c>
      <c r="F38" s="1" t="s">
        <v>31</v>
      </c>
      <c r="G38" s="1" t="s">
        <v>54</v>
      </c>
      <c r="H38" s="1">
        <v>3520.86</v>
      </c>
      <c r="I38" s="1">
        <v>2607.3000000000002</v>
      </c>
      <c r="J38" s="1" t="s">
        <v>25</v>
      </c>
      <c r="K38" s="1" t="s">
        <v>18</v>
      </c>
      <c r="L38">
        <v>9</v>
      </c>
      <c r="M38" t="s">
        <v>65</v>
      </c>
    </row>
    <row r="39" spans="1:13" ht="15.75" customHeight="1" x14ac:dyDescent="0.35">
      <c r="A39" s="1" t="s">
        <v>20</v>
      </c>
      <c r="B39" s="1" t="s">
        <v>141</v>
      </c>
      <c r="C39" t="s">
        <v>1084</v>
      </c>
      <c r="D39" s="4">
        <v>45291</v>
      </c>
      <c r="E39" s="1" t="s">
        <v>85</v>
      </c>
      <c r="F39" s="1" t="s">
        <v>23</v>
      </c>
      <c r="G39" s="1" t="s">
        <v>61</v>
      </c>
      <c r="H39">
        <v>2481</v>
      </c>
      <c r="I39">
        <v>2575.83</v>
      </c>
      <c r="J39" s="1" t="s">
        <v>42</v>
      </c>
      <c r="K39" s="1" t="s">
        <v>1093</v>
      </c>
      <c r="L39">
        <v>9</v>
      </c>
      <c r="M39" t="s">
        <v>19</v>
      </c>
    </row>
    <row r="40" spans="1:13" ht="15.75" customHeight="1" x14ac:dyDescent="0.35">
      <c r="A40" s="1" t="s">
        <v>62</v>
      </c>
      <c r="B40" t="s">
        <v>1083</v>
      </c>
      <c r="C40" t="s">
        <v>1084</v>
      </c>
      <c r="D40" s="4">
        <v>45159</v>
      </c>
      <c r="E40" s="1" t="s">
        <v>92</v>
      </c>
      <c r="F40" s="1" t="s">
        <v>93</v>
      </c>
      <c r="G40" s="1" t="s">
        <v>61</v>
      </c>
      <c r="H40" s="1">
        <v>3620.36</v>
      </c>
      <c r="I40">
        <v>2575.83</v>
      </c>
      <c r="J40" s="1" t="s">
        <v>17</v>
      </c>
      <c r="K40" s="1" t="s">
        <v>18</v>
      </c>
      <c r="L40">
        <v>9</v>
      </c>
      <c r="M40" t="s">
        <v>65</v>
      </c>
    </row>
    <row r="41" spans="1:13" ht="15.75" customHeight="1" x14ac:dyDescent="0.35">
      <c r="A41" s="1" t="s">
        <v>38</v>
      </c>
      <c r="B41" t="s">
        <v>1083</v>
      </c>
      <c r="C41" t="s">
        <v>1084</v>
      </c>
      <c r="D41" s="4">
        <v>44978</v>
      </c>
      <c r="E41" s="1" t="s">
        <v>92</v>
      </c>
      <c r="F41" s="1" t="s">
        <v>93</v>
      </c>
      <c r="G41" s="1" t="s">
        <v>41</v>
      </c>
      <c r="H41">
        <v>2481</v>
      </c>
      <c r="I41" s="1">
        <v>1407.84</v>
      </c>
      <c r="J41" s="1" t="s">
        <v>17</v>
      </c>
      <c r="K41" s="1" t="s">
        <v>32</v>
      </c>
      <c r="L41" s="1">
        <v>44</v>
      </c>
      <c r="M41" s="1" t="s">
        <v>65</v>
      </c>
    </row>
    <row r="42" spans="1:13" ht="15.75" customHeight="1" x14ac:dyDescent="0.35">
      <c r="A42" s="1" t="s">
        <v>108</v>
      </c>
      <c r="B42" t="s">
        <v>1083</v>
      </c>
      <c r="C42" t="s">
        <v>1084</v>
      </c>
      <c r="D42" s="4">
        <v>45172</v>
      </c>
      <c r="E42" s="1" t="s">
        <v>16</v>
      </c>
      <c r="F42" s="1" t="s">
        <v>31</v>
      </c>
      <c r="G42" s="1" t="s">
        <v>48</v>
      </c>
      <c r="H42" s="1">
        <v>2481</v>
      </c>
      <c r="I42">
        <v>2575.83</v>
      </c>
      <c r="J42" s="1" t="s">
        <v>25</v>
      </c>
      <c r="K42" s="1" t="s">
        <v>18</v>
      </c>
      <c r="L42">
        <v>9</v>
      </c>
      <c r="M42" t="s">
        <v>19</v>
      </c>
    </row>
    <row r="43" spans="1:13" ht="15.75" customHeight="1" x14ac:dyDescent="0.35">
      <c r="A43" s="1" t="s">
        <v>96</v>
      </c>
      <c r="B43" s="1" t="s">
        <v>146</v>
      </c>
      <c r="C43" t="s">
        <v>1084</v>
      </c>
      <c r="D43" s="4">
        <v>45237</v>
      </c>
      <c r="E43" s="1" t="s">
        <v>85</v>
      </c>
      <c r="F43" s="1" t="s">
        <v>47</v>
      </c>
      <c r="G43" s="1" t="s">
        <v>48</v>
      </c>
      <c r="H43">
        <v>2481</v>
      </c>
      <c r="I43">
        <v>2575.83</v>
      </c>
      <c r="J43" s="1" t="s">
        <v>42</v>
      </c>
      <c r="K43" s="1" t="s">
        <v>57</v>
      </c>
      <c r="L43" s="1">
        <v>39</v>
      </c>
      <c r="M43" s="1" t="s">
        <v>42</v>
      </c>
    </row>
    <row r="44" spans="1:13" ht="15.75" customHeight="1" x14ac:dyDescent="0.35">
      <c r="A44" s="1" t="s">
        <v>148</v>
      </c>
      <c r="B44" s="1" t="s">
        <v>149</v>
      </c>
      <c r="C44" s="1" t="s">
        <v>150</v>
      </c>
      <c r="D44" s="4">
        <v>45062</v>
      </c>
      <c r="E44" s="1" t="s">
        <v>85</v>
      </c>
      <c r="F44" s="1" t="s">
        <v>93</v>
      </c>
      <c r="G44" s="1" t="s">
        <v>54</v>
      </c>
      <c r="H44" s="1">
        <v>2481</v>
      </c>
      <c r="I44">
        <v>2575.83</v>
      </c>
      <c r="J44" s="1" t="s">
        <v>25</v>
      </c>
      <c r="K44" s="1" t="s">
        <v>32</v>
      </c>
      <c r="L44" s="1">
        <v>2</v>
      </c>
      <c r="M44" s="1" t="s">
        <v>19</v>
      </c>
    </row>
    <row r="45" spans="1:13" ht="15.75" customHeight="1" x14ac:dyDescent="0.35">
      <c r="A45" s="1" t="s">
        <v>137</v>
      </c>
      <c r="B45" t="s">
        <v>1083</v>
      </c>
      <c r="C45" s="1" t="s">
        <v>152</v>
      </c>
      <c r="D45" s="4">
        <v>45062</v>
      </c>
      <c r="E45" s="1" t="s">
        <v>30</v>
      </c>
      <c r="F45" t="s">
        <v>1085</v>
      </c>
      <c r="G45" s="1" t="s">
        <v>24</v>
      </c>
      <c r="H45">
        <v>2481</v>
      </c>
      <c r="I45">
        <v>2575.83</v>
      </c>
      <c r="J45" s="1" t="s">
        <v>17</v>
      </c>
      <c r="K45" s="1" t="s">
        <v>26</v>
      </c>
      <c r="L45" s="1">
        <v>3</v>
      </c>
      <c r="M45" s="1" t="s">
        <v>19</v>
      </c>
    </row>
    <row r="46" spans="1:13" ht="15.75" customHeight="1" x14ac:dyDescent="0.35">
      <c r="A46" s="1" t="s">
        <v>154</v>
      </c>
      <c r="B46" t="s">
        <v>1083</v>
      </c>
      <c r="C46" t="s">
        <v>1084</v>
      </c>
      <c r="D46" s="4">
        <v>45166</v>
      </c>
      <c r="E46" s="1" t="s">
        <v>16</v>
      </c>
      <c r="F46" s="1" t="s">
        <v>53</v>
      </c>
      <c r="G46" s="1" t="s">
        <v>41</v>
      </c>
      <c r="H46" s="1">
        <v>2481</v>
      </c>
      <c r="I46" s="1">
        <v>448.19</v>
      </c>
      <c r="J46" s="1" t="s">
        <v>25</v>
      </c>
      <c r="K46" s="1" t="s">
        <v>32</v>
      </c>
      <c r="L46">
        <v>9</v>
      </c>
      <c r="M46" t="s">
        <v>19</v>
      </c>
    </row>
    <row r="47" spans="1:13" ht="15.75" customHeight="1" x14ac:dyDescent="0.35">
      <c r="A47" s="1" t="s">
        <v>96</v>
      </c>
      <c r="B47" t="s">
        <v>1083</v>
      </c>
      <c r="C47" s="1" t="s">
        <v>156</v>
      </c>
      <c r="D47" s="4">
        <v>45271</v>
      </c>
      <c r="E47" s="1" t="s">
        <v>85</v>
      </c>
      <c r="F47" s="1" t="s">
        <v>93</v>
      </c>
      <c r="G47" s="1" t="s">
        <v>48</v>
      </c>
      <c r="H47">
        <v>2481</v>
      </c>
      <c r="I47">
        <v>2575.83</v>
      </c>
      <c r="J47" s="1" t="s">
        <v>25</v>
      </c>
      <c r="K47" s="1" t="s">
        <v>1093</v>
      </c>
      <c r="L47">
        <v>9</v>
      </c>
      <c r="M47" t="s">
        <v>19</v>
      </c>
    </row>
    <row r="48" spans="1:13" ht="15.75" customHeight="1" x14ac:dyDescent="0.35">
      <c r="A48" s="1" t="s">
        <v>70</v>
      </c>
      <c r="B48" t="s">
        <v>1083</v>
      </c>
      <c r="C48" s="1" t="s">
        <v>158</v>
      </c>
      <c r="D48" s="4">
        <v>45137</v>
      </c>
      <c r="E48" s="1" t="s">
        <v>77</v>
      </c>
      <c r="F48" s="1" t="s">
        <v>31</v>
      </c>
      <c r="G48" t="s">
        <v>1086</v>
      </c>
      <c r="H48" s="1">
        <v>4728.71</v>
      </c>
      <c r="I48">
        <v>2575.83</v>
      </c>
      <c r="J48" s="1" t="s">
        <v>42</v>
      </c>
      <c r="K48" s="1" t="s">
        <v>32</v>
      </c>
      <c r="L48">
        <v>9</v>
      </c>
      <c r="M48" t="s">
        <v>42</v>
      </c>
    </row>
    <row r="49" spans="1:13" ht="15.75" customHeight="1" x14ac:dyDescent="0.35">
      <c r="A49" s="1" t="s">
        <v>89</v>
      </c>
      <c r="B49" t="s">
        <v>1083</v>
      </c>
      <c r="C49" t="s">
        <v>1084</v>
      </c>
      <c r="D49" s="4">
        <v>45023</v>
      </c>
      <c r="E49" s="1" t="s">
        <v>30</v>
      </c>
      <c r="F49" s="1" t="s">
        <v>53</v>
      </c>
      <c r="G49" t="s">
        <v>1086</v>
      </c>
      <c r="H49">
        <v>2481</v>
      </c>
      <c r="I49" s="1">
        <v>1371.93</v>
      </c>
      <c r="J49" s="1" t="s">
        <v>42</v>
      </c>
      <c r="K49" s="1" t="s">
        <v>1093</v>
      </c>
      <c r="L49">
        <v>9</v>
      </c>
      <c r="M49" t="s">
        <v>65</v>
      </c>
    </row>
    <row r="50" spans="1:13" ht="15.75" customHeight="1" x14ac:dyDescent="0.35">
      <c r="A50" s="1" t="s">
        <v>55</v>
      </c>
      <c r="B50" t="s">
        <v>1083</v>
      </c>
      <c r="C50" s="1" t="s">
        <v>161</v>
      </c>
      <c r="D50" s="4">
        <v>45086</v>
      </c>
      <c r="E50" s="1" t="s">
        <v>16</v>
      </c>
      <c r="F50" s="1" t="s">
        <v>47</v>
      </c>
      <c r="G50" s="1" t="s">
        <v>48</v>
      </c>
      <c r="H50" s="1">
        <v>2481</v>
      </c>
      <c r="I50">
        <v>2575.83</v>
      </c>
      <c r="J50" s="1" t="s">
        <v>17</v>
      </c>
      <c r="K50" s="1" t="s">
        <v>1093</v>
      </c>
      <c r="L50">
        <v>9</v>
      </c>
      <c r="M50" t="s">
        <v>19</v>
      </c>
    </row>
    <row r="51" spans="1:13" ht="15.75" customHeight="1" x14ac:dyDescent="0.35">
      <c r="A51" s="1" t="s">
        <v>163</v>
      </c>
      <c r="B51" t="s">
        <v>1083</v>
      </c>
      <c r="C51" t="s">
        <v>1084</v>
      </c>
      <c r="D51" s="4">
        <v>45160</v>
      </c>
      <c r="E51" s="1" t="s">
        <v>85</v>
      </c>
      <c r="F51" s="1" t="s">
        <v>53</v>
      </c>
      <c r="G51" s="1" t="s">
        <v>24</v>
      </c>
      <c r="H51">
        <v>2481</v>
      </c>
      <c r="I51">
        <v>2575.83</v>
      </c>
      <c r="J51" s="1" t="s">
        <v>25</v>
      </c>
      <c r="K51" s="1" t="s">
        <v>32</v>
      </c>
      <c r="L51">
        <v>9</v>
      </c>
      <c r="M51" t="s">
        <v>19</v>
      </c>
    </row>
    <row r="52" spans="1:13" ht="15.75" customHeight="1" x14ac:dyDescent="0.35">
      <c r="A52" s="1" t="s">
        <v>89</v>
      </c>
      <c r="B52" t="s">
        <v>1083</v>
      </c>
      <c r="C52" t="s">
        <v>1084</v>
      </c>
      <c r="D52" s="4">
        <v>45155</v>
      </c>
      <c r="E52" s="1" t="s">
        <v>92</v>
      </c>
      <c r="F52" s="1" t="s">
        <v>31</v>
      </c>
      <c r="G52" s="1" t="s">
        <v>54</v>
      </c>
      <c r="H52" s="1">
        <v>2481</v>
      </c>
      <c r="I52" s="1">
        <v>4667.62</v>
      </c>
      <c r="J52" s="1" t="s">
        <v>17</v>
      </c>
      <c r="K52" s="1" t="s">
        <v>57</v>
      </c>
      <c r="L52" s="1">
        <v>24</v>
      </c>
      <c r="M52" s="1" t="s">
        <v>65</v>
      </c>
    </row>
    <row r="53" spans="1:13" ht="15.75" customHeight="1" x14ac:dyDescent="0.35">
      <c r="A53" s="1" t="s">
        <v>166</v>
      </c>
      <c r="B53" t="s">
        <v>1083</v>
      </c>
      <c r="C53" t="s">
        <v>1084</v>
      </c>
      <c r="D53" s="4">
        <v>45124</v>
      </c>
      <c r="E53" s="1" t="s">
        <v>77</v>
      </c>
      <c r="F53" s="1" t="s">
        <v>23</v>
      </c>
      <c r="G53" s="1" t="s">
        <v>24</v>
      </c>
      <c r="H53">
        <v>2481</v>
      </c>
      <c r="I53">
        <v>2575.83</v>
      </c>
      <c r="J53" s="1" t="s">
        <v>25</v>
      </c>
      <c r="K53" s="1" t="s">
        <v>57</v>
      </c>
      <c r="L53">
        <v>9</v>
      </c>
      <c r="M53" t="s">
        <v>19</v>
      </c>
    </row>
    <row r="54" spans="1:13" ht="15.75" customHeight="1" x14ac:dyDescent="0.35">
      <c r="A54" s="1" t="s">
        <v>168</v>
      </c>
      <c r="B54" t="s">
        <v>1083</v>
      </c>
      <c r="C54" s="1" t="s">
        <v>130</v>
      </c>
      <c r="D54" s="4">
        <v>45167</v>
      </c>
      <c r="E54" s="1" t="s">
        <v>30</v>
      </c>
      <c r="F54" t="s">
        <v>1085</v>
      </c>
      <c r="G54" s="1" t="s">
        <v>48</v>
      </c>
      <c r="H54" s="1">
        <v>2481</v>
      </c>
      <c r="I54">
        <v>2575.83</v>
      </c>
      <c r="J54" s="1" t="s">
        <v>25</v>
      </c>
      <c r="K54" s="1" t="s">
        <v>57</v>
      </c>
      <c r="L54">
        <v>9</v>
      </c>
      <c r="M54" t="s">
        <v>19</v>
      </c>
    </row>
    <row r="55" spans="1:13" ht="15.75" customHeight="1" x14ac:dyDescent="0.35">
      <c r="A55" s="1" t="s">
        <v>170</v>
      </c>
      <c r="B55" t="s">
        <v>1083</v>
      </c>
      <c r="C55" s="1" t="s">
        <v>112</v>
      </c>
      <c r="D55" s="4">
        <v>44977</v>
      </c>
      <c r="E55" s="1" t="s">
        <v>16</v>
      </c>
      <c r="F55" s="1" t="s">
        <v>23</v>
      </c>
      <c r="G55" s="1" t="s">
        <v>48</v>
      </c>
      <c r="H55" s="1">
        <v>873.51</v>
      </c>
      <c r="I55" s="1">
        <v>277.66000000000003</v>
      </c>
      <c r="J55" s="1" t="s">
        <v>42</v>
      </c>
      <c r="K55" s="1" t="s">
        <v>32</v>
      </c>
      <c r="L55">
        <v>9</v>
      </c>
      <c r="M55" t="s">
        <v>65</v>
      </c>
    </row>
    <row r="56" spans="1:13" ht="15.75" customHeight="1" x14ac:dyDescent="0.35">
      <c r="A56" s="1" t="s">
        <v>170</v>
      </c>
      <c r="B56" t="s">
        <v>1083</v>
      </c>
      <c r="C56" s="1" t="s">
        <v>90</v>
      </c>
      <c r="D56" s="4">
        <v>44967</v>
      </c>
      <c r="E56" s="1" t="s">
        <v>85</v>
      </c>
      <c r="F56" s="1" t="s">
        <v>53</v>
      </c>
      <c r="G56" s="1" t="s">
        <v>54</v>
      </c>
      <c r="H56">
        <v>2481</v>
      </c>
      <c r="I56">
        <v>2575.83</v>
      </c>
      <c r="J56" s="1" t="s">
        <v>42</v>
      </c>
      <c r="K56" s="1" t="s">
        <v>1093</v>
      </c>
      <c r="L56">
        <v>9</v>
      </c>
      <c r="M56" t="s">
        <v>19</v>
      </c>
    </row>
    <row r="57" spans="1:13" ht="15.75" customHeight="1" x14ac:dyDescent="0.35">
      <c r="A57" s="1" t="s">
        <v>173</v>
      </c>
      <c r="B57" t="s">
        <v>1083</v>
      </c>
      <c r="C57" s="1" t="s">
        <v>174</v>
      </c>
      <c r="D57" s="4">
        <v>45103</v>
      </c>
      <c r="E57" s="1" t="s">
        <v>92</v>
      </c>
      <c r="F57" t="s">
        <v>1085</v>
      </c>
      <c r="G57" s="1" t="s">
        <v>48</v>
      </c>
      <c r="H57">
        <v>2481</v>
      </c>
      <c r="I57">
        <v>2575.83</v>
      </c>
      <c r="J57" s="1" t="s">
        <v>25</v>
      </c>
      <c r="K57" s="1" t="s">
        <v>26</v>
      </c>
      <c r="L57">
        <v>9</v>
      </c>
      <c r="M57" t="s">
        <v>42</v>
      </c>
    </row>
    <row r="58" spans="1:13" ht="15.75" customHeight="1" x14ac:dyDescent="0.35">
      <c r="A58" s="1" t="s">
        <v>28</v>
      </c>
      <c r="B58" t="s">
        <v>1083</v>
      </c>
      <c r="C58" t="s">
        <v>1084</v>
      </c>
      <c r="D58" s="4">
        <v>45264</v>
      </c>
      <c r="E58" s="1" t="s">
        <v>16</v>
      </c>
      <c r="F58" s="1" t="s">
        <v>47</v>
      </c>
      <c r="G58" t="s">
        <v>1086</v>
      </c>
      <c r="H58" s="1">
        <v>2481</v>
      </c>
      <c r="I58">
        <v>2575.83</v>
      </c>
      <c r="J58" s="1" t="s">
        <v>17</v>
      </c>
      <c r="K58" s="1" t="s">
        <v>57</v>
      </c>
      <c r="L58">
        <v>9</v>
      </c>
      <c r="M58" t="s">
        <v>65</v>
      </c>
    </row>
    <row r="59" spans="1:13" ht="15.75" customHeight="1" x14ac:dyDescent="0.35">
      <c r="A59" s="1" t="s">
        <v>13</v>
      </c>
      <c r="B59" t="s">
        <v>1083</v>
      </c>
      <c r="C59" s="1" t="s">
        <v>177</v>
      </c>
      <c r="D59" s="4">
        <v>45248</v>
      </c>
      <c r="E59" s="1" t="s">
        <v>16</v>
      </c>
      <c r="F59" s="1" t="s">
        <v>31</v>
      </c>
      <c r="G59" s="1" t="s">
        <v>48</v>
      </c>
      <c r="H59">
        <v>2481</v>
      </c>
      <c r="I59">
        <v>2575.83</v>
      </c>
      <c r="J59" s="1" t="s">
        <v>42</v>
      </c>
      <c r="K59" s="1" t="s">
        <v>1093</v>
      </c>
      <c r="L59" s="1">
        <v>11</v>
      </c>
      <c r="M59" s="1" t="s">
        <v>65</v>
      </c>
    </row>
    <row r="60" spans="1:13" ht="15.75" customHeight="1" x14ac:dyDescent="0.35">
      <c r="A60" s="1" t="s">
        <v>179</v>
      </c>
      <c r="B60" t="s">
        <v>1083</v>
      </c>
      <c r="C60" t="s">
        <v>1084</v>
      </c>
      <c r="D60" s="4">
        <v>45058</v>
      </c>
      <c r="E60" s="1" t="s">
        <v>16</v>
      </c>
      <c r="F60" s="1" t="s">
        <v>31</v>
      </c>
      <c r="G60" s="1" t="s">
        <v>61</v>
      </c>
      <c r="H60">
        <v>2481</v>
      </c>
      <c r="I60" s="1">
        <v>3783.05</v>
      </c>
      <c r="J60" s="1" t="s">
        <v>25</v>
      </c>
      <c r="K60" s="1" t="s">
        <v>57</v>
      </c>
      <c r="L60" s="1">
        <v>23</v>
      </c>
      <c r="M60" s="1" t="s">
        <v>65</v>
      </c>
    </row>
    <row r="61" spans="1:13" ht="15.75" customHeight="1" x14ac:dyDescent="0.35">
      <c r="A61" s="1" t="s">
        <v>89</v>
      </c>
      <c r="B61" t="s">
        <v>1083</v>
      </c>
      <c r="C61" t="s">
        <v>1084</v>
      </c>
      <c r="D61" s="4">
        <v>45271</v>
      </c>
      <c r="E61" s="1" t="s">
        <v>30</v>
      </c>
      <c r="F61" s="1" t="s">
        <v>53</v>
      </c>
      <c r="G61" t="s">
        <v>1086</v>
      </c>
      <c r="H61">
        <v>2481</v>
      </c>
      <c r="I61">
        <v>2575.83</v>
      </c>
      <c r="J61" s="1" t="s">
        <v>17</v>
      </c>
      <c r="K61" s="1" t="s">
        <v>32</v>
      </c>
      <c r="L61">
        <v>9</v>
      </c>
      <c r="M61" t="s">
        <v>65</v>
      </c>
    </row>
    <row r="62" spans="1:13" ht="15.75" customHeight="1" x14ac:dyDescent="0.35">
      <c r="A62" s="1" t="s">
        <v>43</v>
      </c>
      <c r="B62" t="s">
        <v>1083</v>
      </c>
      <c r="C62" t="s">
        <v>1084</v>
      </c>
      <c r="D62" s="4">
        <v>45259</v>
      </c>
      <c r="E62" s="1" t="s">
        <v>16</v>
      </c>
      <c r="F62" s="1" t="s">
        <v>23</v>
      </c>
      <c r="G62" s="1" t="s">
        <v>41</v>
      </c>
      <c r="H62" s="1">
        <v>4979.84</v>
      </c>
      <c r="I62">
        <v>2575.83</v>
      </c>
      <c r="J62" s="1" t="s">
        <v>17</v>
      </c>
      <c r="K62" s="1" t="s">
        <v>1093</v>
      </c>
      <c r="L62">
        <v>9</v>
      </c>
      <c r="M62" t="s">
        <v>42</v>
      </c>
    </row>
    <row r="63" spans="1:13" ht="15.75" customHeight="1" x14ac:dyDescent="0.35">
      <c r="A63" s="1" t="s">
        <v>70</v>
      </c>
      <c r="B63" t="s">
        <v>1083</v>
      </c>
      <c r="C63" s="1" t="s">
        <v>183</v>
      </c>
      <c r="D63" s="4">
        <v>45262</v>
      </c>
      <c r="E63" s="1" t="s">
        <v>30</v>
      </c>
      <c r="F63" s="1" t="s">
        <v>53</v>
      </c>
      <c r="G63" s="1" t="s">
        <v>41</v>
      </c>
      <c r="H63">
        <v>2481</v>
      </c>
      <c r="I63" s="1">
        <v>2244.75</v>
      </c>
      <c r="J63" s="1" t="s">
        <v>42</v>
      </c>
      <c r="K63" s="1" t="s">
        <v>26</v>
      </c>
      <c r="L63">
        <v>9</v>
      </c>
      <c r="M63" t="s">
        <v>42</v>
      </c>
    </row>
    <row r="64" spans="1:13" ht="15.75" customHeight="1" x14ac:dyDescent="0.35">
      <c r="A64" s="1" t="s">
        <v>43</v>
      </c>
      <c r="B64" s="1" t="s">
        <v>185</v>
      </c>
      <c r="C64" t="s">
        <v>1084</v>
      </c>
      <c r="D64" s="4">
        <v>45024</v>
      </c>
      <c r="E64" s="1" t="s">
        <v>16</v>
      </c>
      <c r="F64" s="1" t="s">
        <v>93</v>
      </c>
      <c r="G64" t="s">
        <v>1086</v>
      </c>
      <c r="H64" s="1">
        <v>3215.49</v>
      </c>
      <c r="I64" s="1">
        <v>3944.63</v>
      </c>
      <c r="J64" s="1" t="s">
        <v>17</v>
      </c>
      <c r="K64" s="1" t="s">
        <v>57</v>
      </c>
      <c r="L64" s="1">
        <v>13</v>
      </c>
      <c r="M64" s="1" t="s">
        <v>42</v>
      </c>
    </row>
    <row r="65" spans="1:13" ht="15.75" customHeight="1" x14ac:dyDescent="0.35">
      <c r="A65" s="1" t="s">
        <v>187</v>
      </c>
      <c r="B65" s="1" t="s">
        <v>188</v>
      </c>
      <c r="C65" t="s">
        <v>1084</v>
      </c>
      <c r="D65" s="4">
        <v>45232</v>
      </c>
      <c r="E65" s="1" t="s">
        <v>85</v>
      </c>
      <c r="F65" s="1" t="s">
        <v>93</v>
      </c>
      <c r="G65" s="1" t="s">
        <v>24</v>
      </c>
      <c r="H65" s="1">
        <v>2724.07</v>
      </c>
      <c r="I65" s="1">
        <v>3322.24</v>
      </c>
      <c r="J65" s="1" t="s">
        <v>17</v>
      </c>
      <c r="K65" s="1" t="s">
        <v>26</v>
      </c>
      <c r="L65" s="1">
        <v>22</v>
      </c>
      <c r="M65" s="1" t="s">
        <v>42</v>
      </c>
    </row>
    <row r="66" spans="1:13" ht="15.75" customHeight="1" x14ac:dyDescent="0.35">
      <c r="A66" s="1" t="s">
        <v>58</v>
      </c>
      <c r="B66" s="1" t="s">
        <v>190</v>
      </c>
      <c r="C66" s="1" t="s">
        <v>45</v>
      </c>
      <c r="D66" s="4">
        <v>44991</v>
      </c>
      <c r="E66" s="1" t="s">
        <v>16</v>
      </c>
      <c r="F66" s="1" t="s">
        <v>23</v>
      </c>
      <c r="G66" s="1" t="s">
        <v>48</v>
      </c>
      <c r="H66" s="1">
        <v>2268.96</v>
      </c>
      <c r="I66" s="1">
        <v>2287.4299999999998</v>
      </c>
      <c r="J66" s="1" t="s">
        <v>17</v>
      </c>
      <c r="K66" s="1" t="s">
        <v>26</v>
      </c>
      <c r="L66">
        <v>9</v>
      </c>
      <c r="M66" t="s">
        <v>42</v>
      </c>
    </row>
    <row r="67" spans="1:13" ht="15.75" customHeight="1" x14ac:dyDescent="0.35">
      <c r="A67" s="1" t="s">
        <v>192</v>
      </c>
      <c r="B67" t="s">
        <v>1083</v>
      </c>
      <c r="C67" s="1" t="s">
        <v>193</v>
      </c>
      <c r="D67" s="4">
        <v>45145</v>
      </c>
      <c r="E67" s="1" t="s">
        <v>16</v>
      </c>
      <c r="F67" s="1" t="s">
        <v>53</v>
      </c>
      <c r="G67" t="s">
        <v>1086</v>
      </c>
      <c r="H67" s="1">
        <v>4553.0200000000004</v>
      </c>
      <c r="I67" s="1">
        <v>1644.45</v>
      </c>
      <c r="J67" s="1" t="s">
        <v>25</v>
      </c>
      <c r="K67" s="1" t="s">
        <v>18</v>
      </c>
      <c r="L67">
        <v>9</v>
      </c>
      <c r="M67" t="s">
        <v>42</v>
      </c>
    </row>
    <row r="68" spans="1:13" ht="15.75" customHeight="1" x14ac:dyDescent="0.35">
      <c r="A68" s="1" t="s">
        <v>20</v>
      </c>
      <c r="B68" t="s">
        <v>1083</v>
      </c>
      <c r="C68" t="s">
        <v>1084</v>
      </c>
      <c r="D68" s="4">
        <v>45185</v>
      </c>
      <c r="E68" s="1" t="s">
        <v>16</v>
      </c>
      <c r="F68" t="s">
        <v>1085</v>
      </c>
      <c r="G68" s="1" t="s">
        <v>61</v>
      </c>
      <c r="H68">
        <v>2481</v>
      </c>
      <c r="I68" s="1">
        <v>2178.85</v>
      </c>
      <c r="J68" s="1" t="s">
        <v>25</v>
      </c>
      <c r="K68" s="1" t="s">
        <v>32</v>
      </c>
      <c r="L68">
        <v>9</v>
      </c>
      <c r="M68" t="s">
        <v>65</v>
      </c>
    </row>
    <row r="69" spans="1:13" ht="15.75" customHeight="1" x14ac:dyDescent="0.35">
      <c r="A69" s="1" t="s">
        <v>70</v>
      </c>
      <c r="B69" s="1" t="s">
        <v>195</v>
      </c>
      <c r="C69" t="s">
        <v>1084</v>
      </c>
      <c r="D69" s="4">
        <v>45267</v>
      </c>
      <c r="E69" s="1" t="s">
        <v>85</v>
      </c>
      <c r="F69" t="s">
        <v>1085</v>
      </c>
      <c r="G69" s="1" t="s">
        <v>48</v>
      </c>
      <c r="H69" s="1">
        <v>382.31</v>
      </c>
      <c r="I69">
        <v>2575.83</v>
      </c>
      <c r="J69" s="1" t="s">
        <v>42</v>
      </c>
      <c r="K69" s="1" t="s">
        <v>18</v>
      </c>
      <c r="L69" s="1">
        <v>35</v>
      </c>
      <c r="M69" s="1" t="s">
        <v>42</v>
      </c>
    </row>
    <row r="70" spans="1:13" ht="15.75" customHeight="1" x14ac:dyDescent="0.35">
      <c r="A70" s="1" t="s">
        <v>20</v>
      </c>
      <c r="B70" t="s">
        <v>1083</v>
      </c>
      <c r="C70" s="1" t="s">
        <v>158</v>
      </c>
      <c r="D70" s="4">
        <v>45108</v>
      </c>
      <c r="E70" s="1" t="s">
        <v>85</v>
      </c>
      <c r="F70" t="s">
        <v>1085</v>
      </c>
      <c r="G70" s="1" t="s">
        <v>61</v>
      </c>
      <c r="H70">
        <v>2481</v>
      </c>
      <c r="I70">
        <v>2575.83</v>
      </c>
      <c r="J70" s="1" t="s">
        <v>17</v>
      </c>
      <c r="K70" s="1" t="s">
        <v>18</v>
      </c>
      <c r="L70">
        <v>9</v>
      </c>
      <c r="M70" t="s">
        <v>65</v>
      </c>
    </row>
    <row r="71" spans="1:13" ht="15.75" customHeight="1" x14ac:dyDescent="0.35">
      <c r="A71" s="1" t="s">
        <v>198</v>
      </c>
      <c r="B71" t="s">
        <v>1083</v>
      </c>
      <c r="C71" t="s">
        <v>1084</v>
      </c>
      <c r="D71" s="4">
        <v>44985</v>
      </c>
      <c r="E71" s="1" t="s">
        <v>85</v>
      </c>
      <c r="F71" s="1" t="s">
        <v>53</v>
      </c>
      <c r="G71" s="1" t="s">
        <v>54</v>
      </c>
      <c r="H71" s="1">
        <v>4874.01</v>
      </c>
      <c r="I71">
        <v>2575.83</v>
      </c>
      <c r="J71" s="1" t="s">
        <v>42</v>
      </c>
      <c r="K71" s="1" t="s">
        <v>26</v>
      </c>
      <c r="L71">
        <v>9</v>
      </c>
      <c r="M71" t="s">
        <v>19</v>
      </c>
    </row>
    <row r="72" spans="1:13" ht="15.75" customHeight="1" x14ac:dyDescent="0.35">
      <c r="A72" s="1" t="s">
        <v>114</v>
      </c>
      <c r="B72" s="1" t="s">
        <v>129</v>
      </c>
      <c r="C72" s="1" t="s">
        <v>200</v>
      </c>
      <c r="D72" s="4">
        <v>45216</v>
      </c>
      <c r="E72" s="1" t="s">
        <v>85</v>
      </c>
      <c r="F72" t="s">
        <v>1085</v>
      </c>
      <c r="G72" t="s">
        <v>1086</v>
      </c>
      <c r="H72">
        <v>2481</v>
      </c>
      <c r="I72">
        <v>2575.83</v>
      </c>
      <c r="J72" s="1" t="s">
        <v>42</v>
      </c>
      <c r="K72" s="1" t="s">
        <v>18</v>
      </c>
      <c r="L72">
        <v>9</v>
      </c>
      <c r="M72" t="s">
        <v>19</v>
      </c>
    </row>
    <row r="73" spans="1:13" ht="15.75" customHeight="1" x14ac:dyDescent="0.35">
      <c r="A73" s="1" t="s">
        <v>202</v>
      </c>
      <c r="B73" t="s">
        <v>1083</v>
      </c>
      <c r="C73" s="1" t="s">
        <v>203</v>
      </c>
      <c r="D73" s="4">
        <v>45006</v>
      </c>
      <c r="E73" s="1" t="s">
        <v>16</v>
      </c>
      <c r="F73" s="1" t="s">
        <v>23</v>
      </c>
      <c r="G73" s="1" t="s">
        <v>41</v>
      </c>
      <c r="H73" s="1">
        <v>2481</v>
      </c>
      <c r="I73">
        <v>2575.83</v>
      </c>
      <c r="J73" s="1" t="s">
        <v>42</v>
      </c>
      <c r="K73" s="1" t="s">
        <v>18</v>
      </c>
      <c r="L73">
        <v>9</v>
      </c>
      <c r="M73" t="s">
        <v>19</v>
      </c>
    </row>
    <row r="74" spans="1:13" ht="15.75" customHeight="1" x14ac:dyDescent="0.35">
      <c r="A74" s="1" t="s">
        <v>28</v>
      </c>
      <c r="B74" s="1" t="s">
        <v>205</v>
      </c>
      <c r="C74" t="s">
        <v>1084</v>
      </c>
      <c r="D74" s="4">
        <v>45196</v>
      </c>
      <c r="E74" s="1" t="s">
        <v>85</v>
      </c>
      <c r="F74" s="1" t="s">
        <v>53</v>
      </c>
      <c r="G74" s="1" t="s">
        <v>54</v>
      </c>
      <c r="H74">
        <v>2481</v>
      </c>
      <c r="I74" s="1">
        <v>4729.3500000000004</v>
      </c>
      <c r="J74" s="1" t="s">
        <v>42</v>
      </c>
      <c r="K74" s="1" t="s">
        <v>32</v>
      </c>
      <c r="L74" s="1">
        <v>20</v>
      </c>
      <c r="M74" s="1" t="s">
        <v>19</v>
      </c>
    </row>
    <row r="75" spans="1:13" ht="15.75" customHeight="1" x14ac:dyDescent="0.35">
      <c r="A75" s="1" t="s">
        <v>117</v>
      </c>
      <c r="B75" t="s">
        <v>1083</v>
      </c>
      <c r="C75" s="1" t="s">
        <v>207</v>
      </c>
      <c r="D75" s="4">
        <v>45121</v>
      </c>
      <c r="E75" s="1" t="s">
        <v>30</v>
      </c>
      <c r="F75" s="1" t="s">
        <v>47</v>
      </c>
      <c r="G75" t="s">
        <v>1086</v>
      </c>
      <c r="H75" s="1">
        <v>2481</v>
      </c>
      <c r="I75" s="1">
        <v>4315.7299999999996</v>
      </c>
      <c r="J75" s="1" t="s">
        <v>25</v>
      </c>
      <c r="K75" s="1" t="s">
        <v>26</v>
      </c>
      <c r="L75" s="1">
        <v>29</v>
      </c>
      <c r="M75" s="1" t="s">
        <v>19</v>
      </c>
    </row>
    <row r="76" spans="1:13" ht="15.75" customHeight="1" x14ac:dyDescent="0.35">
      <c r="A76" s="1" t="s">
        <v>209</v>
      </c>
      <c r="B76" t="s">
        <v>1083</v>
      </c>
      <c r="C76" t="s">
        <v>1084</v>
      </c>
      <c r="D76" s="4">
        <v>45075</v>
      </c>
      <c r="E76" s="1" t="s">
        <v>92</v>
      </c>
      <c r="F76" s="1" t="s">
        <v>93</v>
      </c>
      <c r="G76" s="1" t="s">
        <v>54</v>
      </c>
      <c r="H76">
        <v>2481</v>
      </c>
      <c r="I76" s="1">
        <v>486.24</v>
      </c>
      <c r="J76" s="1" t="s">
        <v>17</v>
      </c>
      <c r="K76" s="1" t="s">
        <v>1093</v>
      </c>
      <c r="L76">
        <v>9</v>
      </c>
      <c r="M76" t="s">
        <v>42</v>
      </c>
    </row>
    <row r="77" spans="1:13" ht="15.75" customHeight="1" x14ac:dyDescent="0.35">
      <c r="A77" s="1" t="s">
        <v>96</v>
      </c>
      <c r="B77" t="s">
        <v>1083</v>
      </c>
      <c r="C77" t="s">
        <v>1084</v>
      </c>
      <c r="D77" s="4">
        <v>45040</v>
      </c>
      <c r="E77" s="1" t="s">
        <v>30</v>
      </c>
      <c r="F77" t="s">
        <v>1085</v>
      </c>
      <c r="G77" s="1" t="s">
        <v>61</v>
      </c>
      <c r="H77">
        <v>2481</v>
      </c>
      <c r="I77">
        <v>2575.83</v>
      </c>
      <c r="J77" s="1" t="s">
        <v>17</v>
      </c>
      <c r="K77" s="1" t="s">
        <v>18</v>
      </c>
      <c r="L77" s="1">
        <v>6</v>
      </c>
      <c r="M77" s="1" t="s">
        <v>19</v>
      </c>
    </row>
    <row r="78" spans="1:13" ht="15.75" customHeight="1" x14ac:dyDescent="0.35">
      <c r="A78" s="1" t="s">
        <v>212</v>
      </c>
      <c r="B78" t="s">
        <v>1083</v>
      </c>
      <c r="C78" s="1" t="s">
        <v>213</v>
      </c>
      <c r="D78" s="4">
        <v>45248</v>
      </c>
      <c r="E78" s="1" t="s">
        <v>85</v>
      </c>
      <c r="F78" s="1" t="s">
        <v>47</v>
      </c>
      <c r="G78" s="1" t="s">
        <v>54</v>
      </c>
      <c r="H78">
        <v>2481</v>
      </c>
      <c r="I78">
        <v>2575.83</v>
      </c>
      <c r="J78" s="1" t="s">
        <v>42</v>
      </c>
      <c r="K78" s="1" t="s">
        <v>18</v>
      </c>
      <c r="L78" s="1">
        <v>28</v>
      </c>
      <c r="M78" s="1" t="s">
        <v>65</v>
      </c>
    </row>
    <row r="79" spans="1:13" ht="15.75" customHeight="1" x14ac:dyDescent="0.35">
      <c r="A79" s="1" t="s">
        <v>215</v>
      </c>
      <c r="B79" t="s">
        <v>1083</v>
      </c>
      <c r="C79" s="1" t="s">
        <v>97</v>
      </c>
      <c r="D79" s="4">
        <v>45186</v>
      </c>
      <c r="E79" s="1" t="s">
        <v>77</v>
      </c>
      <c r="F79" s="1" t="s">
        <v>53</v>
      </c>
      <c r="G79" s="1" t="s">
        <v>61</v>
      </c>
      <c r="H79" s="1">
        <v>331.61</v>
      </c>
      <c r="I79" s="1">
        <v>3241.1</v>
      </c>
      <c r="J79" s="1" t="s">
        <v>17</v>
      </c>
      <c r="K79" s="1" t="s">
        <v>57</v>
      </c>
      <c r="L79">
        <v>9</v>
      </c>
      <c r="M79" t="s">
        <v>65</v>
      </c>
    </row>
    <row r="80" spans="1:13" ht="15.75" customHeight="1" x14ac:dyDescent="0.35">
      <c r="A80" s="1" t="s">
        <v>66</v>
      </c>
      <c r="B80" t="s">
        <v>1083</v>
      </c>
      <c r="C80" t="s">
        <v>1084</v>
      </c>
      <c r="D80" s="4">
        <v>45260</v>
      </c>
      <c r="E80" s="1" t="s">
        <v>30</v>
      </c>
      <c r="F80" s="1" t="s">
        <v>53</v>
      </c>
      <c r="G80" s="1" t="s">
        <v>54</v>
      </c>
      <c r="H80" s="1">
        <v>2481</v>
      </c>
      <c r="I80">
        <v>2575.83</v>
      </c>
      <c r="J80" s="1" t="s">
        <v>25</v>
      </c>
      <c r="K80" s="1" t="s">
        <v>57</v>
      </c>
      <c r="L80" s="1">
        <v>41</v>
      </c>
      <c r="M80" s="1" t="s">
        <v>19</v>
      </c>
    </row>
    <row r="81" spans="1:13" ht="15.75" customHeight="1" x14ac:dyDescent="0.35">
      <c r="A81" s="1" t="s">
        <v>170</v>
      </c>
      <c r="B81" t="s">
        <v>1083</v>
      </c>
      <c r="C81" s="1" t="s">
        <v>218</v>
      </c>
      <c r="D81" s="4">
        <v>45117</v>
      </c>
      <c r="E81" s="1" t="s">
        <v>77</v>
      </c>
      <c r="F81" s="1" t="s">
        <v>31</v>
      </c>
      <c r="G81" t="s">
        <v>1086</v>
      </c>
      <c r="H81">
        <v>2481</v>
      </c>
      <c r="I81" s="1">
        <v>376.26</v>
      </c>
      <c r="J81" s="1" t="s">
        <v>17</v>
      </c>
      <c r="K81" s="1" t="s">
        <v>1093</v>
      </c>
      <c r="L81">
        <v>9</v>
      </c>
      <c r="M81" t="s">
        <v>42</v>
      </c>
    </row>
    <row r="82" spans="1:13" ht="15.75" customHeight="1" x14ac:dyDescent="0.35">
      <c r="A82" s="1" t="s">
        <v>50</v>
      </c>
      <c r="B82" s="1" t="s">
        <v>220</v>
      </c>
      <c r="C82" s="1" t="s">
        <v>221</v>
      </c>
      <c r="D82" s="4">
        <v>45262</v>
      </c>
      <c r="E82" s="1" t="s">
        <v>16</v>
      </c>
      <c r="F82" s="1" t="s">
        <v>53</v>
      </c>
      <c r="G82" s="1" t="s">
        <v>24</v>
      </c>
      <c r="H82">
        <v>2481</v>
      </c>
      <c r="I82">
        <v>2575.83</v>
      </c>
      <c r="J82" s="1" t="s">
        <v>42</v>
      </c>
      <c r="K82" s="1" t="s">
        <v>18</v>
      </c>
      <c r="L82">
        <v>9</v>
      </c>
      <c r="M82" t="s">
        <v>42</v>
      </c>
    </row>
    <row r="83" spans="1:13" ht="15.75" customHeight="1" x14ac:dyDescent="0.35">
      <c r="A83" s="1" t="s">
        <v>96</v>
      </c>
      <c r="B83" t="s">
        <v>1083</v>
      </c>
      <c r="C83" t="s">
        <v>1084</v>
      </c>
      <c r="D83" s="4">
        <v>44936</v>
      </c>
      <c r="E83" s="1" t="s">
        <v>85</v>
      </c>
      <c r="F83" s="1" t="s">
        <v>31</v>
      </c>
      <c r="G83" s="1" t="s">
        <v>48</v>
      </c>
      <c r="H83">
        <v>2481</v>
      </c>
      <c r="I83" s="1">
        <v>431.97</v>
      </c>
      <c r="J83" s="1" t="s">
        <v>17</v>
      </c>
      <c r="K83" s="1" t="s">
        <v>57</v>
      </c>
      <c r="L83">
        <v>9</v>
      </c>
      <c r="M83" t="s">
        <v>42</v>
      </c>
    </row>
    <row r="84" spans="1:13" ht="15.75" customHeight="1" x14ac:dyDescent="0.35">
      <c r="A84" s="1" t="s">
        <v>166</v>
      </c>
      <c r="B84" t="s">
        <v>1083</v>
      </c>
      <c r="C84" s="1" t="s">
        <v>224</v>
      </c>
      <c r="D84" s="4">
        <v>45232</v>
      </c>
      <c r="E84" s="1" t="s">
        <v>85</v>
      </c>
      <c r="F84" t="s">
        <v>1085</v>
      </c>
      <c r="G84" s="1" t="s">
        <v>54</v>
      </c>
      <c r="H84" s="1">
        <v>2481</v>
      </c>
      <c r="I84">
        <v>2575.83</v>
      </c>
      <c r="J84" s="1" t="s">
        <v>17</v>
      </c>
      <c r="K84" s="1" t="s">
        <v>1093</v>
      </c>
      <c r="L84">
        <v>9</v>
      </c>
      <c r="M84" t="s">
        <v>65</v>
      </c>
    </row>
    <row r="85" spans="1:13" ht="15.75" customHeight="1" x14ac:dyDescent="0.35">
      <c r="A85" s="1" t="s">
        <v>198</v>
      </c>
      <c r="B85" s="1" t="s">
        <v>226</v>
      </c>
      <c r="C85" t="s">
        <v>1084</v>
      </c>
      <c r="D85" s="4">
        <v>45274</v>
      </c>
      <c r="E85" s="1" t="s">
        <v>77</v>
      </c>
      <c r="F85" s="1" t="s">
        <v>53</v>
      </c>
      <c r="G85" s="1" t="s">
        <v>41</v>
      </c>
      <c r="H85" s="1">
        <v>2481</v>
      </c>
      <c r="I85" s="1">
        <v>4833.03</v>
      </c>
      <c r="J85" s="1" t="s">
        <v>17</v>
      </c>
      <c r="K85" s="1" t="s">
        <v>18</v>
      </c>
      <c r="L85">
        <v>9</v>
      </c>
      <c r="M85" t="s">
        <v>19</v>
      </c>
    </row>
    <row r="86" spans="1:13" ht="15.75" customHeight="1" x14ac:dyDescent="0.35">
      <c r="A86" s="1" t="s">
        <v>43</v>
      </c>
      <c r="B86" t="s">
        <v>1083</v>
      </c>
      <c r="C86" s="1" t="s">
        <v>228</v>
      </c>
      <c r="D86" s="4">
        <v>45191</v>
      </c>
      <c r="E86" s="1" t="s">
        <v>16</v>
      </c>
      <c r="F86" s="1" t="s">
        <v>93</v>
      </c>
      <c r="G86" s="1" t="s">
        <v>41</v>
      </c>
      <c r="H86">
        <v>2481</v>
      </c>
      <c r="I86" s="1">
        <v>4163.68</v>
      </c>
      <c r="J86" s="1" t="s">
        <v>17</v>
      </c>
      <c r="K86" s="1" t="s">
        <v>1093</v>
      </c>
      <c r="L86">
        <v>9</v>
      </c>
      <c r="M86" t="s">
        <v>19</v>
      </c>
    </row>
    <row r="87" spans="1:13" ht="15.75" customHeight="1" x14ac:dyDescent="0.35">
      <c r="A87" s="1" t="s">
        <v>70</v>
      </c>
      <c r="B87" t="s">
        <v>1083</v>
      </c>
      <c r="C87" t="s">
        <v>1084</v>
      </c>
      <c r="D87" s="4">
        <v>45124</v>
      </c>
      <c r="E87" s="1" t="s">
        <v>85</v>
      </c>
      <c r="F87" s="1" t="s">
        <v>23</v>
      </c>
      <c r="G87" s="1" t="s">
        <v>41</v>
      </c>
      <c r="H87">
        <v>2481</v>
      </c>
      <c r="I87" s="1">
        <v>3967.33</v>
      </c>
      <c r="J87" s="1" t="s">
        <v>25</v>
      </c>
      <c r="K87" s="1" t="s">
        <v>32</v>
      </c>
      <c r="L87">
        <v>9</v>
      </c>
      <c r="M87" t="s">
        <v>65</v>
      </c>
    </row>
    <row r="88" spans="1:13" ht="15.75" customHeight="1" x14ac:dyDescent="0.35">
      <c r="A88" s="1" t="s">
        <v>231</v>
      </c>
      <c r="B88" t="s">
        <v>1083</v>
      </c>
      <c r="C88" s="1" t="s">
        <v>232</v>
      </c>
      <c r="D88" s="4">
        <v>44967</v>
      </c>
      <c r="E88" s="1" t="s">
        <v>85</v>
      </c>
      <c r="F88" s="1" t="s">
        <v>93</v>
      </c>
      <c r="G88" s="1" t="s">
        <v>54</v>
      </c>
      <c r="H88" s="1">
        <v>2481</v>
      </c>
      <c r="I88">
        <v>2575.83</v>
      </c>
      <c r="J88" s="1" t="s">
        <v>17</v>
      </c>
      <c r="K88" s="1" t="s">
        <v>32</v>
      </c>
      <c r="L88" s="1">
        <v>7</v>
      </c>
      <c r="M88" s="1" t="s">
        <v>65</v>
      </c>
    </row>
    <row r="89" spans="1:13" ht="15.75" customHeight="1" x14ac:dyDescent="0.35">
      <c r="A89" s="1" t="s">
        <v>70</v>
      </c>
      <c r="B89" t="s">
        <v>1083</v>
      </c>
      <c r="C89" s="1" t="s">
        <v>152</v>
      </c>
      <c r="D89" s="4">
        <v>45232</v>
      </c>
      <c r="E89" s="1" t="s">
        <v>16</v>
      </c>
      <c r="F89" t="s">
        <v>1085</v>
      </c>
      <c r="G89" s="1" t="s">
        <v>54</v>
      </c>
      <c r="H89">
        <v>2481</v>
      </c>
      <c r="I89" s="1">
        <v>1491.8</v>
      </c>
      <c r="J89" s="1" t="s">
        <v>17</v>
      </c>
      <c r="K89" s="1" t="s">
        <v>32</v>
      </c>
      <c r="L89">
        <v>9</v>
      </c>
      <c r="M89" t="s">
        <v>65</v>
      </c>
    </row>
    <row r="90" spans="1:13" ht="15.75" customHeight="1" x14ac:dyDescent="0.35">
      <c r="A90" s="1" t="s">
        <v>102</v>
      </c>
      <c r="B90" t="s">
        <v>1083</v>
      </c>
      <c r="C90" t="s">
        <v>1084</v>
      </c>
      <c r="D90" s="4">
        <v>45205</v>
      </c>
      <c r="E90" s="1" t="s">
        <v>85</v>
      </c>
      <c r="F90" s="1" t="s">
        <v>47</v>
      </c>
      <c r="G90" s="1" t="s">
        <v>54</v>
      </c>
      <c r="H90" s="1">
        <v>150.65</v>
      </c>
      <c r="I90">
        <v>2575.83</v>
      </c>
      <c r="J90" s="1" t="s">
        <v>42</v>
      </c>
      <c r="K90" s="1" t="s">
        <v>26</v>
      </c>
      <c r="L90" s="1">
        <v>22</v>
      </c>
      <c r="M90" s="1" t="s">
        <v>19</v>
      </c>
    </row>
    <row r="91" spans="1:13" ht="15.75" customHeight="1" x14ac:dyDescent="0.35">
      <c r="A91" s="1" t="s">
        <v>170</v>
      </c>
      <c r="B91" t="s">
        <v>1083</v>
      </c>
      <c r="C91" s="1" t="s">
        <v>150</v>
      </c>
      <c r="D91" s="4">
        <v>45224</v>
      </c>
      <c r="E91" s="1" t="s">
        <v>92</v>
      </c>
      <c r="F91" s="1" t="s">
        <v>47</v>
      </c>
      <c r="G91" s="1" t="s">
        <v>41</v>
      </c>
      <c r="H91" s="1">
        <v>2481</v>
      </c>
      <c r="I91">
        <v>2575.83</v>
      </c>
      <c r="J91" s="1" t="s">
        <v>17</v>
      </c>
      <c r="K91" s="1" t="s">
        <v>18</v>
      </c>
      <c r="L91">
        <v>9</v>
      </c>
      <c r="M91" t="s">
        <v>65</v>
      </c>
    </row>
    <row r="92" spans="1:13" ht="15.75" customHeight="1" x14ac:dyDescent="0.35">
      <c r="A92" s="1" t="s">
        <v>166</v>
      </c>
      <c r="B92" s="1" t="s">
        <v>237</v>
      </c>
      <c r="C92" s="1" t="s">
        <v>238</v>
      </c>
      <c r="D92" s="4">
        <v>45085</v>
      </c>
      <c r="E92" s="1" t="s">
        <v>77</v>
      </c>
      <c r="F92" s="1" t="s">
        <v>47</v>
      </c>
      <c r="G92" s="1" t="s">
        <v>48</v>
      </c>
      <c r="H92">
        <v>2481</v>
      </c>
      <c r="I92" s="1">
        <v>1466.25</v>
      </c>
      <c r="J92" s="1" t="s">
        <v>42</v>
      </c>
      <c r="K92" s="1" t="s">
        <v>32</v>
      </c>
      <c r="L92">
        <v>9</v>
      </c>
      <c r="M92" t="s">
        <v>65</v>
      </c>
    </row>
    <row r="93" spans="1:13" ht="15.75" customHeight="1" x14ac:dyDescent="0.35">
      <c r="A93" s="1" t="s">
        <v>78</v>
      </c>
      <c r="B93" t="s">
        <v>1083</v>
      </c>
      <c r="C93" t="s">
        <v>1084</v>
      </c>
      <c r="D93" s="4">
        <v>45181</v>
      </c>
      <c r="E93" s="1" t="s">
        <v>92</v>
      </c>
      <c r="F93" s="1" t="s">
        <v>47</v>
      </c>
      <c r="G93" s="1" t="s">
        <v>41</v>
      </c>
      <c r="H93" s="1">
        <v>2481</v>
      </c>
      <c r="I93">
        <v>2575.83</v>
      </c>
      <c r="J93" s="1" t="s">
        <v>17</v>
      </c>
      <c r="K93" s="1" t="s">
        <v>57</v>
      </c>
      <c r="L93">
        <v>9</v>
      </c>
      <c r="M93" t="s">
        <v>19</v>
      </c>
    </row>
    <row r="94" spans="1:13" ht="15.75" customHeight="1" x14ac:dyDescent="0.35">
      <c r="A94" s="1" t="s">
        <v>96</v>
      </c>
      <c r="B94" t="s">
        <v>1083</v>
      </c>
      <c r="C94" t="s">
        <v>1084</v>
      </c>
      <c r="D94" s="4">
        <v>45155</v>
      </c>
      <c r="E94" s="1" t="s">
        <v>16</v>
      </c>
      <c r="F94" s="1" t="s">
        <v>53</v>
      </c>
      <c r="G94" s="1" t="s">
        <v>41</v>
      </c>
      <c r="H94">
        <v>2481</v>
      </c>
      <c r="I94">
        <v>2575.83</v>
      </c>
      <c r="J94" s="1" t="s">
        <v>42</v>
      </c>
      <c r="K94" s="1" t="s">
        <v>26</v>
      </c>
      <c r="L94">
        <v>9</v>
      </c>
      <c r="M94" t="s">
        <v>65</v>
      </c>
    </row>
    <row r="95" spans="1:13" ht="15.75" customHeight="1" x14ac:dyDescent="0.35">
      <c r="A95" s="1" t="s">
        <v>242</v>
      </c>
      <c r="B95" t="s">
        <v>1083</v>
      </c>
      <c r="C95" s="1" t="s">
        <v>243</v>
      </c>
      <c r="D95" s="4">
        <v>45238</v>
      </c>
      <c r="E95" s="1" t="s">
        <v>85</v>
      </c>
      <c r="F95" s="1" t="s">
        <v>53</v>
      </c>
      <c r="G95" s="1" t="s">
        <v>61</v>
      </c>
      <c r="H95">
        <v>2481</v>
      </c>
      <c r="I95">
        <v>2575.83</v>
      </c>
      <c r="J95" s="1" t="s">
        <v>25</v>
      </c>
      <c r="K95" s="1" t="s">
        <v>57</v>
      </c>
      <c r="L95">
        <v>9</v>
      </c>
      <c r="M95" t="s">
        <v>65</v>
      </c>
    </row>
    <row r="96" spans="1:13" ht="15.75" customHeight="1" x14ac:dyDescent="0.35">
      <c r="A96" s="1" t="s">
        <v>242</v>
      </c>
      <c r="B96" t="s">
        <v>1083</v>
      </c>
      <c r="C96" s="1" t="s">
        <v>245</v>
      </c>
      <c r="D96" s="4">
        <v>44997</v>
      </c>
      <c r="E96" s="1" t="s">
        <v>77</v>
      </c>
      <c r="F96" s="1" t="s">
        <v>31</v>
      </c>
      <c r="G96" t="s">
        <v>1086</v>
      </c>
      <c r="H96" s="1">
        <v>1429.51</v>
      </c>
      <c r="I96">
        <v>2575.83</v>
      </c>
      <c r="J96" s="1" t="s">
        <v>17</v>
      </c>
      <c r="K96" s="1" t="s">
        <v>1093</v>
      </c>
      <c r="L96">
        <v>9</v>
      </c>
      <c r="M96" t="s">
        <v>19</v>
      </c>
    </row>
    <row r="97" spans="1:13" ht="15.75" customHeight="1" x14ac:dyDescent="0.35">
      <c r="A97" s="1" t="s">
        <v>247</v>
      </c>
      <c r="B97" t="s">
        <v>1083</v>
      </c>
      <c r="C97" t="s">
        <v>1084</v>
      </c>
      <c r="D97" s="4">
        <v>45073</v>
      </c>
      <c r="E97" s="1" t="s">
        <v>77</v>
      </c>
      <c r="F97" s="1" t="s">
        <v>93</v>
      </c>
      <c r="G97" s="1" t="s">
        <v>61</v>
      </c>
      <c r="H97" s="1">
        <v>2481</v>
      </c>
      <c r="I97">
        <v>2575.83</v>
      </c>
      <c r="J97" s="1" t="s">
        <v>25</v>
      </c>
      <c r="K97" s="1" t="s">
        <v>26</v>
      </c>
      <c r="L97">
        <v>9</v>
      </c>
      <c r="M97" t="s">
        <v>19</v>
      </c>
    </row>
    <row r="98" spans="1:13" ht="15.75" customHeight="1" x14ac:dyDescent="0.35">
      <c r="A98" s="1" t="s">
        <v>249</v>
      </c>
      <c r="B98" t="s">
        <v>1083</v>
      </c>
      <c r="C98" t="s">
        <v>1084</v>
      </c>
      <c r="D98" s="4">
        <v>45291</v>
      </c>
      <c r="E98" s="1" t="s">
        <v>16</v>
      </c>
      <c r="F98" t="s">
        <v>1085</v>
      </c>
      <c r="G98" s="1" t="s">
        <v>24</v>
      </c>
      <c r="H98">
        <v>2481</v>
      </c>
      <c r="I98" s="1">
        <v>650.74</v>
      </c>
      <c r="J98" s="1" t="s">
        <v>17</v>
      </c>
      <c r="K98" s="1" t="s">
        <v>18</v>
      </c>
      <c r="L98">
        <v>9</v>
      </c>
      <c r="M98" t="s">
        <v>19</v>
      </c>
    </row>
    <row r="99" spans="1:13" ht="15.75" customHeight="1" x14ac:dyDescent="0.35">
      <c r="A99" s="1" t="s">
        <v>242</v>
      </c>
      <c r="B99" t="s">
        <v>1083</v>
      </c>
      <c r="C99" t="s">
        <v>1084</v>
      </c>
      <c r="D99" s="4">
        <v>45209</v>
      </c>
      <c r="E99" s="1" t="s">
        <v>16</v>
      </c>
      <c r="F99" s="1" t="s">
        <v>31</v>
      </c>
      <c r="G99" s="1" t="s">
        <v>48</v>
      </c>
      <c r="H99" s="1">
        <v>2481</v>
      </c>
      <c r="I99">
        <v>2575.83</v>
      </c>
      <c r="J99" s="1" t="s">
        <v>17</v>
      </c>
      <c r="K99" s="1" t="s">
        <v>26</v>
      </c>
      <c r="L99">
        <v>9</v>
      </c>
      <c r="M99" t="s">
        <v>19</v>
      </c>
    </row>
    <row r="100" spans="1:13" ht="15.75" customHeight="1" x14ac:dyDescent="0.35">
      <c r="A100" s="1" t="s">
        <v>215</v>
      </c>
      <c r="B100" t="s">
        <v>1083</v>
      </c>
      <c r="C100" t="s">
        <v>1084</v>
      </c>
      <c r="D100" s="4">
        <v>45254</v>
      </c>
      <c r="E100" s="1" t="s">
        <v>85</v>
      </c>
      <c r="F100" s="1" t="s">
        <v>93</v>
      </c>
      <c r="G100" s="1" t="s">
        <v>48</v>
      </c>
      <c r="H100" s="1">
        <v>2539.1799999999998</v>
      </c>
      <c r="I100">
        <v>2575.83</v>
      </c>
      <c r="J100" s="1" t="s">
        <v>17</v>
      </c>
      <c r="K100" s="1" t="s">
        <v>18</v>
      </c>
      <c r="L100">
        <v>9</v>
      </c>
      <c r="M100" t="s">
        <v>65</v>
      </c>
    </row>
    <row r="101" spans="1:13" ht="15.75" customHeight="1" x14ac:dyDescent="0.35">
      <c r="A101" s="1" t="s">
        <v>28</v>
      </c>
      <c r="B101" t="s">
        <v>1083</v>
      </c>
      <c r="C101" t="s">
        <v>1084</v>
      </c>
      <c r="D101" s="4">
        <v>45252</v>
      </c>
      <c r="E101" s="1" t="s">
        <v>85</v>
      </c>
      <c r="F101" t="s">
        <v>1085</v>
      </c>
      <c r="G101" s="1" t="s">
        <v>41</v>
      </c>
      <c r="H101">
        <v>2481</v>
      </c>
      <c r="I101">
        <v>2575.83</v>
      </c>
      <c r="J101" s="1" t="s">
        <v>17</v>
      </c>
      <c r="K101" s="1" t="s">
        <v>18</v>
      </c>
      <c r="L101">
        <v>9</v>
      </c>
      <c r="M101" t="s">
        <v>42</v>
      </c>
    </row>
    <row r="102" spans="1:13" ht="15.75" customHeight="1" x14ac:dyDescent="0.35">
      <c r="A102" s="1" t="s">
        <v>114</v>
      </c>
      <c r="B102" s="1" t="s">
        <v>254</v>
      </c>
      <c r="C102" s="1" t="s">
        <v>193</v>
      </c>
      <c r="D102" s="4">
        <v>45255</v>
      </c>
      <c r="E102" s="1" t="s">
        <v>16</v>
      </c>
      <c r="F102" s="1" t="s">
        <v>93</v>
      </c>
      <c r="G102" s="1" t="s">
        <v>54</v>
      </c>
      <c r="H102" s="1">
        <v>2112.1</v>
      </c>
      <c r="I102">
        <v>2575.83</v>
      </c>
      <c r="J102" s="1" t="s">
        <v>17</v>
      </c>
      <c r="K102" s="1" t="s">
        <v>32</v>
      </c>
      <c r="L102">
        <v>9</v>
      </c>
      <c r="M102" t="s">
        <v>65</v>
      </c>
    </row>
    <row r="103" spans="1:13" ht="15.75" customHeight="1" x14ac:dyDescent="0.35">
      <c r="A103" s="1" t="s">
        <v>170</v>
      </c>
      <c r="B103" t="s">
        <v>1083</v>
      </c>
      <c r="C103" t="s">
        <v>1084</v>
      </c>
      <c r="D103" s="4">
        <v>44964</v>
      </c>
      <c r="E103" s="1" t="s">
        <v>77</v>
      </c>
      <c r="F103" s="1" t="s">
        <v>53</v>
      </c>
      <c r="G103" s="1" t="s">
        <v>48</v>
      </c>
      <c r="H103">
        <v>2481</v>
      </c>
      <c r="I103">
        <v>2575.83</v>
      </c>
      <c r="J103" s="1" t="s">
        <v>42</v>
      </c>
      <c r="K103" s="1" t="s">
        <v>32</v>
      </c>
      <c r="L103" s="1">
        <v>25</v>
      </c>
      <c r="M103" s="1" t="s">
        <v>19</v>
      </c>
    </row>
    <row r="104" spans="1:13" ht="15.75" customHeight="1" x14ac:dyDescent="0.35">
      <c r="A104" s="1" t="s">
        <v>163</v>
      </c>
      <c r="B104" s="1" t="s">
        <v>257</v>
      </c>
      <c r="C104" s="1" t="s">
        <v>258</v>
      </c>
      <c r="D104" s="4">
        <v>44989</v>
      </c>
      <c r="E104" s="1" t="s">
        <v>85</v>
      </c>
      <c r="F104" s="1" t="s">
        <v>93</v>
      </c>
      <c r="G104" s="1" t="s">
        <v>61</v>
      </c>
      <c r="H104" s="1">
        <v>2481</v>
      </c>
      <c r="I104" s="1">
        <v>1278.94</v>
      </c>
      <c r="J104" s="1" t="s">
        <v>42</v>
      </c>
      <c r="K104" s="1" t="s">
        <v>57</v>
      </c>
      <c r="L104">
        <v>9</v>
      </c>
      <c r="M104" t="s">
        <v>65</v>
      </c>
    </row>
    <row r="105" spans="1:13" ht="15.75" customHeight="1" x14ac:dyDescent="0.35">
      <c r="A105" s="1" t="s">
        <v>231</v>
      </c>
      <c r="B105" t="s">
        <v>1083</v>
      </c>
      <c r="C105" t="s">
        <v>1084</v>
      </c>
      <c r="D105" s="4">
        <v>45182</v>
      </c>
      <c r="E105" s="1" t="s">
        <v>16</v>
      </c>
      <c r="F105" s="1" t="s">
        <v>53</v>
      </c>
      <c r="G105" s="1" t="s">
        <v>54</v>
      </c>
      <c r="H105">
        <v>2481</v>
      </c>
      <c r="I105" s="1">
        <v>2937.55</v>
      </c>
      <c r="J105" s="1" t="s">
        <v>25</v>
      </c>
      <c r="K105" s="1" t="s">
        <v>32</v>
      </c>
      <c r="L105">
        <v>9</v>
      </c>
      <c r="M105" t="s">
        <v>65</v>
      </c>
    </row>
    <row r="106" spans="1:13" ht="15.75" customHeight="1" x14ac:dyDescent="0.35">
      <c r="A106" s="1" t="s">
        <v>261</v>
      </c>
      <c r="B106" s="1" t="s">
        <v>262</v>
      </c>
      <c r="C106" t="s">
        <v>1084</v>
      </c>
      <c r="D106" s="4">
        <v>45062</v>
      </c>
      <c r="E106" s="1" t="s">
        <v>92</v>
      </c>
      <c r="F106" s="1" t="s">
        <v>23</v>
      </c>
      <c r="G106" s="1" t="s">
        <v>48</v>
      </c>
      <c r="H106">
        <v>2481</v>
      </c>
      <c r="I106">
        <v>2575.83</v>
      </c>
      <c r="J106" s="1" t="s">
        <v>25</v>
      </c>
      <c r="K106" s="1" t="s">
        <v>1093</v>
      </c>
      <c r="L106">
        <v>9</v>
      </c>
      <c r="M106" t="s">
        <v>42</v>
      </c>
    </row>
    <row r="107" spans="1:13" ht="15.75" customHeight="1" x14ac:dyDescent="0.35">
      <c r="A107" s="1" t="s">
        <v>38</v>
      </c>
      <c r="B107" t="s">
        <v>1083</v>
      </c>
      <c r="C107" s="1" t="s">
        <v>263</v>
      </c>
      <c r="D107" s="4">
        <v>44976</v>
      </c>
      <c r="E107" s="1" t="s">
        <v>85</v>
      </c>
      <c r="F107" s="1" t="s">
        <v>31</v>
      </c>
      <c r="G107" s="1" t="s">
        <v>54</v>
      </c>
      <c r="H107">
        <v>2481</v>
      </c>
      <c r="I107">
        <v>2575.83</v>
      </c>
      <c r="J107" s="1" t="s">
        <v>17</v>
      </c>
      <c r="K107" s="1" t="s">
        <v>26</v>
      </c>
      <c r="L107" s="1">
        <v>2</v>
      </c>
      <c r="M107" s="1" t="s">
        <v>65</v>
      </c>
    </row>
    <row r="108" spans="1:13" ht="15.75" customHeight="1" x14ac:dyDescent="0.35">
      <c r="A108" s="1" t="s">
        <v>137</v>
      </c>
      <c r="B108" t="s">
        <v>1083</v>
      </c>
      <c r="C108" t="s">
        <v>1084</v>
      </c>
      <c r="D108" s="4">
        <v>45003</v>
      </c>
      <c r="E108" s="1" t="s">
        <v>92</v>
      </c>
      <c r="F108" s="1" t="s">
        <v>47</v>
      </c>
      <c r="G108" s="1" t="s">
        <v>41</v>
      </c>
      <c r="H108">
        <v>2481</v>
      </c>
      <c r="I108">
        <v>2575.83</v>
      </c>
      <c r="J108" s="1" t="s">
        <v>17</v>
      </c>
      <c r="K108" s="1" t="s">
        <v>57</v>
      </c>
      <c r="L108">
        <v>9</v>
      </c>
      <c r="M108" t="s">
        <v>42</v>
      </c>
    </row>
    <row r="109" spans="1:13" ht="15.75" customHeight="1" x14ac:dyDescent="0.35">
      <c r="A109" s="1" t="s">
        <v>192</v>
      </c>
      <c r="B109" s="1" t="s">
        <v>266</v>
      </c>
      <c r="C109" t="s">
        <v>1084</v>
      </c>
      <c r="D109" s="4">
        <v>45140</v>
      </c>
      <c r="E109" s="1" t="s">
        <v>92</v>
      </c>
      <c r="F109" t="s">
        <v>1085</v>
      </c>
      <c r="G109" t="s">
        <v>1086</v>
      </c>
      <c r="H109" s="1">
        <v>2481</v>
      </c>
      <c r="I109">
        <v>2575.83</v>
      </c>
      <c r="J109" s="1" t="s">
        <v>17</v>
      </c>
      <c r="K109" s="1" t="s">
        <v>57</v>
      </c>
      <c r="L109">
        <v>9</v>
      </c>
      <c r="M109" t="s">
        <v>19</v>
      </c>
    </row>
    <row r="110" spans="1:13" ht="15.75" customHeight="1" x14ac:dyDescent="0.35">
      <c r="A110" s="1" t="s">
        <v>66</v>
      </c>
      <c r="B110" s="1" t="s">
        <v>268</v>
      </c>
      <c r="C110" t="s">
        <v>1084</v>
      </c>
      <c r="D110" s="4">
        <v>45002</v>
      </c>
      <c r="E110" s="1" t="s">
        <v>30</v>
      </c>
      <c r="F110" t="s">
        <v>1085</v>
      </c>
      <c r="G110" s="1" t="s">
        <v>61</v>
      </c>
      <c r="H110">
        <v>2481</v>
      </c>
      <c r="I110">
        <v>2575.83</v>
      </c>
      <c r="J110" s="1" t="s">
        <v>17</v>
      </c>
      <c r="K110" s="1" t="s">
        <v>1093</v>
      </c>
      <c r="L110">
        <v>9</v>
      </c>
      <c r="M110" t="s">
        <v>65</v>
      </c>
    </row>
    <row r="111" spans="1:13" ht="15.75" customHeight="1" x14ac:dyDescent="0.35">
      <c r="A111" s="1" t="s">
        <v>148</v>
      </c>
      <c r="B111" s="1" t="s">
        <v>270</v>
      </c>
      <c r="C111" s="1" t="s">
        <v>271</v>
      </c>
      <c r="D111" s="4">
        <v>45033</v>
      </c>
      <c r="E111" s="1" t="s">
        <v>16</v>
      </c>
      <c r="F111" s="1" t="s">
        <v>53</v>
      </c>
      <c r="G111" s="1" t="s">
        <v>54</v>
      </c>
      <c r="H111" s="1">
        <v>2481</v>
      </c>
      <c r="I111">
        <v>2575.83</v>
      </c>
      <c r="J111" s="1" t="s">
        <v>17</v>
      </c>
      <c r="K111" s="1" t="s">
        <v>32</v>
      </c>
      <c r="L111">
        <v>9</v>
      </c>
      <c r="M111" t="s">
        <v>19</v>
      </c>
    </row>
    <row r="112" spans="1:13" ht="15.75" customHeight="1" x14ac:dyDescent="0.35">
      <c r="A112" s="1" t="s">
        <v>110</v>
      </c>
      <c r="B112" s="1" t="s">
        <v>273</v>
      </c>
      <c r="C112" t="s">
        <v>1084</v>
      </c>
      <c r="D112" s="4">
        <v>45079</v>
      </c>
      <c r="E112" s="1" t="s">
        <v>85</v>
      </c>
      <c r="F112" s="1" t="s">
        <v>31</v>
      </c>
      <c r="G112" t="s">
        <v>1086</v>
      </c>
      <c r="H112" s="1">
        <v>2481</v>
      </c>
      <c r="I112">
        <v>2575.83</v>
      </c>
      <c r="J112" s="1" t="s">
        <v>17</v>
      </c>
      <c r="K112" s="1" t="s">
        <v>32</v>
      </c>
      <c r="L112" s="1">
        <v>18</v>
      </c>
      <c r="M112" s="1" t="s">
        <v>42</v>
      </c>
    </row>
    <row r="113" spans="1:13" ht="15.75" customHeight="1" x14ac:dyDescent="0.35">
      <c r="A113" s="1" t="s">
        <v>275</v>
      </c>
      <c r="B113" t="s">
        <v>1083</v>
      </c>
      <c r="C113" t="s">
        <v>1084</v>
      </c>
      <c r="D113" s="4">
        <v>45075</v>
      </c>
      <c r="E113" s="1" t="s">
        <v>16</v>
      </c>
      <c r="F113" s="1" t="s">
        <v>23</v>
      </c>
      <c r="G113" s="1" t="s">
        <v>41</v>
      </c>
      <c r="H113">
        <v>2481</v>
      </c>
      <c r="I113" s="1">
        <v>3749.33</v>
      </c>
      <c r="J113" s="1" t="s">
        <v>17</v>
      </c>
      <c r="K113" s="1" t="s">
        <v>57</v>
      </c>
      <c r="L113">
        <v>9</v>
      </c>
      <c r="M113" t="s">
        <v>19</v>
      </c>
    </row>
    <row r="114" spans="1:13" ht="15.75" customHeight="1" x14ac:dyDescent="0.35">
      <c r="A114" s="1" t="s">
        <v>277</v>
      </c>
      <c r="B114" t="s">
        <v>1083</v>
      </c>
      <c r="C114" s="1" t="s">
        <v>278</v>
      </c>
      <c r="D114" s="4">
        <v>45269</v>
      </c>
      <c r="E114" s="1" t="s">
        <v>85</v>
      </c>
      <c r="F114" t="s">
        <v>1085</v>
      </c>
      <c r="G114" s="1" t="s">
        <v>24</v>
      </c>
      <c r="H114">
        <v>2481</v>
      </c>
      <c r="I114" s="1">
        <v>3600.92</v>
      </c>
      <c r="J114" s="1" t="s">
        <v>17</v>
      </c>
      <c r="K114" s="1" t="s">
        <v>26</v>
      </c>
      <c r="L114" s="1">
        <v>35</v>
      </c>
      <c r="M114" s="1" t="s">
        <v>65</v>
      </c>
    </row>
    <row r="115" spans="1:13" ht="15.75" customHeight="1" x14ac:dyDescent="0.35">
      <c r="A115" s="1" t="s">
        <v>43</v>
      </c>
      <c r="B115" t="s">
        <v>1083</v>
      </c>
      <c r="C115" s="1" t="s">
        <v>130</v>
      </c>
      <c r="D115" s="4">
        <v>45073</v>
      </c>
      <c r="E115" s="1" t="s">
        <v>16</v>
      </c>
      <c r="F115" s="1" t="s">
        <v>23</v>
      </c>
      <c r="G115" t="s">
        <v>1086</v>
      </c>
      <c r="H115" s="1">
        <v>2891.96</v>
      </c>
      <c r="I115" s="1">
        <v>4570.49</v>
      </c>
      <c r="J115" s="1" t="s">
        <v>25</v>
      </c>
      <c r="K115" s="1" t="s">
        <v>18</v>
      </c>
      <c r="L115" s="1">
        <v>59</v>
      </c>
      <c r="M115" s="1" t="s">
        <v>65</v>
      </c>
    </row>
    <row r="116" spans="1:13" ht="15.75" customHeight="1" x14ac:dyDescent="0.35">
      <c r="A116" s="1" t="s">
        <v>179</v>
      </c>
      <c r="B116" s="1" t="s">
        <v>280</v>
      </c>
      <c r="C116" t="s">
        <v>1084</v>
      </c>
      <c r="D116" s="4">
        <v>45079</v>
      </c>
      <c r="E116" s="1" t="s">
        <v>30</v>
      </c>
      <c r="F116" s="1" t="s">
        <v>23</v>
      </c>
      <c r="G116" s="1" t="s">
        <v>41</v>
      </c>
      <c r="H116" s="1">
        <v>2481</v>
      </c>
      <c r="I116" s="1">
        <v>4451.84</v>
      </c>
      <c r="J116" s="1" t="s">
        <v>17</v>
      </c>
      <c r="K116" s="1" t="s">
        <v>1093</v>
      </c>
      <c r="L116" s="1">
        <v>17</v>
      </c>
      <c r="M116" s="1" t="s">
        <v>19</v>
      </c>
    </row>
    <row r="117" spans="1:13" ht="15.75" customHeight="1" x14ac:dyDescent="0.35">
      <c r="A117" s="1" t="s">
        <v>114</v>
      </c>
      <c r="B117" t="s">
        <v>1083</v>
      </c>
      <c r="C117" t="s">
        <v>1084</v>
      </c>
      <c r="D117" s="4">
        <v>44934</v>
      </c>
      <c r="E117" s="1" t="s">
        <v>30</v>
      </c>
      <c r="F117" t="s">
        <v>1085</v>
      </c>
      <c r="G117" s="1" t="s">
        <v>24</v>
      </c>
      <c r="H117" s="1">
        <v>2481</v>
      </c>
      <c r="I117">
        <v>2575.83</v>
      </c>
      <c r="J117" s="1" t="s">
        <v>42</v>
      </c>
      <c r="K117" s="1" t="s">
        <v>26</v>
      </c>
      <c r="L117">
        <v>9</v>
      </c>
      <c r="M117" t="s">
        <v>19</v>
      </c>
    </row>
    <row r="118" spans="1:13" ht="15.75" customHeight="1" x14ac:dyDescent="0.35">
      <c r="A118" s="1" t="s">
        <v>102</v>
      </c>
      <c r="B118" t="s">
        <v>1083</v>
      </c>
      <c r="C118" s="1" t="s">
        <v>139</v>
      </c>
      <c r="D118" s="4">
        <v>44930</v>
      </c>
      <c r="E118" s="1" t="s">
        <v>77</v>
      </c>
      <c r="F118" s="1" t="s">
        <v>31</v>
      </c>
      <c r="G118" s="1" t="s">
        <v>41</v>
      </c>
      <c r="H118" s="1">
        <v>1544.63</v>
      </c>
      <c r="I118">
        <v>2575.83</v>
      </c>
      <c r="J118" s="1" t="s">
        <v>17</v>
      </c>
      <c r="K118" s="1" t="s">
        <v>26</v>
      </c>
      <c r="L118" s="1">
        <v>42</v>
      </c>
      <c r="M118" s="1" t="s">
        <v>65</v>
      </c>
    </row>
    <row r="119" spans="1:13" ht="15.75" customHeight="1" x14ac:dyDescent="0.35">
      <c r="A119" s="1" t="s">
        <v>192</v>
      </c>
      <c r="B119" t="s">
        <v>1083</v>
      </c>
      <c r="C119" t="s">
        <v>1084</v>
      </c>
      <c r="D119" s="4">
        <v>44987</v>
      </c>
      <c r="E119" s="1" t="s">
        <v>92</v>
      </c>
      <c r="F119" s="1" t="s">
        <v>47</v>
      </c>
      <c r="G119" s="1" t="s">
        <v>24</v>
      </c>
      <c r="H119" s="1">
        <v>2481</v>
      </c>
      <c r="I119">
        <v>2575.83</v>
      </c>
      <c r="J119" s="1" t="s">
        <v>17</v>
      </c>
      <c r="K119" s="1" t="s">
        <v>32</v>
      </c>
      <c r="L119">
        <v>9</v>
      </c>
      <c r="M119" t="s">
        <v>42</v>
      </c>
    </row>
    <row r="120" spans="1:13" ht="15.75" customHeight="1" x14ac:dyDescent="0.35">
      <c r="A120" s="1" t="s">
        <v>285</v>
      </c>
      <c r="B120" t="s">
        <v>1083</v>
      </c>
      <c r="C120" s="1" t="s">
        <v>158</v>
      </c>
      <c r="D120" s="4">
        <v>45053</v>
      </c>
      <c r="E120" s="1" t="s">
        <v>30</v>
      </c>
      <c r="F120" s="1" t="s">
        <v>53</v>
      </c>
      <c r="G120" s="1" t="s">
        <v>54</v>
      </c>
      <c r="H120" s="1">
        <v>3533.64</v>
      </c>
      <c r="I120">
        <v>2575.83</v>
      </c>
      <c r="J120" s="1" t="s">
        <v>17</v>
      </c>
      <c r="K120" s="1" t="s">
        <v>18</v>
      </c>
      <c r="L120">
        <v>9</v>
      </c>
      <c r="M120" t="s">
        <v>65</v>
      </c>
    </row>
    <row r="121" spans="1:13" ht="15.75" customHeight="1" x14ac:dyDescent="0.35">
      <c r="A121" s="1" t="s">
        <v>132</v>
      </c>
      <c r="B121" t="s">
        <v>1083</v>
      </c>
      <c r="C121" s="1" t="s">
        <v>218</v>
      </c>
      <c r="D121" s="4">
        <v>45032</v>
      </c>
      <c r="E121" s="1" t="s">
        <v>16</v>
      </c>
      <c r="F121" s="1" t="s">
        <v>47</v>
      </c>
      <c r="G121" s="1" t="s">
        <v>48</v>
      </c>
      <c r="H121">
        <v>2481</v>
      </c>
      <c r="I121">
        <v>2575.83</v>
      </c>
      <c r="J121" s="1" t="s">
        <v>17</v>
      </c>
      <c r="K121" s="1" t="s">
        <v>26</v>
      </c>
      <c r="L121">
        <v>9</v>
      </c>
      <c r="M121" t="s">
        <v>19</v>
      </c>
    </row>
    <row r="122" spans="1:13" ht="15.75" customHeight="1" x14ac:dyDescent="0.35">
      <c r="A122" s="1" t="s">
        <v>168</v>
      </c>
      <c r="B122" t="s">
        <v>1083</v>
      </c>
      <c r="C122" s="1" t="s">
        <v>177</v>
      </c>
      <c r="D122" s="4">
        <v>45038</v>
      </c>
      <c r="E122" s="1" t="s">
        <v>77</v>
      </c>
      <c r="F122" s="1" t="s">
        <v>31</v>
      </c>
      <c r="G122" t="s">
        <v>1086</v>
      </c>
      <c r="H122" s="1">
        <v>365.61</v>
      </c>
      <c r="I122">
        <v>2575.83</v>
      </c>
      <c r="J122" s="1" t="s">
        <v>25</v>
      </c>
      <c r="K122" s="1" t="s">
        <v>32</v>
      </c>
      <c r="L122" s="1">
        <v>26</v>
      </c>
      <c r="M122" s="1" t="s">
        <v>65</v>
      </c>
    </row>
    <row r="123" spans="1:13" ht="15.75" customHeight="1" x14ac:dyDescent="0.35">
      <c r="A123" s="1" t="s">
        <v>202</v>
      </c>
      <c r="B123" t="s">
        <v>1083</v>
      </c>
      <c r="C123" t="s">
        <v>1084</v>
      </c>
      <c r="D123" s="4">
        <v>45122</v>
      </c>
      <c r="E123" s="1" t="s">
        <v>77</v>
      </c>
      <c r="F123" s="1" t="s">
        <v>23</v>
      </c>
      <c r="G123" t="s">
        <v>1086</v>
      </c>
      <c r="H123">
        <v>2481</v>
      </c>
      <c r="I123">
        <v>2575.83</v>
      </c>
      <c r="J123" s="1" t="s">
        <v>25</v>
      </c>
      <c r="K123" s="1" t="s">
        <v>18</v>
      </c>
      <c r="L123">
        <v>9</v>
      </c>
      <c r="M123" t="s">
        <v>42</v>
      </c>
    </row>
    <row r="124" spans="1:13" ht="15.75" customHeight="1" x14ac:dyDescent="0.35">
      <c r="A124" s="1" t="s">
        <v>277</v>
      </c>
      <c r="B124" s="1" t="s">
        <v>270</v>
      </c>
      <c r="C124" s="1" t="s">
        <v>290</v>
      </c>
      <c r="D124" s="4">
        <v>45271</v>
      </c>
      <c r="E124" s="1" t="s">
        <v>30</v>
      </c>
      <c r="F124" s="1" t="s">
        <v>53</v>
      </c>
      <c r="G124" s="1" t="s">
        <v>54</v>
      </c>
      <c r="H124">
        <v>2481</v>
      </c>
      <c r="I124" s="1">
        <v>2330.1</v>
      </c>
      <c r="J124" s="1" t="s">
        <v>42</v>
      </c>
      <c r="K124" s="1" t="s">
        <v>18</v>
      </c>
      <c r="L124">
        <v>9</v>
      </c>
      <c r="M124" t="s">
        <v>19</v>
      </c>
    </row>
    <row r="125" spans="1:13" ht="15.75" customHeight="1" x14ac:dyDescent="0.35">
      <c r="A125" s="1" t="s">
        <v>166</v>
      </c>
      <c r="B125" t="s">
        <v>1083</v>
      </c>
      <c r="C125" s="1" t="s">
        <v>263</v>
      </c>
      <c r="D125" s="4">
        <v>45050</v>
      </c>
      <c r="E125" s="1" t="s">
        <v>30</v>
      </c>
      <c r="F125" s="1" t="s">
        <v>23</v>
      </c>
      <c r="G125" s="1" t="s">
        <v>48</v>
      </c>
      <c r="H125" s="1">
        <v>3009.04</v>
      </c>
      <c r="I125" s="1">
        <v>1261.43</v>
      </c>
      <c r="J125" s="1" t="s">
        <v>25</v>
      </c>
      <c r="K125" s="1" t="s">
        <v>1093</v>
      </c>
      <c r="L125">
        <v>9</v>
      </c>
      <c r="M125" t="s">
        <v>65</v>
      </c>
    </row>
    <row r="126" spans="1:13" ht="15.75" customHeight="1" x14ac:dyDescent="0.35">
      <c r="A126" s="1" t="s">
        <v>231</v>
      </c>
      <c r="B126" s="1" t="s">
        <v>293</v>
      </c>
      <c r="C126" t="s">
        <v>1084</v>
      </c>
      <c r="D126" s="4">
        <v>45090</v>
      </c>
      <c r="E126" s="1" t="s">
        <v>30</v>
      </c>
      <c r="F126" t="s">
        <v>1085</v>
      </c>
      <c r="G126" s="1" t="s">
        <v>41</v>
      </c>
      <c r="H126">
        <v>2481</v>
      </c>
      <c r="I126">
        <v>2575.83</v>
      </c>
      <c r="J126" s="1" t="s">
        <v>25</v>
      </c>
      <c r="K126" s="1" t="s">
        <v>57</v>
      </c>
      <c r="L126">
        <v>9</v>
      </c>
      <c r="M126" t="s">
        <v>65</v>
      </c>
    </row>
    <row r="127" spans="1:13" ht="15.75" customHeight="1" x14ac:dyDescent="0.35">
      <c r="A127" s="1" t="s">
        <v>13</v>
      </c>
      <c r="B127" t="s">
        <v>1083</v>
      </c>
      <c r="C127" t="s">
        <v>1084</v>
      </c>
      <c r="D127" s="4">
        <v>45256</v>
      </c>
      <c r="E127" s="1" t="s">
        <v>77</v>
      </c>
      <c r="F127" s="1" t="s">
        <v>47</v>
      </c>
      <c r="G127" s="1" t="s">
        <v>41</v>
      </c>
      <c r="H127">
        <v>2481</v>
      </c>
      <c r="I127" s="1">
        <v>1534.45</v>
      </c>
      <c r="J127" s="1" t="s">
        <v>17</v>
      </c>
      <c r="K127" s="1" t="s">
        <v>1093</v>
      </c>
      <c r="L127" s="1">
        <v>15</v>
      </c>
      <c r="M127" s="1" t="s">
        <v>19</v>
      </c>
    </row>
    <row r="128" spans="1:13" ht="15.75" customHeight="1" x14ac:dyDescent="0.35">
      <c r="A128" s="1" t="s">
        <v>137</v>
      </c>
      <c r="B128" t="s">
        <v>1083</v>
      </c>
      <c r="C128" t="s">
        <v>1084</v>
      </c>
      <c r="D128" s="4">
        <v>45140</v>
      </c>
      <c r="E128" s="1" t="s">
        <v>77</v>
      </c>
      <c r="F128" s="1" t="s">
        <v>93</v>
      </c>
      <c r="G128" s="1" t="s">
        <v>41</v>
      </c>
      <c r="H128" s="1">
        <v>1056.52</v>
      </c>
      <c r="I128">
        <v>2575.83</v>
      </c>
      <c r="J128" s="1" t="s">
        <v>25</v>
      </c>
      <c r="K128" s="1" t="s">
        <v>57</v>
      </c>
      <c r="L128" s="1">
        <v>46</v>
      </c>
      <c r="M128" s="1" t="s">
        <v>19</v>
      </c>
    </row>
    <row r="129" spans="1:13" ht="15.75" customHeight="1" x14ac:dyDescent="0.35">
      <c r="A129" s="1" t="s">
        <v>38</v>
      </c>
      <c r="B129" t="s">
        <v>1083</v>
      </c>
      <c r="C129" s="1" t="s">
        <v>161</v>
      </c>
      <c r="D129" s="4">
        <v>45227</v>
      </c>
      <c r="E129" s="1" t="s">
        <v>16</v>
      </c>
      <c r="F129" s="1" t="s">
        <v>47</v>
      </c>
      <c r="G129" s="1" t="s">
        <v>24</v>
      </c>
      <c r="H129">
        <v>2481</v>
      </c>
      <c r="I129" s="1">
        <v>4787.25</v>
      </c>
      <c r="J129" s="1" t="s">
        <v>17</v>
      </c>
      <c r="K129" s="1" t="s">
        <v>18</v>
      </c>
      <c r="L129" s="1">
        <v>47</v>
      </c>
      <c r="M129" s="1" t="s">
        <v>65</v>
      </c>
    </row>
    <row r="130" spans="1:13" ht="15.75" customHeight="1" x14ac:dyDescent="0.35">
      <c r="A130" s="1" t="s">
        <v>170</v>
      </c>
      <c r="B130" t="s">
        <v>1083</v>
      </c>
      <c r="C130" s="1" t="s">
        <v>271</v>
      </c>
      <c r="D130" s="4">
        <v>45049</v>
      </c>
      <c r="E130" s="1" t="s">
        <v>85</v>
      </c>
      <c r="F130" s="1" t="s">
        <v>31</v>
      </c>
      <c r="G130" s="1" t="s">
        <v>48</v>
      </c>
      <c r="H130">
        <v>2481</v>
      </c>
      <c r="I130">
        <v>2575.83</v>
      </c>
      <c r="J130" s="1" t="s">
        <v>17</v>
      </c>
      <c r="K130" s="1" t="s">
        <v>1093</v>
      </c>
      <c r="L130" s="1">
        <v>29</v>
      </c>
      <c r="M130" s="1" t="s">
        <v>65</v>
      </c>
    </row>
    <row r="131" spans="1:13" ht="15.75" customHeight="1" x14ac:dyDescent="0.35">
      <c r="A131" s="1" t="s">
        <v>231</v>
      </c>
      <c r="B131" s="1" t="s">
        <v>299</v>
      </c>
      <c r="C131" t="s">
        <v>1084</v>
      </c>
      <c r="D131" s="4">
        <v>45138</v>
      </c>
      <c r="E131" s="1" t="s">
        <v>16</v>
      </c>
      <c r="F131" s="1" t="s">
        <v>93</v>
      </c>
      <c r="G131" s="1" t="s">
        <v>61</v>
      </c>
      <c r="H131" s="1">
        <v>2481</v>
      </c>
      <c r="I131" s="1">
        <v>1511.2</v>
      </c>
      <c r="J131" s="1" t="s">
        <v>42</v>
      </c>
      <c r="K131" s="1" t="s">
        <v>18</v>
      </c>
      <c r="L131">
        <v>9</v>
      </c>
      <c r="M131" t="s">
        <v>65</v>
      </c>
    </row>
    <row r="132" spans="1:13" ht="15.75" customHeight="1" x14ac:dyDescent="0.35">
      <c r="A132" s="1" t="s">
        <v>117</v>
      </c>
      <c r="B132" t="s">
        <v>1083</v>
      </c>
      <c r="C132" t="s">
        <v>1084</v>
      </c>
      <c r="D132" s="4">
        <v>45255</v>
      </c>
      <c r="E132" s="1" t="s">
        <v>77</v>
      </c>
      <c r="F132" s="1" t="s">
        <v>53</v>
      </c>
      <c r="G132" s="1" t="s">
        <v>24</v>
      </c>
      <c r="H132">
        <v>2481</v>
      </c>
      <c r="I132">
        <v>2575.83</v>
      </c>
      <c r="J132" s="1" t="s">
        <v>25</v>
      </c>
      <c r="K132" s="1" t="s">
        <v>18</v>
      </c>
      <c r="L132">
        <v>9</v>
      </c>
      <c r="M132" t="s">
        <v>19</v>
      </c>
    </row>
    <row r="133" spans="1:13" ht="15.75" customHeight="1" x14ac:dyDescent="0.35">
      <c r="A133" s="1" t="s">
        <v>302</v>
      </c>
      <c r="B133" s="1" t="s">
        <v>303</v>
      </c>
      <c r="C133" s="1" t="s">
        <v>158</v>
      </c>
      <c r="D133" s="4">
        <v>44997</v>
      </c>
      <c r="E133" s="1" t="s">
        <v>85</v>
      </c>
      <c r="F133" s="1" t="s">
        <v>23</v>
      </c>
      <c r="G133" t="s">
        <v>1086</v>
      </c>
      <c r="H133" s="1">
        <v>2481</v>
      </c>
      <c r="I133">
        <v>2575.83</v>
      </c>
      <c r="J133" s="1" t="s">
        <v>17</v>
      </c>
      <c r="K133" s="1" t="s">
        <v>1093</v>
      </c>
      <c r="L133">
        <v>9</v>
      </c>
      <c r="M133" t="s">
        <v>19</v>
      </c>
    </row>
    <row r="134" spans="1:13" ht="15.75" customHeight="1" x14ac:dyDescent="0.35">
      <c r="A134" s="1" t="s">
        <v>89</v>
      </c>
      <c r="B134" t="s">
        <v>1083</v>
      </c>
      <c r="C134" s="1" t="s">
        <v>305</v>
      </c>
      <c r="D134" s="4">
        <v>45067</v>
      </c>
      <c r="E134" s="1" t="s">
        <v>92</v>
      </c>
      <c r="F134" s="1" t="s">
        <v>23</v>
      </c>
      <c r="G134" s="1" t="s">
        <v>54</v>
      </c>
      <c r="H134" s="1">
        <v>2481</v>
      </c>
      <c r="I134" s="1">
        <v>4040.53</v>
      </c>
      <c r="J134" s="1" t="s">
        <v>25</v>
      </c>
      <c r="K134" s="1" t="s">
        <v>26</v>
      </c>
      <c r="L134" s="1">
        <v>33</v>
      </c>
      <c r="M134" s="1" t="s">
        <v>65</v>
      </c>
    </row>
    <row r="135" spans="1:13" ht="15.75" customHeight="1" x14ac:dyDescent="0.35">
      <c r="A135" s="1" t="s">
        <v>212</v>
      </c>
      <c r="B135" t="s">
        <v>1083</v>
      </c>
      <c r="C135" t="s">
        <v>1084</v>
      </c>
      <c r="D135" s="4">
        <v>45130</v>
      </c>
      <c r="E135" s="1" t="s">
        <v>77</v>
      </c>
      <c r="F135" s="1" t="s">
        <v>53</v>
      </c>
      <c r="G135" s="1" t="s">
        <v>54</v>
      </c>
      <c r="H135">
        <v>2481</v>
      </c>
      <c r="I135" s="1">
        <v>1534.87</v>
      </c>
      <c r="J135" s="1" t="s">
        <v>25</v>
      </c>
      <c r="K135" s="1" t="s">
        <v>26</v>
      </c>
      <c r="L135">
        <v>9</v>
      </c>
      <c r="M135" t="s">
        <v>65</v>
      </c>
    </row>
    <row r="136" spans="1:13" ht="15.75" customHeight="1" x14ac:dyDescent="0.35">
      <c r="A136" s="1" t="s">
        <v>20</v>
      </c>
      <c r="B136" s="1" t="s">
        <v>266</v>
      </c>
      <c r="C136" s="1" t="s">
        <v>308</v>
      </c>
      <c r="D136" s="4">
        <v>45014</v>
      </c>
      <c r="E136" s="1" t="s">
        <v>85</v>
      </c>
      <c r="F136" s="1" t="s">
        <v>53</v>
      </c>
      <c r="G136" t="s">
        <v>1086</v>
      </c>
      <c r="H136" s="1">
        <v>3932.66</v>
      </c>
      <c r="I136" s="1">
        <v>4479.22</v>
      </c>
      <c r="J136" s="1" t="s">
        <v>17</v>
      </c>
      <c r="K136" s="1" t="s">
        <v>18</v>
      </c>
      <c r="L136">
        <v>9</v>
      </c>
      <c r="M136" t="s">
        <v>42</v>
      </c>
    </row>
    <row r="137" spans="1:13" ht="15.75" customHeight="1" x14ac:dyDescent="0.35">
      <c r="A137" s="1" t="s">
        <v>285</v>
      </c>
      <c r="B137" s="1" t="s">
        <v>310</v>
      </c>
      <c r="C137" t="s">
        <v>1084</v>
      </c>
      <c r="D137" s="4">
        <v>45205</v>
      </c>
      <c r="E137" s="1" t="s">
        <v>85</v>
      </c>
      <c r="F137" s="1" t="s">
        <v>31</v>
      </c>
      <c r="G137" s="1" t="s">
        <v>61</v>
      </c>
      <c r="H137">
        <v>2481</v>
      </c>
      <c r="I137">
        <v>2575.83</v>
      </c>
      <c r="J137" s="1" t="s">
        <v>25</v>
      </c>
      <c r="K137" s="1" t="s">
        <v>26</v>
      </c>
      <c r="L137" s="1">
        <v>19</v>
      </c>
      <c r="M137" s="1" t="s">
        <v>42</v>
      </c>
    </row>
    <row r="138" spans="1:13" ht="15.75" customHeight="1" x14ac:dyDescent="0.35">
      <c r="A138" s="1" t="s">
        <v>170</v>
      </c>
      <c r="B138" t="s">
        <v>1083</v>
      </c>
      <c r="C138" t="s">
        <v>1084</v>
      </c>
      <c r="D138" s="4">
        <v>45279</v>
      </c>
      <c r="E138" s="1" t="s">
        <v>16</v>
      </c>
      <c r="F138" s="1" t="s">
        <v>47</v>
      </c>
      <c r="G138" t="s">
        <v>1086</v>
      </c>
      <c r="H138" s="1">
        <v>4872.8999999999996</v>
      </c>
      <c r="I138" s="1">
        <v>2213.59</v>
      </c>
      <c r="J138" s="1" t="s">
        <v>42</v>
      </c>
      <c r="K138" s="1" t="s">
        <v>57</v>
      </c>
      <c r="L138">
        <v>9</v>
      </c>
      <c r="M138" t="s">
        <v>42</v>
      </c>
    </row>
    <row r="139" spans="1:13" ht="15.75" customHeight="1" x14ac:dyDescent="0.35">
      <c r="A139" s="1" t="s">
        <v>78</v>
      </c>
      <c r="B139" t="s">
        <v>1083</v>
      </c>
      <c r="C139" t="s">
        <v>1084</v>
      </c>
      <c r="D139" s="4">
        <v>45178</v>
      </c>
      <c r="E139" s="1" t="s">
        <v>30</v>
      </c>
      <c r="F139" s="1" t="s">
        <v>53</v>
      </c>
      <c r="G139" s="1" t="s">
        <v>48</v>
      </c>
      <c r="H139" s="1">
        <v>2481</v>
      </c>
      <c r="I139">
        <v>2575.83</v>
      </c>
      <c r="J139" s="1" t="s">
        <v>42</v>
      </c>
      <c r="K139" s="1" t="s">
        <v>18</v>
      </c>
      <c r="L139" s="1">
        <v>45</v>
      </c>
      <c r="M139" s="1" t="s">
        <v>19</v>
      </c>
    </row>
    <row r="140" spans="1:13" ht="15.75" customHeight="1" x14ac:dyDescent="0.35">
      <c r="A140" s="1" t="s">
        <v>38</v>
      </c>
      <c r="B140" t="s">
        <v>1083</v>
      </c>
      <c r="C140" s="1" t="s">
        <v>314</v>
      </c>
      <c r="D140" s="4">
        <v>45126</v>
      </c>
      <c r="E140" s="1" t="s">
        <v>16</v>
      </c>
      <c r="F140" s="1" t="s">
        <v>23</v>
      </c>
      <c r="G140" s="1" t="s">
        <v>41</v>
      </c>
      <c r="H140" s="1">
        <v>2251.44</v>
      </c>
      <c r="I140" s="1">
        <v>705.91</v>
      </c>
      <c r="J140" s="1" t="s">
        <v>25</v>
      </c>
      <c r="K140" s="1" t="s">
        <v>1093</v>
      </c>
      <c r="L140">
        <v>9</v>
      </c>
      <c r="M140" t="s">
        <v>42</v>
      </c>
    </row>
    <row r="141" spans="1:13" ht="15.75" customHeight="1" x14ac:dyDescent="0.35">
      <c r="A141" s="1" t="s">
        <v>70</v>
      </c>
      <c r="B141" s="1" t="s">
        <v>316</v>
      </c>
      <c r="C141" t="s">
        <v>1084</v>
      </c>
      <c r="D141" s="4">
        <v>45232</v>
      </c>
      <c r="E141" s="1" t="s">
        <v>85</v>
      </c>
      <c r="F141" s="1" t="s">
        <v>31</v>
      </c>
      <c r="G141" s="1" t="s">
        <v>48</v>
      </c>
      <c r="H141" s="1">
        <v>2481</v>
      </c>
      <c r="I141">
        <v>2575.83</v>
      </c>
      <c r="J141" s="1" t="s">
        <v>17</v>
      </c>
      <c r="K141" s="1" t="s">
        <v>18</v>
      </c>
      <c r="L141">
        <v>9</v>
      </c>
      <c r="M141" t="s">
        <v>65</v>
      </c>
    </row>
    <row r="142" spans="1:13" ht="15.75" customHeight="1" x14ac:dyDescent="0.35">
      <c r="A142" s="1" t="s">
        <v>275</v>
      </c>
      <c r="B142" s="1" t="s">
        <v>317</v>
      </c>
      <c r="C142" t="s">
        <v>1084</v>
      </c>
      <c r="D142" s="4">
        <v>45081</v>
      </c>
      <c r="E142" s="1" t="s">
        <v>16</v>
      </c>
      <c r="F142" s="1" t="s">
        <v>93</v>
      </c>
      <c r="G142" s="1" t="s">
        <v>48</v>
      </c>
      <c r="H142" s="1">
        <v>2481</v>
      </c>
      <c r="I142">
        <v>2575.83</v>
      </c>
      <c r="J142" s="1" t="s">
        <v>42</v>
      </c>
      <c r="K142" s="1" t="s">
        <v>18</v>
      </c>
      <c r="L142">
        <v>9</v>
      </c>
      <c r="M142" t="s">
        <v>65</v>
      </c>
    </row>
    <row r="143" spans="1:13" ht="15.75" customHeight="1" x14ac:dyDescent="0.35">
      <c r="A143" s="1" t="s">
        <v>154</v>
      </c>
      <c r="B143" s="1" t="s">
        <v>319</v>
      </c>
      <c r="C143" s="1" t="s">
        <v>152</v>
      </c>
      <c r="D143" s="4">
        <v>45082</v>
      </c>
      <c r="E143" s="1" t="s">
        <v>92</v>
      </c>
      <c r="F143" s="1" t="s">
        <v>47</v>
      </c>
      <c r="G143" s="1" t="s">
        <v>48</v>
      </c>
      <c r="H143" s="1">
        <v>2481</v>
      </c>
      <c r="I143">
        <v>2575.83</v>
      </c>
      <c r="J143" s="1" t="s">
        <v>17</v>
      </c>
      <c r="K143" s="1" t="s">
        <v>18</v>
      </c>
      <c r="L143">
        <v>9</v>
      </c>
      <c r="M143" t="s">
        <v>42</v>
      </c>
    </row>
    <row r="144" spans="1:13" ht="15.75" customHeight="1" x14ac:dyDescent="0.35">
      <c r="A144" s="1" t="s">
        <v>321</v>
      </c>
      <c r="B144" t="s">
        <v>1083</v>
      </c>
      <c r="C144" s="1" t="s">
        <v>258</v>
      </c>
      <c r="D144" s="4">
        <v>45076</v>
      </c>
      <c r="E144" s="1" t="s">
        <v>16</v>
      </c>
      <c r="F144" t="s">
        <v>1085</v>
      </c>
      <c r="G144" s="1" t="s">
        <v>48</v>
      </c>
      <c r="H144">
        <v>2481</v>
      </c>
      <c r="I144">
        <v>2575.83</v>
      </c>
      <c r="J144" s="1" t="s">
        <v>42</v>
      </c>
      <c r="K144" s="1" t="s">
        <v>26</v>
      </c>
      <c r="L144">
        <v>9</v>
      </c>
      <c r="M144" t="s">
        <v>65</v>
      </c>
    </row>
    <row r="145" spans="1:13" ht="15.75" customHeight="1" x14ac:dyDescent="0.35">
      <c r="A145" s="1" t="s">
        <v>66</v>
      </c>
      <c r="B145" s="1" t="s">
        <v>323</v>
      </c>
      <c r="C145" s="1" t="s">
        <v>135</v>
      </c>
      <c r="D145" s="4">
        <v>45289</v>
      </c>
      <c r="E145" s="1" t="s">
        <v>85</v>
      </c>
      <c r="F145" s="1" t="s">
        <v>31</v>
      </c>
      <c r="G145" t="s">
        <v>1086</v>
      </c>
      <c r="H145" s="1">
        <v>2481</v>
      </c>
      <c r="I145">
        <v>2575.83</v>
      </c>
      <c r="J145" s="1" t="s">
        <v>17</v>
      </c>
      <c r="K145" s="1" t="s">
        <v>32</v>
      </c>
      <c r="L145" s="1">
        <v>42</v>
      </c>
      <c r="M145" s="1" t="s">
        <v>65</v>
      </c>
    </row>
    <row r="146" spans="1:13" ht="15.75" customHeight="1" x14ac:dyDescent="0.35">
      <c r="A146" s="1" t="s">
        <v>179</v>
      </c>
      <c r="B146" s="1" t="s">
        <v>325</v>
      </c>
      <c r="C146" t="s">
        <v>1084</v>
      </c>
      <c r="D146" s="4">
        <v>45200</v>
      </c>
      <c r="E146" s="1" t="s">
        <v>85</v>
      </c>
      <c r="F146" t="s">
        <v>1085</v>
      </c>
      <c r="G146" s="1" t="s">
        <v>48</v>
      </c>
      <c r="H146" s="1">
        <v>2741.04</v>
      </c>
      <c r="I146" s="1">
        <v>591.38</v>
      </c>
      <c r="J146" s="1" t="s">
        <v>42</v>
      </c>
      <c r="K146" s="1" t="s">
        <v>18</v>
      </c>
      <c r="L146">
        <v>9</v>
      </c>
      <c r="M146" t="s">
        <v>19</v>
      </c>
    </row>
    <row r="147" spans="1:13" ht="15.75" customHeight="1" x14ac:dyDescent="0.35">
      <c r="A147" s="1" t="s">
        <v>209</v>
      </c>
      <c r="B147" t="s">
        <v>1083</v>
      </c>
      <c r="C147" t="s">
        <v>1084</v>
      </c>
      <c r="D147" s="4">
        <v>45096</v>
      </c>
      <c r="E147" s="1" t="s">
        <v>16</v>
      </c>
      <c r="F147" s="1" t="s">
        <v>31</v>
      </c>
      <c r="G147" s="1" t="s">
        <v>24</v>
      </c>
      <c r="H147">
        <v>2481</v>
      </c>
      <c r="I147">
        <v>2575.83</v>
      </c>
      <c r="J147" s="1" t="s">
        <v>25</v>
      </c>
      <c r="K147" s="1" t="s">
        <v>57</v>
      </c>
      <c r="L147">
        <v>9</v>
      </c>
      <c r="M147" t="s">
        <v>65</v>
      </c>
    </row>
    <row r="148" spans="1:13" ht="15.75" customHeight="1" x14ac:dyDescent="0.35">
      <c r="A148" s="1" t="s">
        <v>28</v>
      </c>
      <c r="B148" t="s">
        <v>1083</v>
      </c>
      <c r="C148" t="s">
        <v>1084</v>
      </c>
      <c r="D148" s="4">
        <v>44986</v>
      </c>
      <c r="E148" s="1" t="s">
        <v>85</v>
      </c>
      <c r="F148" s="1" t="s">
        <v>31</v>
      </c>
      <c r="G148" s="1" t="s">
        <v>41</v>
      </c>
      <c r="H148" s="1">
        <v>2481</v>
      </c>
      <c r="I148" s="1">
        <v>1774.09</v>
      </c>
      <c r="J148" s="1" t="s">
        <v>25</v>
      </c>
      <c r="K148" s="1" t="s">
        <v>1093</v>
      </c>
      <c r="L148" s="1">
        <v>20</v>
      </c>
      <c r="M148" s="1" t="s">
        <v>19</v>
      </c>
    </row>
    <row r="149" spans="1:13" ht="15.75" customHeight="1" x14ac:dyDescent="0.35">
      <c r="A149" s="1" t="s">
        <v>166</v>
      </c>
      <c r="B149" s="1" t="s">
        <v>329</v>
      </c>
      <c r="C149" t="s">
        <v>1084</v>
      </c>
      <c r="D149" s="4">
        <v>45258</v>
      </c>
      <c r="E149" s="1" t="s">
        <v>16</v>
      </c>
      <c r="F149" s="1" t="s">
        <v>93</v>
      </c>
      <c r="G149" s="1" t="s">
        <v>54</v>
      </c>
      <c r="H149">
        <v>2481</v>
      </c>
      <c r="I149">
        <v>2575.83</v>
      </c>
      <c r="J149" s="1" t="s">
        <v>17</v>
      </c>
      <c r="K149" s="1" t="s">
        <v>1093</v>
      </c>
      <c r="L149" s="1">
        <v>40</v>
      </c>
      <c r="M149" s="1" t="s">
        <v>65</v>
      </c>
    </row>
    <row r="150" spans="1:13" ht="15.75" customHeight="1" x14ac:dyDescent="0.35">
      <c r="A150" s="1" t="s">
        <v>13</v>
      </c>
      <c r="B150" t="s">
        <v>1083</v>
      </c>
      <c r="C150" s="1" t="s">
        <v>331</v>
      </c>
      <c r="D150" s="4">
        <v>45157</v>
      </c>
      <c r="E150" s="1" t="s">
        <v>77</v>
      </c>
      <c r="F150" s="1" t="s">
        <v>53</v>
      </c>
      <c r="G150" s="1" t="s">
        <v>61</v>
      </c>
      <c r="H150">
        <v>2481</v>
      </c>
      <c r="I150" s="1">
        <v>3774.01</v>
      </c>
      <c r="J150" s="1" t="s">
        <v>17</v>
      </c>
      <c r="K150" s="1" t="s">
        <v>26</v>
      </c>
      <c r="L150">
        <v>9</v>
      </c>
      <c r="M150" t="s">
        <v>65</v>
      </c>
    </row>
    <row r="151" spans="1:13" ht="15.75" customHeight="1" x14ac:dyDescent="0.35">
      <c r="A151" s="1" t="s">
        <v>242</v>
      </c>
      <c r="B151" s="1" t="s">
        <v>333</v>
      </c>
      <c r="C151" s="1" t="s">
        <v>152</v>
      </c>
      <c r="D151" s="4">
        <v>45177</v>
      </c>
      <c r="E151" s="1" t="s">
        <v>16</v>
      </c>
      <c r="F151" s="1" t="s">
        <v>31</v>
      </c>
      <c r="G151" s="1" t="s">
        <v>54</v>
      </c>
      <c r="H151" s="1">
        <v>1973.76</v>
      </c>
      <c r="I151">
        <v>2575.83</v>
      </c>
      <c r="J151" s="1" t="s">
        <v>17</v>
      </c>
      <c r="K151" s="1" t="s">
        <v>18</v>
      </c>
      <c r="L151">
        <v>9</v>
      </c>
      <c r="M151" t="s">
        <v>19</v>
      </c>
    </row>
    <row r="152" spans="1:13" ht="15.75" customHeight="1" x14ac:dyDescent="0.35">
      <c r="A152" s="1" t="s">
        <v>110</v>
      </c>
      <c r="B152" s="1" t="s">
        <v>335</v>
      </c>
      <c r="C152" s="1" t="s">
        <v>243</v>
      </c>
      <c r="D152" s="4">
        <v>44987</v>
      </c>
      <c r="E152" s="1" t="s">
        <v>16</v>
      </c>
      <c r="F152" s="1" t="s">
        <v>93</v>
      </c>
      <c r="G152" s="1" t="s">
        <v>41</v>
      </c>
      <c r="H152" s="1">
        <v>2481</v>
      </c>
      <c r="I152" s="1">
        <v>2120.2800000000002</v>
      </c>
      <c r="J152" s="1" t="s">
        <v>17</v>
      </c>
      <c r="K152" s="1" t="s">
        <v>1093</v>
      </c>
      <c r="L152" s="1">
        <v>27</v>
      </c>
      <c r="M152" s="1" t="s">
        <v>65</v>
      </c>
    </row>
    <row r="153" spans="1:13" ht="15.75" customHeight="1" x14ac:dyDescent="0.35">
      <c r="A153" s="1" t="s">
        <v>13</v>
      </c>
      <c r="B153" t="s">
        <v>1083</v>
      </c>
      <c r="C153" s="1" t="s">
        <v>336</v>
      </c>
      <c r="D153" s="4">
        <v>45012</v>
      </c>
      <c r="E153" s="1" t="s">
        <v>85</v>
      </c>
      <c r="F153" s="1" t="s">
        <v>93</v>
      </c>
      <c r="G153" s="1" t="s">
        <v>41</v>
      </c>
      <c r="H153" s="1">
        <v>4217.83</v>
      </c>
      <c r="I153" s="1">
        <v>4334.34</v>
      </c>
      <c r="J153" s="1" t="s">
        <v>25</v>
      </c>
      <c r="K153" s="1" t="s">
        <v>18</v>
      </c>
      <c r="L153">
        <v>9</v>
      </c>
      <c r="M153" t="s">
        <v>42</v>
      </c>
    </row>
    <row r="154" spans="1:13" ht="15.75" customHeight="1" x14ac:dyDescent="0.35">
      <c r="A154" s="1" t="s">
        <v>163</v>
      </c>
      <c r="B154" t="s">
        <v>1083</v>
      </c>
      <c r="C154" t="s">
        <v>1084</v>
      </c>
      <c r="D154" s="4">
        <v>45290</v>
      </c>
      <c r="E154" s="1" t="s">
        <v>85</v>
      </c>
      <c r="F154" s="1" t="s">
        <v>23</v>
      </c>
      <c r="G154" s="1" t="s">
        <v>54</v>
      </c>
      <c r="H154">
        <v>2481</v>
      </c>
      <c r="I154" s="1">
        <v>211.84</v>
      </c>
      <c r="J154" s="1" t="s">
        <v>17</v>
      </c>
      <c r="K154" s="1" t="s">
        <v>32</v>
      </c>
      <c r="L154">
        <v>9</v>
      </c>
      <c r="M154" t="s">
        <v>42</v>
      </c>
    </row>
    <row r="155" spans="1:13" ht="15.75" customHeight="1" x14ac:dyDescent="0.35">
      <c r="A155" s="1" t="s">
        <v>148</v>
      </c>
      <c r="B155" t="s">
        <v>1083</v>
      </c>
      <c r="C155" s="1" t="s">
        <v>228</v>
      </c>
      <c r="D155" s="4">
        <v>45064</v>
      </c>
      <c r="E155" s="1" t="s">
        <v>85</v>
      </c>
      <c r="F155" s="1" t="s">
        <v>31</v>
      </c>
      <c r="G155" s="1" t="s">
        <v>54</v>
      </c>
      <c r="H155" s="1">
        <v>2481</v>
      </c>
      <c r="I155">
        <v>2575.83</v>
      </c>
      <c r="J155" s="1" t="s">
        <v>25</v>
      </c>
      <c r="K155" s="1" t="s">
        <v>18</v>
      </c>
      <c r="L155" s="1">
        <v>19</v>
      </c>
      <c r="M155" s="1" t="s">
        <v>65</v>
      </c>
    </row>
    <row r="156" spans="1:13" ht="15.75" customHeight="1" x14ac:dyDescent="0.35">
      <c r="A156" s="1" t="s">
        <v>247</v>
      </c>
      <c r="B156" s="1" t="s">
        <v>340</v>
      </c>
      <c r="C156" s="1" t="s">
        <v>218</v>
      </c>
      <c r="D156" s="4">
        <v>45228</v>
      </c>
      <c r="E156" s="1" t="s">
        <v>92</v>
      </c>
      <c r="F156" t="s">
        <v>1085</v>
      </c>
      <c r="G156" s="1" t="s">
        <v>54</v>
      </c>
      <c r="H156">
        <v>2481</v>
      </c>
      <c r="I156" s="1">
        <v>3935</v>
      </c>
      <c r="J156" s="1" t="s">
        <v>25</v>
      </c>
      <c r="K156" s="1" t="s">
        <v>57</v>
      </c>
      <c r="L156">
        <v>9</v>
      </c>
      <c r="M156" t="s">
        <v>19</v>
      </c>
    </row>
    <row r="157" spans="1:13" ht="15.75" customHeight="1" x14ac:dyDescent="0.35">
      <c r="A157" s="1" t="s">
        <v>154</v>
      </c>
      <c r="B157" s="1" t="s">
        <v>342</v>
      </c>
      <c r="C157" t="s">
        <v>1084</v>
      </c>
      <c r="D157" s="4">
        <v>45063</v>
      </c>
      <c r="E157" s="1" t="s">
        <v>16</v>
      </c>
      <c r="F157" s="1" t="s">
        <v>23</v>
      </c>
      <c r="G157" s="1" t="s">
        <v>24</v>
      </c>
      <c r="H157" s="1">
        <v>4815.72</v>
      </c>
      <c r="I157">
        <v>2575.83</v>
      </c>
      <c r="J157" s="1" t="s">
        <v>17</v>
      </c>
      <c r="K157" s="1" t="s">
        <v>18</v>
      </c>
      <c r="L157" s="1">
        <v>15</v>
      </c>
      <c r="M157" s="1" t="s">
        <v>19</v>
      </c>
    </row>
    <row r="158" spans="1:13" ht="15.75" customHeight="1" x14ac:dyDescent="0.35">
      <c r="A158" s="1" t="s">
        <v>170</v>
      </c>
      <c r="B158" t="s">
        <v>1083</v>
      </c>
      <c r="C158" t="s">
        <v>1084</v>
      </c>
      <c r="D158" s="4">
        <v>45222</v>
      </c>
      <c r="E158" s="1" t="s">
        <v>16</v>
      </c>
      <c r="F158" s="1" t="s">
        <v>53</v>
      </c>
      <c r="G158" s="1" t="s">
        <v>48</v>
      </c>
      <c r="H158" s="1">
        <v>2287.36</v>
      </c>
      <c r="I158">
        <v>2575.83</v>
      </c>
      <c r="J158" s="1" t="s">
        <v>42</v>
      </c>
      <c r="K158" s="1" t="s">
        <v>32</v>
      </c>
      <c r="L158">
        <v>9</v>
      </c>
      <c r="M158" t="s">
        <v>19</v>
      </c>
    </row>
    <row r="159" spans="1:13" ht="15.75" customHeight="1" x14ac:dyDescent="0.35">
      <c r="A159" s="1" t="s">
        <v>66</v>
      </c>
      <c r="B159" t="s">
        <v>1083</v>
      </c>
      <c r="C159" t="s">
        <v>1084</v>
      </c>
      <c r="D159" s="4">
        <v>45267</v>
      </c>
      <c r="E159" s="1" t="s">
        <v>85</v>
      </c>
      <c r="F159" s="1" t="s">
        <v>23</v>
      </c>
      <c r="G159" s="1" t="s">
        <v>54</v>
      </c>
      <c r="H159">
        <v>2481</v>
      </c>
      <c r="I159">
        <v>2575.83</v>
      </c>
      <c r="J159" s="1" t="s">
        <v>42</v>
      </c>
      <c r="K159" s="1" t="s">
        <v>32</v>
      </c>
      <c r="L159">
        <v>9</v>
      </c>
      <c r="M159" t="s">
        <v>65</v>
      </c>
    </row>
    <row r="160" spans="1:13" ht="15.75" customHeight="1" x14ac:dyDescent="0.35">
      <c r="A160" s="1" t="s">
        <v>209</v>
      </c>
      <c r="B160" t="s">
        <v>1083</v>
      </c>
      <c r="C160" s="1" t="s">
        <v>135</v>
      </c>
      <c r="D160" s="4">
        <v>44977</v>
      </c>
      <c r="E160" s="1" t="s">
        <v>16</v>
      </c>
      <c r="F160" s="1" t="s">
        <v>23</v>
      </c>
      <c r="G160" s="1" t="s">
        <v>24</v>
      </c>
      <c r="H160" s="1">
        <v>2481</v>
      </c>
      <c r="I160">
        <v>2575.83</v>
      </c>
      <c r="J160" s="1" t="s">
        <v>17</v>
      </c>
      <c r="K160" s="1" t="s">
        <v>32</v>
      </c>
      <c r="L160">
        <v>9</v>
      </c>
      <c r="M160" t="s">
        <v>19</v>
      </c>
    </row>
    <row r="161" spans="1:13" ht="15.75" customHeight="1" x14ac:dyDescent="0.35">
      <c r="A161" s="1" t="s">
        <v>43</v>
      </c>
      <c r="B161" t="s">
        <v>1083</v>
      </c>
      <c r="C161" t="s">
        <v>1084</v>
      </c>
      <c r="D161" s="4">
        <v>45267</v>
      </c>
      <c r="E161" s="1" t="s">
        <v>77</v>
      </c>
      <c r="F161" t="s">
        <v>1085</v>
      </c>
      <c r="G161" s="1" t="s">
        <v>41</v>
      </c>
      <c r="H161" s="1">
        <v>2481</v>
      </c>
      <c r="I161">
        <v>2575.83</v>
      </c>
      <c r="J161" s="1" t="s">
        <v>25</v>
      </c>
      <c r="K161" s="1" t="s">
        <v>26</v>
      </c>
      <c r="L161">
        <v>9</v>
      </c>
      <c r="M161" t="s">
        <v>19</v>
      </c>
    </row>
    <row r="162" spans="1:13" ht="15.75" customHeight="1" x14ac:dyDescent="0.35">
      <c r="A162" s="1" t="s">
        <v>277</v>
      </c>
      <c r="B162" s="1" t="s">
        <v>347</v>
      </c>
      <c r="C162" t="s">
        <v>1084</v>
      </c>
      <c r="D162" s="4">
        <v>44931</v>
      </c>
      <c r="E162" s="1" t="s">
        <v>85</v>
      </c>
      <c r="F162" s="1" t="s">
        <v>23</v>
      </c>
      <c r="G162" s="1" t="s">
        <v>48</v>
      </c>
      <c r="H162" s="1">
        <v>3485.45</v>
      </c>
      <c r="I162" s="1">
        <v>1183.29</v>
      </c>
      <c r="J162" s="1" t="s">
        <v>25</v>
      </c>
      <c r="K162" s="1" t="s">
        <v>26</v>
      </c>
      <c r="L162">
        <v>9</v>
      </c>
      <c r="M162" t="s">
        <v>19</v>
      </c>
    </row>
    <row r="163" spans="1:13" ht="15.75" customHeight="1" x14ac:dyDescent="0.35">
      <c r="A163" s="1" t="s">
        <v>277</v>
      </c>
      <c r="B163" s="1" t="s">
        <v>349</v>
      </c>
      <c r="C163" s="1" t="s">
        <v>336</v>
      </c>
      <c r="D163" s="4">
        <v>44962</v>
      </c>
      <c r="E163" s="1" t="s">
        <v>30</v>
      </c>
      <c r="F163" t="s">
        <v>1085</v>
      </c>
      <c r="G163" s="1" t="s">
        <v>24</v>
      </c>
      <c r="H163">
        <v>2481</v>
      </c>
      <c r="I163" s="1">
        <v>3159</v>
      </c>
      <c r="J163" s="1" t="s">
        <v>25</v>
      </c>
      <c r="K163" s="1" t="s">
        <v>57</v>
      </c>
      <c r="L163">
        <v>9</v>
      </c>
      <c r="M163" t="s">
        <v>65</v>
      </c>
    </row>
    <row r="164" spans="1:13" ht="15.75" customHeight="1" x14ac:dyDescent="0.35">
      <c r="A164" s="1" t="s">
        <v>96</v>
      </c>
      <c r="B164" s="1" t="s">
        <v>351</v>
      </c>
      <c r="C164" s="1" t="s">
        <v>63</v>
      </c>
      <c r="D164" s="4">
        <v>45123</v>
      </c>
      <c r="E164" s="1" t="s">
        <v>92</v>
      </c>
      <c r="F164" s="1" t="s">
        <v>93</v>
      </c>
      <c r="G164" s="1" t="s">
        <v>24</v>
      </c>
      <c r="H164">
        <v>2481</v>
      </c>
      <c r="I164">
        <v>2575.83</v>
      </c>
      <c r="J164" s="1" t="s">
        <v>17</v>
      </c>
      <c r="K164" s="1" t="s">
        <v>32</v>
      </c>
      <c r="L164">
        <v>9</v>
      </c>
      <c r="M164" t="s">
        <v>19</v>
      </c>
    </row>
    <row r="165" spans="1:13" ht="15.75" customHeight="1" x14ac:dyDescent="0.35">
      <c r="A165" s="1" t="s">
        <v>249</v>
      </c>
      <c r="B165" s="1" t="s">
        <v>353</v>
      </c>
      <c r="C165" s="1" t="s">
        <v>354</v>
      </c>
      <c r="D165" s="4">
        <v>45127</v>
      </c>
      <c r="E165" s="1" t="s">
        <v>85</v>
      </c>
      <c r="F165" s="1" t="s">
        <v>93</v>
      </c>
      <c r="G165" s="1" t="s">
        <v>48</v>
      </c>
      <c r="H165" s="1">
        <v>2481</v>
      </c>
      <c r="I165" s="1">
        <v>3208.51</v>
      </c>
      <c r="J165" s="1" t="s">
        <v>17</v>
      </c>
      <c r="K165" s="1" t="s">
        <v>26</v>
      </c>
      <c r="L165">
        <v>9</v>
      </c>
      <c r="M165" t="s">
        <v>65</v>
      </c>
    </row>
    <row r="166" spans="1:13" ht="15.75" customHeight="1" x14ac:dyDescent="0.35">
      <c r="A166" s="1" t="s">
        <v>33</v>
      </c>
      <c r="B166" t="s">
        <v>1083</v>
      </c>
      <c r="C166" s="1" t="s">
        <v>356</v>
      </c>
      <c r="D166" s="4">
        <v>44935</v>
      </c>
      <c r="E166" s="1" t="s">
        <v>16</v>
      </c>
      <c r="F166" s="1" t="s">
        <v>23</v>
      </c>
      <c r="G166" s="1" t="s">
        <v>41</v>
      </c>
      <c r="H166" s="1">
        <v>2481</v>
      </c>
      <c r="I166">
        <v>2575.83</v>
      </c>
      <c r="J166" s="1" t="s">
        <v>17</v>
      </c>
      <c r="K166" s="1" t="s">
        <v>1093</v>
      </c>
      <c r="L166">
        <v>9</v>
      </c>
      <c r="M166" t="s">
        <v>65</v>
      </c>
    </row>
    <row r="167" spans="1:13" ht="15.75" customHeight="1" x14ac:dyDescent="0.35">
      <c r="A167" s="1" t="s">
        <v>96</v>
      </c>
      <c r="B167" t="s">
        <v>1083</v>
      </c>
      <c r="C167" s="1" t="s">
        <v>358</v>
      </c>
      <c r="D167" s="4">
        <v>45069</v>
      </c>
      <c r="E167" s="1" t="s">
        <v>30</v>
      </c>
      <c r="F167" s="1" t="s">
        <v>93</v>
      </c>
      <c r="G167" s="1" t="s">
        <v>24</v>
      </c>
      <c r="H167" s="1">
        <v>2705.13</v>
      </c>
      <c r="I167">
        <v>2575.83</v>
      </c>
      <c r="J167" s="1" t="s">
        <v>17</v>
      </c>
      <c r="K167" s="1" t="s">
        <v>26</v>
      </c>
      <c r="L167" s="1">
        <v>15</v>
      </c>
      <c r="M167" s="1" t="s">
        <v>65</v>
      </c>
    </row>
    <row r="168" spans="1:13" ht="15.75" customHeight="1" x14ac:dyDescent="0.35">
      <c r="A168" s="1" t="s">
        <v>55</v>
      </c>
      <c r="B168" t="s">
        <v>1083</v>
      </c>
      <c r="C168" s="1" t="s">
        <v>161</v>
      </c>
      <c r="D168" s="4">
        <v>45263</v>
      </c>
      <c r="E168" s="1" t="s">
        <v>85</v>
      </c>
      <c r="F168" s="1" t="s">
        <v>23</v>
      </c>
      <c r="G168" s="1" t="s">
        <v>61</v>
      </c>
      <c r="H168" s="1">
        <v>3554.11</v>
      </c>
      <c r="I168">
        <v>2575.83</v>
      </c>
      <c r="J168" s="1" t="s">
        <v>17</v>
      </c>
      <c r="K168" s="1" t="s">
        <v>57</v>
      </c>
      <c r="L168">
        <v>9</v>
      </c>
      <c r="M168" t="s">
        <v>19</v>
      </c>
    </row>
    <row r="169" spans="1:13" ht="15.75" customHeight="1" x14ac:dyDescent="0.35">
      <c r="A169" s="1" t="s">
        <v>132</v>
      </c>
      <c r="B169" s="1" t="s">
        <v>360</v>
      </c>
      <c r="C169" t="s">
        <v>1084</v>
      </c>
      <c r="D169" s="4">
        <v>44942</v>
      </c>
      <c r="E169" s="1" t="s">
        <v>92</v>
      </c>
      <c r="F169" s="1" t="s">
        <v>47</v>
      </c>
      <c r="G169" s="1" t="s">
        <v>61</v>
      </c>
      <c r="H169" s="1">
        <v>1351.6</v>
      </c>
      <c r="I169">
        <v>2575.83</v>
      </c>
      <c r="J169" s="1" t="s">
        <v>42</v>
      </c>
      <c r="K169" s="1" t="s">
        <v>26</v>
      </c>
      <c r="L169">
        <v>9</v>
      </c>
      <c r="M169" t="s">
        <v>65</v>
      </c>
    </row>
    <row r="170" spans="1:13" ht="15.75" customHeight="1" x14ac:dyDescent="0.35">
      <c r="A170" s="1" t="s">
        <v>242</v>
      </c>
      <c r="B170" t="s">
        <v>1083</v>
      </c>
      <c r="C170" s="1" t="s">
        <v>224</v>
      </c>
      <c r="D170" s="4">
        <v>45220</v>
      </c>
      <c r="E170" s="1" t="s">
        <v>16</v>
      </c>
      <c r="F170" s="1" t="s">
        <v>47</v>
      </c>
      <c r="G170" s="1" t="s">
        <v>61</v>
      </c>
      <c r="H170">
        <v>2481</v>
      </c>
      <c r="I170">
        <v>2575.83</v>
      </c>
      <c r="J170" s="1" t="s">
        <v>25</v>
      </c>
      <c r="K170" s="1" t="s">
        <v>18</v>
      </c>
      <c r="L170" s="1">
        <v>11</v>
      </c>
      <c r="M170" s="1" t="s">
        <v>42</v>
      </c>
    </row>
    <row r="171" spans="1:13" ht="15.75" customHeight="1" x14ac:dyDescent="0.35">
      <c r="A171" s="1" t="s">
        <v>137</v>
      </c>
      <c r="B171" t="s">
        <v>1083</v>
      </c>
      <c r="C171" s="1" t="s">
        <v>363</v>
      </c>
      <c r="D171" s="4">
        <v>45140</v>
      </c>
      <c r="E171" s="1" t="s">
        <v>92</v>
      </c>
      <c r="F171" s="1" t="s">
        <v>31</v>
      </c>
      <c r="G171" s="1" t="s">
        <v>61</v>
      </c>
      <c r="H171" s="1">
        <v>2879.1</v>
      </c>
      <c r="I171">
        <v>2575.83</v>
      </c>
      <c r="J171" s="1" t="s">
        <v>25</v>
      </c>
      <c r="K171" s="1" t="s">
        <v>1093</v>
      </c>
      <c r="L171">
        <v>9</v>
      </c>
      <c r="M171" t="s">
        <v>19</v>
      </c>
    </row>
    <row r="172" spans="1:13" ht="15.75" customHeight="1" x14ac:dyDescent="0.35">
      <c r="A172" s="1" t="s">
        <v>202</v>
      </c>
      <c r="B172" t="s">
        <v>1083</v>
      </c>
      <c r="C172" t="s">
        <v>1084</v>
      </c>
      <c r="D172" s="4">
        <v>45115</v>
      </c>
      <c r="E172" s="1" t="s">
        <v>30</v>
      </c>
      <c r="F172" s="1" t="s">
        <v>31</v>
      </c>
      <c r="G172" t="s">
        <v>1086</v>
      </c>
      <c r="H172">
        <v>2481</v>
      </c>
      <c r="I172">
        <v>2575.83</v>
      </c>
      <c r="J172" s="1" t="s">
        <v>17</v>
      </c>
      <c r="K172" s="1" t="s">
        <v>57</v>
      </c>
      <c r="L172" s="1">
        <v>48</v>
      </c>
      <c r="M172" s="1" t="s">
        <v>65</v>
      </c>
    </row>
    <row r="173" spans="1:13" ht="15.75" customHeight="1" x14ac:dyDescent="0.35">
      <c r="A173" s="1" t="s">
        <v>89</v>
      </c>
      <c r="B173" s="1" t="s">
        <v>365</v>
      </c>
      <c r="C173" t="s">
        <v>1084</v>
      </c>
      <c r="D173" s="4">
        <v>45282</v>
      </c>
      <c r="E173" s="1" t="s">
        <v>16</v>
      </c>
      <c r="F173" t="s">
        <v>1085</v>
      </c>
      <c r="G173" s="1" t="s">
        <v>48</v>
      </c>
      <c r="H173">
        <v>2481</v>
      </c>
      <c r="I173">
        <v>2575.83</v>
      </c>
      <c r="J173" s="1" t="s">
        <v>17</v>
      </c>
      <c r="K173" s="1" t="s">
        <v>1093</v>
      </c>
      <c r="L173" s="1">
        <v>31</v>
      </c>
      <c r="M173" s="1" t="s">
        <v>65</v>
      </c>
    </row>
    <row r="174" spans="1:13" ht="15.75" customHeight="1" x14ac:dyDescent="0.35">
      <c r="A174" s="1" t="s">
        <v>137</v>
      </c>
      <c r="B174" s="1" t="s">
        <v>367</v>
      </c>
      <c r="C174" s="1" t="s">
        <v>238</v>
      </c>
      <c r="D174" s="4">
        <v>45138</v>
      </c>
      <c r="E174" s="1" t="s">
        <v>77</v>
      </c>
      <c r="F174" t="s">
        <v>1085</v>
      </c>
      <c r="G174" s="1" t="s">
        <v>61</v>
      </c>
      <c r="H174">
        <v>2481</v>
      </c>
      <c r="I174">
        <v>2575.83</v>
      </c>
      <c r="J174" s="1" t="s">
        <v>25</v>
      </c>
      <c r="K174" s="1" t="s">
        <v>57</v>
      </c>
      <c r="L174" s="1">
        <v>36</v>
      </c>
      <c r="M174" s="1" t="s">
        <v>65</v>
      </c>
    </row>
    <row r="175" spans="1:13" ht="15.75" customHeight="1" x14ac:dyDescent="0.35">
      <c r="A175" s="1" t="s">
        <v>249</v>
      </c>
      <c r="B175" s="1" t="s">
        <v>369</v>
      </c>
      <c r="C175" t="s">
        <v>1084</v>
      </c>
      <c r="D175" s="4">
        <v>45285</v>
      </c>
      <c r="E175" s="1" t="s">
        <v>92</v>
      </c>
      <c r="F175" s="1" t="s">
        <v>31</v>
      </c>
      <c r="G175" s="1" t="s">
        <v>48</v>
      </c>
      <c r="H175">
        <v>2481</v>
      </c>
      <c r="I175">
        <v>2575.83</v>
      </c>
      <c r="J175" s="1" t="s">
        <v>25</v>
      </c>
      <c r="K175" s="1" t="s">
        <v>18</v>
      </c>
      <c r="L175" s="1">
        <v>6</v>
      </c>
      <c r="M175" s="1" t="s">
        <v>65</v>
      </c>
    </row>
    <row r="176" spans="1:13" ht="15.75" customHeight="1" x14ac:dyDescent="0.35">
      <c r="A176" s="1" t="s">
        <v>173</v>
      </c>
      <c r="B176" t="s">
        <v>1083</v>
      </c>
      <c r="C176" t="s">
        <v>1084</v>
      </c>
      <c r="D176" s="4">
        <v>45158</v>
      </c>
      <c r="E176" s="1" t="s">
        <v>92</v>
      </c>
      <c r="F176" s="1" t="s">
        <v>23</v>
      </c>
      <c r="G176" s="1" t="s">
        <v>61</v>
      </c>
      <c r="H176">
        <v>2481</v>
      </c>
      <c r="I176">
        <v>2575.83</v>
      </c>
      <c r="J176" s="1" t="s">
        <v>17</v>
      </c>
      <c r="K176" s="1" t="s">
        <v>26</v>
      </c>
      <c r="L176">
        <v>9</v>
      </c>
      <c r="M176" t="s">
        <v>65</v>
      </c>
    </row>
    <row r="177" spans="1:13" ht="15.75" customHeight="1" x14ac:dyDescent="0.35">
      <c r="A177" s="1" t="s">
        <v>96</v>
      </c>
      <c r="B177" s="1" t="s">
        <v>372</v>
      </c>
      <c r="C177" t="s">
        <v>1084</v>
      </c>
      <c r="D177" s="4">
        <v>44952</v>
      </c>
      <c r="E177" s="1" t="s">
        <v>92</v>
      </c>
      <c r="F177" s="1" t="s">
        <v>93</v>
      </c>
      <c r="G177" s="1" t="s">
        <v>61</v>
      </c>
      <c r="H177">
        <v>2481</v>
      </c>
      <c r="I177" s="1">
        <v>518.89</v>
      </c>
      <c r="J177" s="1" t="s">
        <v>17</v>
      </c>
      <c r="K177" s="1" t="s">
        <v>26</v>
      </c>
      <c r="L177" s="1">
        <v>9</v>
      </c>
      <c r="M177" s="1" t="s">
        <v>65</v>
      </c>
    </row>
    <row r="178" spans="1:13" ht="15.75" customHeight="1" x14ac:dyDescent="0.35">
      <c r="A178" s="1" t="s">
        <v>277</v>
      </c>
      <c r="B178" t="s">
        <v>1083</v>
      </c>
      <c r="C178" s="1" t="s">
        <v>373</v>
      </c>
      <c r="D178" s="4">
        <v>45225</v>
      </c>
      <c r="E178" s="1" t="s">
        <v>16</v>
      </c>
      <c r="F178" s="1" t="s">
        <v>23</v>
      </c>
      <c r="G178" s="1" t="s">
        <v>24</v>
      </c>
      <c r="H178">
        <v>2481</v>
      </c>
      <c r="I178">
        <v>2575.83</v>
      </c>
      <c r="J178" s="1" t="s">
        <v>25</v>
      </c>
      <c r="K178" s="1" t="s">
        <v>26</v>
      </c>
      <c r="L178">
        <v>9</v>
      </c>
      <c r="M178" t="s">
        <v>19</v>
      </c>
    </row>
    <row r="179" spans="1:13" ht="15.75" customHeight="1" x14ac:dyDescent="0.35">
      <c r="A179" s="1" t="s">
        <v>132</v>
      </c>
      <c r="B179" t="s">
        <v>1083</v>
      </c>
      <c r="C179" t="s">
        <v>1084</v>
      </c>
      <c r="D179" s="4">
        <v>45122</v>
      </c>
      <c r="E179" s="1" t="s">
        <v>77</v>
      </c>
      <c r="F179" s="1" t="s">
        <v>93</v>
      </c>
      <c r="G179" s="1" t="s">
        <v>41</v>
      </c>
      <c r="H179">
        <v>2481</v>
      </c>
      <c r="I179" s="1">
        <v>1435.28</v>
      </c>
      <c r="J179" s="1" t="s">
        <v>25</v>
      </c>
      <c r="K179" s="1" t="s">
        <v>57</v>
      </c>
      <c r="L179">
        <v>9</v>
      </c>
      <c r="M179" t="s">
        <v>65</v>
      </c>
    </row>
    <row r="180" spans="1:13" ht="15.75" customHeight="1" x14ac:dyDescent="0.35">
      <c r="A180" s="1" t="s">
        <v>43</v>
      </c>
      <c r="B180" t="s">
        <v>1083</v>
      </c>
      <c r="C180" t="s">
        <v>1084</v>
      </c>
      <c r="D180" s="4">
        <v>44971</v>
      </c>
      <c r="E180" s="1" t="s">
        <v>85</v>
      </c>
      <c r="F180" s="1" t="s">
        <v>53</v>
      </c>
      <c r="G180" s="1" t="s">
        <v>24</v>
      </c>
      <c r="H180">
        <v>2481</v>
      </c>
      <c r="I180">
        <v>2575.83</v>
      </c>
      <c r="J180" s="1" t="s">
        <v>25</v>
      </c>
      <c r="K180" s="1" t="s">
        <v>1093</v>
      </c>
      <c r="L180">
        <v>9</v>
      </c>
      <c r="M180" t="s">
        <v>19</v>
      </c>
    </row>
    <row r="181" spans="1:13" ht="15.75" customHeight="1" x14ac:dyDescent="0.35">
      <c r="A181" s="1" t="s">
        <v>285</v>
      </c>
      <c r="B181" t="s">
        <v>1083</v>
      </c>
      <c r="C181" t="s">
        <v>1084</v>
      </c>
      <c r="D181" s="4">
        <v>45125</v>
      </c>
      <c r="E181" s="1" t="s">
        <v>92</v>
      </c>
      <c r="F181" s="1" t="s">
        <v>47</v>
      </c>
      <c r="G181" s="1" t="s">
        <v>24</v>
      </c>
      <c r="H181" s="1">
        <v>195.05</v>
      </c>
      <c r="I181">
        <v>2575.83</v>
      </c>
      <c r="J181" s="1" t="s">
        <v>17</v>
      </c>
      <c r="K181" s="1" t="s">
        <v>32</v>
      </c>
      <c r="L181">
        <v>9</v>
      </c>
      <c r="M181" t="s">
        <v>65</v>
      </c>
    </row>
    <row r="182" spans="1:13" ht="15.75" customHeight="1" x14ac:dyDescent="0.35">
      <c r="A182" s="1" t="s">
        <v>132</v>
      </c>
      <c r="B182" s="1" t="s">
        <v>351</v>
      </c>
      <c r="C182" s="1" t="s">
        <v>378</v>
      </c>
      <c r="D182" s="4">
        <v>45063</v>
      </c>
      <c r="E182" s="1" t="s">
        <v>30</v>
      </c>
      <c r="F182" s="1" t="s">
        <v>53</v>
      </c>
      <c r="G182" s="1" t="s">
        <v>41</v>
      </c>
      <c r="H182">
        <v>2481</v>
      </c>
      <c r="I182">
        <v>2575.83</v>
      </c>
      <c r="J182" s="1" t="s">
        <v>42</v>
      </c>
      <c r="K182" s="1" t="s">
        <v>57</v>
      </c>
      <c r="L182">
        <v>9</v>
      </c>
      <c r="M182" t="s">
        <v>19</v>
      </c>
    </row>
    <row r="183" spans="1:13" ht="15.75" customHeight="1" x14ac:dyDescent="0.35">
      <c r="A183" s="1" t="s">
        <v>209</v>
      </c>
      <c r="B183" s="1" t="s">
        <v>254</v>
      </c>
      <c r="C183" s="1" t="s">
        <v>90</v>
      </c>
      <c r="D183" s="4">
        <v>45179</v>
      </c>
      <c r="E183" s="1" t="s">
        <v>77</v>
      </c>
      <c r="F183" s="1" t="s">
        <v>23</v>
      </c>
      <c r="G183" s="1" t="s">
        <v>61</v>
      </c>
      <c r="H183">
        <v>2481</v>
      </c>
      <c r="I183">
        <v>2575.83</v>
      </c>
      <c r="J183" s="1" t="s">
        <v>25</v>
      </c>
      <c r="K183" s="1" t="s">
        <v>32</v>
      </c>
      <c r="L183">
        <v>9</v>
      </c>
      <c r="M183" t="s">
        <v>65</v>
      </c>
    </row>
    <row r="184" spans="1:13" ht="15.75" customHeight="1" x14ac:dyDescent="0.35">
      <c r="A184" s="1" t="s">
        <v>277</v>
      </c>
      <c r="B184" t="s">
        <v>1083</v>
      </c>
      <c r="C184" t="s">
        <v>1084</v>
      </c>
      <c r="D184" s="4">
        <v>45002</v>
      </c>
      <c r="E184" s="1" t="s">
        <v>16</v>
      </c>
      <c r="F184" s="1" t="s">
        <v>93</v>
      </c>
      <c r="G184" s="1" t="s">
        <v>61</v>
      </c>
      <c r="H184" s="1">
        <v>4240.08</v>
      </c>
      <c r="I184">
        <v>2575.83</v>
      </c>
      <c r="J184" s="1" t="s">
        <v>25</v>
      </c>
      <c r="K184" s="1" t="s">
        <v>57</v>
      </c>
      <c r="L184">
        <v>9</v>
      </c>
      <c r="M184" t="s">
        <v>19</v>
      </c>
    </row>
    <row r="185" spans="1:13" ht="15.75" customHeight="1" x14ac:dyDescent="0.35">
      <c r="A185" s="1" t="s">
        <v>58</v>
      </c>
      <c r="B185" s="1" t="s">
        <v>382</v>
      </c>
      <c r="C185" t="s">
        <v>1084</v>
      </c>
      <c r="D185" s="4">
        <v>45176</v>
      </c>
      <c r="E185" s="1" t="s">
        <v>85</v>
      </c>
      <c r="F185" t="s">
        <v>1085</v>
      </c>
      <c r="G185" s="1" t="s">
        <v>54</v>
      </c>
      <c r="H185">
        <v>2481</v>
      </c>
      <c r="I185">
        <v>2575.83</v>
      </c>
      <c r="J185" s="1" t="s">
        <v>17</v>
      </c>
      <c r="K185" s="1" t="s">
        <v>1093</v>
      </c>
      <c r="L185">
        <v>9</v>
      </c>
      <c r="M185" t="s">
        <v>19</v>
      </c>
    </row>
    <row r="186" spans="1:13" ht="15.75" customHeight="1" x14ac:dyDescent="0.35">
      <c r="A186" s="1" t="s">
        <v>277</v>
      </c>
      <c r="B186" t="s">
        <v>1083</v>
      </c>
      <c r="C186" t="s">
        <v>1084</v>
      </c>
      <c r="D186" s="4">
        <v>45020</v>
      </c>
      <c r="E186" s="1" t="s">
        <v>92</v>
      </c>
      <c r="F186" s="1" t="s">
        <v>47</v>
      </c>
      <c r="G186" s="1" t="s">
        <v>24</v>
      </c>
      <c r="H186" s="1">
        <v>2481</v>
      </c>
      <c r="I186">
        <v>2575.83</v>
      </c>
      <c r="J186" s="1" t="s">
        <v>25</v>
      </c>
      <c r="K186" s="1" t="s">
        <v>18</v>
      </c>
      <c r="L186">
        <v>9</v>
      </c>
      <c r="M186" t="s">
        <v>65</v>
      </c>
    </row>
    <row r="187" spans="1:13" ht="15.75" customHeight="1" x14ac:dyDescent="0.35">
      <c r="A187" s="1" t="s">
        <v>13</v>
      </c>
      <c r="B187" t="s">
        <v>1083</v>
      </c>
      <c r="C187" t="s">
        <v>1084</v>
      </c>
      <c r="D187" s="4">
        <v>45155</v>
      </c>
      <c r="E187" s="1" t="s">
        <v>85</v>
      </c>
      <c r="F187" t="s">
        <v>1085</v>
      </c>
      <c r="G187" s="1" t="s">
        <v>61</v>
      </c>
      <c r="H187" s="1">
        <v>1784.88</v>
      </c>
      <c r="I187">
        <v>2575.83</v>
      </c>
      <c r="J187" s="1" t="s">
        <v>25</v>
      </c>
      <c r="K187" s="1" t="s">
        <v>18</v>
      </c>
      <c r="L187">
        <v>9</v>
      </c>
      <c r="M187" t="s">
        <v>65</v>
      </c>
    </row>
    <row r="188" spans="1:13" ht="15.75" customHeight="1" x14ac:dyDescent="0.35">
      <c r="A188" s="1" t="s">
        <v>33</v>
      </c>
      <c r="B188" t="s">
        <v>1083</v>
      </c>
      <c r="C188" s="1" t="s">
        <v>80</v>
      </c>
      <c r="D188" s="4">
        <v>45260</v>
      </c>
      <c r="E188" s="1" t="s">
        <v>85</v>
      </c>
      <c r="F188" s="1" t="s">
        <v>93</v>
      </c>
      <c r="G188" s="1" t="s">
        <v>48</v>
      </c>
      <c r="H188">
        <v>2481</v>
      </c>
      <c r="I188">
        <v>2575.83</v>
      </c>
      <c r="J188" s="1" t="s">
        <v>25</v>
      </c>
      <c r="K188" s="1" t="s">
        <v>26</v>
      </c>
      <c r="L188" s="1">
        <v>21</v>
      </c>
      <c r="M188" s="1" t="s">
        <v>65</v>
      </c>
    </row>
    <row r="189" spans="1:13" ht="15.75" customHeight="1" x14ac:dyDescent="0.35">
      <c r="A189" s="1" t="s">
        <v>132</v>
      </c>
      <c r="B189" s="1" t="s">
        <v>386</v>
      </c>
      <c r="C189" s="1" t="s">
        <v>228</v>
      </c>
      <c r="D189" s="4">
        <v>45231</v>
      </c>
      <c r="E189" s="1" t="s">
        <v>16</v>
      </c>
      <c r="F189" s="1" t="s">
        <v>23</v>
      </c>
      <c r="G189" s="1" t="s">
        <v>48</v>
      </c>
      <c r="H189" s="1">
        <v>2481</v>
      </c>
      <c r="I189" s="1">
        <v>827.66</v>
      </c>
      <c r="J189" s="1" t="s">
        <v>42</v>
      </c>
      <c r="K189" s="1" t="s">
        <v>18</v>
      </c>
      <c r="L189">
        <v>9</v>
      </c>
      <c r="M189" t="s">
        <v>42</v>
      </c>
    </row>
    <row r="190" spans="1:13" ht="15.75" customHeight="1" x14ac:dyDescent="0.35">
      <c r="A190" s="1" t="s">
        <v>168</v>
      </c>
      <c r="B190" t="s">
        <v>1083</v>
      </c>
      <c r="C190" t="s">
        <v>1084</v>
      </c>
      <c r="D190" s="4">
        <v>45079</v>
      </c>
      <c r="E190" s="1" t="s">
        <v>77</v>
      </c>
      <c r="F190" s="1" t="s">
        <v>47</v>
      </c>
      <c r="G190" s="1" t="s">
        <v>54</v>
      </c>
      <c r="H190" s="1">
        <v>4207.28</v>
      </c>
      <c r="I190">
        <v>2575.83</v>
      </c>
      <c r="J190" s="1" t="s">
        <v>25</v>
      </c>
      <c r="K190" s="1" t="s">
        <v>32</v>
      </c>
      <c r="L190">
        <v>9</v>
      </c>
      <c r="M190" t="s">
        <v>42</v>
      </c>
    </row>
    <row r="191" spans="1:13" ht="15.75" customHeight="1" x14ac:dyDescent="0.35">
      <c r="A191" s="1" t="s">
        <v>285</v>
      </c>
      <c r="B191" s="1" t="s">
        <v>389</v>
      </c>
      <c r="C191" s="1" t="s">
        <v>193</v>
      </c>
      <c r="D191" s="4">
        <v>45014</v>
      </c>
      <c r="E191" s="1" t="s">
        <v>77</v>
      </c>
      <c r="F191" s="1" t="s">
        <v>23</v>
      </c>
      <c r="G191" s="1" t="s">
        <v>41</v>
      </c>
      <c r="H191" s="1">
        <v>2481</v>
      </c>
      <c r="I191">
        <v>2575.83</v>
      </c>
      <c r="J191" s="1" t="s">
        <v>25</v>
      </c>
      <c r="K191" s="1" t="s">
        <v>57</v>
      </c>
      <c r="L191" s="1">
        <v>24</v>
      </c>
      <c r="M191" s="1" t="s">
        <v>19</v>
      </c>
    </row>
    <row r="192" spans="1:13" ht="15.75" customHeight="1" x14ac:dyDescent="0.35">
      <c r="A192" s="1" t="s">
        <v>33</v>
      </c>
      <c r="B192" s="1" t="s">
        <v>391</v>
      </c>
      <c r="C192" s="1" t="s">
        <v>232</v>
      </c>
      <c r="D192" s="4">
        <v>45152</v>
      </c>
      <c r="E192" s="1" t="s">
        <v>85</v>
      </c>
      <c r="F192" s="1" t="s">
        <v>31</v>
      </c>
      <c r="G192" s="1" t="s">
        <v>54</v>
      </c>
      <c r="H192" s="1">
        <v>355.11</v>
      </c>
      <c r="I192">
        <v>2575.83</v>
      </c>
      <c r="J192" s="1" t="s">
        <v>17</v>
      </c>
      <c r="K192" s="1" t="s">
        <v>1093</v>
      </c>
      <c r="L192">
        <v>9</v>
      </c>
      <c r="M192" t="s">
        <v>65</v>
      </c>
    </row>
    <row r="193" spans="1:13" ht="15.75" customHeight="1" x14ac:dyDescent="0.35">
      <c r="A193" s="1" t="s">
        <v>20</v>
      </c>
      <c r="B193" t="s">
        <v>1083</v>
      </c>
      <c r="C193" t="s">
        <v>1084</v>
      </c>
      <c r="D193" s="4">
        <v>45170</v>
      </c>
      <c r="E193" s="1" t="s">
        <v>85</v>
      </c>
      <c r="F193" s="1" t="s">
        <v>53</v>
      </c>
      <c r="G193" s="1" t="s">
        <v>41</v>
      </c>
      <c r="H193" s="1">
        <v>440.83</v>
      </c>
      <c r="I193">
        <v>2575.83</v>
      </c>
      <c r="J193" s="1" t="s">
        <v>17</v>
      </c>
      <c r="K193" s="1" t="s">
        <v>57</v>
      </c>
      <c r="L193" s="1">
        <v>9</v>
      </c>
      <c r="M193" s="1" t="s">
        <v>65</v>
      </c>
    </row>
    <row r="194" spans="1:13" ht="15.75" customHeight="1" x14ac:dyDescent="0.35">
      <c r="A194" s="1" t="s">
        <v>102</v>
      </c>
      <c r="B194" s="1" t="s">
        <v>394</v>
      </c>
      <c r="C194" s="1" t="s">
        <v>395</v>
      </c>
      <c r="D194" s="4">
        <v>44967</v>
      </c>
      <c r="E194" s="1" t="s">
        <v>77</v>
      </c>
      <c r="F194" s="1" t="s">
        <v>93</v>
      </c>
      <c r="G194" t="s">
        <v>1086</v>
      </c>
      <c r="H194">
        <v>2481</v>
      </c>
      <c r="I194">
        <v>2575.83</v>
      </c>
      <c r="J194" s="1" t="s">
        <v>25</v>
      </c>
      <c r="K194" s="1" t="s">
        <v>26</v>
      </c>
      <c r="L194">
        <v>9</v>
      </c>
      <c r="M194" t="s">
        <v>65</v>
      </c>
    </row>
    <row r="195" spans="1:13" ht="15.75" customHeight="1" x14ac:dyDescent="0.35">
      <c r="A195" s="1" t="s">
        <v>20</v>
      </c>
      <c r="B195" t="s">
        <v>1083</v>
      </c>
      <c r="C195" t="s">
        <v>1084</v>
      </c>
      <c r="D195" s="4">
        <v>45246</v>
      </c>
      <c r="E195" s="1" t="s">
        <v>30</v>
      </c>
      <c r="F195" s="1" t="s">
        <v>53</v>
      </c>
      <c r="G195" s="1" t="s">
        <v>61</v>
      </c>
      <c r="H195" s="1">
        <v>2101.4899999999998</v>
      </c>
      <c r="I195">
        <v>2575.83</v>
      </c>
      <c r="J195" s="1" t="s">
        <v>25</v>
      </c>
      <c r="K195" s="1" t="s">
        <v>32</v>
      </c>
      <c r="L195">
        <v>9</v>
      </c>
      <c r="M195" t="s">
        <v>19</v>
      </c>
    </row>
    <row r="196" spans="1:13" ht="15.75" customHeight="1" x14ac:dyDescent="0.35">
      <c r="A196" s="1" t="s">
        <v>70</v>
      </c>
      <c r="B196" t="s">
        <v>1083</v>
      </c>
      <c r="C196" t="s">
        <v>1084</v>
      </c>
      <c r="D196" s="4">
        <v>45219</v>
      </c>
      <c r="E196" s="1" t="s">
        <v>85</v>
      </c>
      <c r="F196" s="1" t="s">
        <v>31</v>
      </c>
      <c r="G196" s="1" t="s">
        <v>48</v>
      </c>
      <c r="H196" s="1">
        <v>2481</v>
      </c>
      <c r="I196">
        <v>2575.83</v>
      </c>
      <c r="J196" s="1" t="s">
        <v>17</v>
      </c>
      <c r="K196" s="1" t="s">
        <v>26</v>
      </c>
      <c r="L196">
        <v>9</v>
      </c>
      <c r="M196" t="s">
        <v>19</v>
      </c>
    </row>
    <row r="197" spans="1:13" ht="15.75" customHeight="1" x14ac:dyDescent="0.35">
      <c r="A197" s="1" t="s">
        <v>242</v>
      </c>
      <c r="B197" t="s">
        <v>1083</v>
      </c>
      <c r="C197" t="s">
        <v>1084</v>
      </c>
      <c r="D197" s="4">
        <v>45283</v>
      </c>
      <c r="E197" s="1" t="s">
        <v>16</v>
      </c>
      <c r="F197" s="1" t="s">
        <v>93</v>
      </c>
      <c r="G197" s="1" t="s">
        <v>24</v>
      </c>
      <c r="H197" s="1">
        <v>2481</v>
      </c>
      <c r="I197">
        <v>2575.83</v>
      </c>
      <c r="J197" s="1" t="s">
        <v>42</v>
      </c>
      <c r="K197" s="1" t="s">
        <v>1093</v>
      </c>
      <c r="L197">
        <v>9</v>
      </c>
      <c r="M197" t="s">
        <v>19</v>
      </c>
    </row>
    <row r="198" spans="1:13" ht="15.75" customHeight="1" x14ac:dyDescent="0.35">
      <c r="A198" s="1" t="s">
        <v>212</v>
      </c>
      <c r="B198" s="1" t="s">
        <v>399</v>
      </c>
      <c r="C198" t="s">
        <v>1084</v>
      </c>
      <c r="D198" s="4">
        <v>44955</v>
      </c>
      <c r="E198" s="1" t="s">
        <v>85</v>
      </c>
      <c r="F198" s="1" t="s">
        <v>93</v>
      </c>
      <c r="G198" s="1" t="s">
        <v>61</v>
      </c>
      <c r="H198" s="1">
        <v>2481</v>
      </c>
      <c r="I198">
        <v>2575.83</v>
      </c>
      <c r="J198" s="1" t="s">
        <v>17</v>
      </c>
      <c r="K198" s="1" t="s">
        <v>26</v>
      </c>
      <c r="L198" s="1">
        <v>11</v>
      </c>
      <c r="M198" s="1" t="s">
        <v>65</v>
      </c>
    </row>
    <row r="199" spans="1:13" ht="15.75" customHeight="1" x14ac:dyDescent="0.35">
      <c r="A199" s="1" t="s">
        <v>82</v>
      </c>
      <c r="B199" s="1" t="s">
        <v>146</v>
      </c>
      <c r="C199" s="1" t="s">
        <v>152</v>
      </c>
      <c r="D199" s="4">
        <v>45287</v>
      </c>
      <c r="E199" s="1" t="s">
        <v>92</v>
      </c>
      <c r="F199" s="1" t="s">
        <v>53</v>
      </c>
      <c r="G199" s="1" t="s">
        <v>54</v>
      </c>
      <c r="H199" s="1">
        <v>2014.86</v>
      </c>
      <c r="I199">
        <v>2575.83</v>
      </c>
      <c r="J199" s="1" t="s">
        <v>17</v>
      </c>
      <c r="K199" s="1" t="s">
        <v>1093</v>
      </c>
      <c r="L199">
        <v>9</v>
      </c>
      <c r="M199" t="s">
        <v>42</v>
      </c>
    </row>
    <row r="200" spans="1:13" ht="15.75" customHeight="1" x14ac:dyDescent="0.35">
      <c r="A200" s="1" t="s">
        <v>20</v>
      </c>
      <c r="B200" t="s">
        <v>1083</v>
      </c>
      <c r="C200" t="s">
        <v>1084</v>
      </c>
      <c r="D200" s="4">
        <v>45279</v>
      </c>
      <c r="E200" s="1" t="s">
        <v>77</v>
      </c>
      <c r="F200" s="1" t="s">
        <v>23</v>
      </c>
      <c r="G200" s="1" t="s">
        <v>24</v>
      </c>
      <c r="H200">
        <v>2481</v>
      </c>
      <c r="I200">
        <v>2575.83</v>
      </c>
      <c r="J200" s="1" t="s">
        <v>17</v>
      </c>
      <c r="K200" s="1" t="s">
        <v>32</v>
      </c>
      <c r="L200">
        <v>9</v>
      </c>
      <c r="M200" t="s">
        <v>42</v>
      </c>
    </row>
    <row r="201" spans="1:13" ht="15.75" customHeight="1" x14ac:dyDescent="0.35">
      <c r="A201" s="1" t="s">
        <v>105</v>
      </c>
      <c r="B201" t="s">
        <v>1083</v>
      </c>
      <c r="C201" t="s">
        <v>1084</v>
      </c>
      <c r="D201" s="4">
        <v>45015</v>
      </c>
      <c r="E201" s="1" t="s">
        <v>85</v>
      </c>
      <c r="F201" s="1" t="s">
        <v>23</v>
      </c>
      <c r="G201" s="1" t="s">
        <v>24</v>
      </c>
      <c r="H201">
        <v>2481</v>
      </c>
      <c r="I201">
        <v>2575.83</v>
      </c>
      <c r="J201" s="1" t="s">
        <v>42</v>
      </c>
      <c r="K201" s="1" t="s">
        <v>1093</v>
      </c>
      <c r="L201" s="1">
        <v>16</v>
      </c>
      <c r="M201" s="1" t="s">
        <v>65</v>
      </c>
    </row>
    <row r="202" spans="1:13" ht="15.75" customHeight="1" x14ac:dyDescent="0.35">
      <c r="A202" s="1" t="s">
        <v>192</v>
      </c>
      <c r="B202" t="s">
        <v>1083</v>
      </c>
      <c r="C202" t="s">
        <v>1084</v>
      </c>
      <c r="D202" s="4">
        <v>44930</v>
      </c>
      <c r="E202" s="1" t="s">
        <v>16</v>
      </c>
      <c r="F202" s="1" t="s">
        <v>31</v>
      </c>
      <c r="G202" s="1" t="s">
        <v>54</v>
      </c>
      <c r="H202">
        <v>2481</v>
      </c>
      <c r="I202" s="1">
        <v>1527.46</v>
      </c>
      <c r="J202" s="1" t="s">
        <v>25</v>
      </c>
      <c r="K202" s="1" t="s">
        <v>26</v>
      </c>
      <c r="L202">
        <v>9</v>
      </c>
      <c r="M202" t="s">
        <v>19</v>
      </c>
    </row>
    <row r="203" spans="1:13" ht="15.75" customHeight="1" x14ac:dyDescent="0.35">
      <c r="A203" s="1" t="s">
        <v>38</v>
      </c>
      <c r="B203" t="s">
        <v>1083</v>
      </c>
      <c r="C203" t="s">
        <v>1084</v>
      </c>
      <c r="D203" s="4">
        <v>45023</v>
      </c>
      <c r="E203" s="1" t="s">
        <v>16</v>
      </c>
      <c r="F203" s="1" t="s">
        <v>47</v>
      </c>
      <c r="G203" s="1" t="s">
        <v>48</v>
      </c>
      <c r="H203">
        <v>2481</v>
      </c>
      <c r="I203">
        <v>2575.83</v>
      </c>
      <c r="J203" s="1" t="s">
        <v>25</v>
      </c>
      <c r="K203" s="1" t="s">
        <v>32</v>
      </c>
      <c r="L203">
        <v>9</v>
      </c>
      <c r="M203" t="s">
        <v>65</v>
      </c>
    </row>
    <row r="204" spans="1:13" ht="15.75" customHeight="1" x14ac:dyDescent="0.35">
      <c r="A204" s="1" t="s">
        <v>33</v>
      </c>
      <c r="B204" s="1" t="s">
        <v>406</v>
      </c>
      <c r="C204" s="1" t="s">
        <v>221</v>
      </c>
      <c r="D204" s="4">
        <v>45040</v>
      </c>
      <c r="E204" s="1" t="s">
        <v>30</v>
      </c>
      <c r="F204" t="s">
        <v>1085</v>
      </c>
      <c r="G204" s="1" t="s">
        <v>48</v>
      </c>
      <c r="H204">
        <v>2481</v>
      </c>
      <c r="I204" s="1">
        <v>2561.21</v>
      </c>
      <c r="J204" s="1" t="s">
        <v>17</v>
      </c>
      <c r="K204" s="1" t="s">
        <v>18</v>
      </c>
      <c r="L204" s="1">
        <v>18</v>
      </c>
      <c r="M204" s="1" t="s">
        <v>65</v>
      </c>
    </row>
    <row r="205" spans="1:13" ht="15.75" customHeight="1" x14ac:dyDescent="0.35">
      <c r="A205" s="1" t="s">
        <v>277</v>
      </c>
      <c r="B205" t="s">
        <v>1083</v>
      </c>
      <c r="C205" s="1" t="s">
        <v>408</v>
      </c>
      <c r="D205" s="4">
        <v>45275</v>
      </c>
      <c r="E205" s="1" t="s">
        <v>85</v>
      </c>
      <c r="F205" s="1" t="s">
        <v>31</v>
      </c>
      <c r="G205" s="1" t="s">
        <v>24</v>
      </c>
      <c r="H205" s="1">
        <v>2481</v>
      </c>
      <c r="I205">
        <v>2575.83</v>
      </c>
      <c r="J205" s="1" t="s">
        <v>42</v>
      </c>
      <c r="K205" s="1" t="s">
        <v>32</v>
      </c>
      <c r="L205">
        <v>9</v>
      </c>
      <c r="M205" t="s">
        <v>65</v>
      </c>
    </row>
    <row r="206" spans="1:13" ht="15.75" customHeight="1" x14ac:dyDescent="0.35">
      <c r="A206" s="1" t="s">
        <v>55</v>
      </c>
      <c r="B206" s="1" t="s">
        <v>410</v>
      </c>
      <c r="C206" s="1" t="s">
        <v>308</v>
      </c>
      <c r="D206" s="4">
        <v>45168</v>
      </c>
      <c r="E206" s="1" t="s">
        <v>85</v>
      </c>
      <c r="F206" t="s">
        <v>1085</v>
      </c>
      <c r="G206" s="1" t="s">
        <v>48</v>
      </c>
      <c r="H206" s="1">
        <v>2672.7</v>
      </c>
      <c r="I206" s="1">
        <v>4360.7</v>
      </c>
      <c r="J206" s="1" t="s">
        <v>17</v>
      </c>
      <c r="K206" s="1" t="s">
        <v>18</v>
      </c>
      <c r="L206">
        <v>9</v>
      </c>
      <c r="M206" t="s">
        <v>42</v>
      </c>
    </row>
    <row r="207" spans="1:13" ht="15.75" customHeight="1" x14ac:dyDescent="0.35">
      <c r="A207" s="1" t="s">
        <v>173</v>
      </c>
      <c r="B207" t="s">
        <v>1083</v>
      </c>
      <c r="C207" s="1" t="s">
        <v>314</v>
      </c>
      <c r="D207" s="4">
        <v>45097</v>
      </c>
      <c r="E207" s="1" t="s">
        <v>85</v>
      </c>
      <c r="F207" s="1" t="s">
        <v>31</v>
      </c>
      <c r="G207" t="s">
        <v>1086</v>
      </c>
      <c r="H207">
        <v>2481</v>
      </c>
      <c r="I207" s="1">
        <v>1086.44</v>
      </c>
      <c r="J207" s="1" t="s">
        <v>17</v>
      </c>
      <c r="K207" s="1" t="s">
        <v>18</v>
      </c>
      <c r="L207" s="1">
        <v>31</v>
      </c>
      <c r="M207" s="1" t="s">
        <v>65</v>
      </c>
    </row>
    <row r="208" spans="1:13" ht="15.75" customHeight="1" x14ac:dyDescent="0.35">
      <c r="A208" s="1" t="s">
        <v>110</v>
      </c>
      <c r="B208" t="s">
        <v>1083</v>
      </c>
      <c r="C208" t="s">
        <v>1084</v>
      </c>
      <c r="D208" s="4">
        <v>45146</v>
      </c>
      <c r="E208" s="1" t="s">
        <v>16</v>
      </c>
      <c r="F208" s="1" t="s">
        <v>47</v>
      </c>
      <c r="G208" s="1" t="s">
        <v>24</v>
      </c>
      <c r="H208">
        <v>2481</v>
      </c>
      <c r="I208">
        <v>2575.83</v>
      </c>
      <c r="J208" s="1" t="s">
        <v>17</v>
      </c>
      <c r="K208" s="1" t="s">
        <v>26</v>
      </c>
      <c r="L208" s="1">
        <v>43</v>
      </c>
      <c r="M208" s="1" t="s">
        <v>65</v>
      </c>
    </row>
    <row r="209" spans="1:13" ht="15.75" customHeight="1" x14ac:dyDescent="0.35">
      <c r="A209" s="1" t="s">
        <v>198</v>
      </c>
      <c r="B209" t="s">
        <v>1083</v>
      </c>
      <c r="C209" s="1" t="s">
        <v>414</v>
      </c>
      <c r="D209" s="4">
        <v>45184</v>
      </c>
      <c r="E209" s="1" t="s">
        <v>92</v>
      </c>
      <c r="F209" s="1" t="s">
        <v>93</v>
      </c>
      <c r="G209" s="1" t="s">
        <v>61</v>
      </c>
      <c r="H209">
        <v>2481</v>
      </c>
      <c r="I209">
        <v>2575.83</v>
      </c>
      <c r="J209" s="1" t="s">
        <v>17</v>
      </c>
      <c r="K209" s="1" t="s">
        <v>57</v>
      </c>
      <c r="L209">
        <v>9</v>
      </c>
      <c r="M209" t="s">
        <v>65</v>
      </c>
    </row>
    <row r="210" spans="1:13" ht="15.75" customHeight="1" x14ac:dyDescent="0.35">
      <c r="A210" s="1" t="s">
        <v>114</v>
      </c>
      <c r="B210" t="s">
        <v>1083</v>
      </c>
      <c r="C210" s="1" t="s">
        <v>63</v>
      </c>
      <c r="D210" s="4">
        <v>45011</v>
      </c>
      <c r="E210" s="1" t="s">
        <v>85</v>
      </c>
      <c r="F210" t="s">
        <v>1085</v>
      </c>
      <c r="G210" s="1" t="s">
        <v>24</v>
      </c>
      <c r="H210">
        <v>2481</v>
      </c>
      <c r="I210">
        <v>2575.83</v>
      </c>
      <c r="J210" s="1" t="s">
        <v>25</v>
      </c>
      <c r="K210" s="1" t="s">
        <v>1093</v>
      </c>
      <c r="L210">
        <v>9</v>
      </c>
      <c r="M210" t="s">
        <v>19</v>
      </c>
    </row>
    <row r="211" spans="1:13" ht="15.75" customHeight="1" x14ac:dyDescent="0.35">
      <c r="A211" s="1" t="s">
        <v>202</v>
      </c>
      <c r="B211" t="s">
        <v>1083</v>
      </c>
      <c r="C211" s="1" t="s">
        <v>416</v>
      </c>
      <c r="D211" s="4">
        <v>45265</v>
      </c>
      <c r="E211" s="1" t="s">
        <v>16</v>
      </c>
      <c r="F211" t="s">
        <v>1085</v>
      </c>
      <c r="G211" s="1" t="s">
        <v>61</v>
      </c>
      <c r="H211" s="1">
        <v>2113.04</v>
      </c>
      <c r="I211">
        <v>2575.83</v>
      </c>
      <c r="J211" s="1" t="s">
        <v>17</v>
      </c>
      <c r="K211" s="1" t="s">
        <v>18</v>
      </c>
      <c r="L211">
        <v>9</v>
      </c>
      <c r="M211" t="s">
        <v>19</v>
      </c>
    </row>
    <row r="212" spans="1:13" ht="15.75" customHeight="1" x14ac:dyDescent="0.35">
      <c r="A212" s="1" t="s">
        <v>192</v>
      </c>
      <c r="B212" t="s">
        <v>1083</v>
      </c>
      <c r="C212" t="s">
        <v>1084</v>
      </c>
      <c r="D212" s="4">
        <v>45245</v>
      </c>
      <c r="E212" s="1" t="s">
        <v>77</v>
      </c>
      <c r="F212" s="1" t="s">
        <v>23</v>
      </c>
      <c r="G212" s="1" t="s">
        <v>54</v>
      </c>
      <c r="H212">
        <v>2481</v>
      </c>
      <c r="I212" s="1">
        <v>614.36</v>
      </c>
      <c r="J212" s="1" t="s">
        <v>25</v>
      </c>
      <c r="K212" s="1" t="s">
        <v>18</v>
      </c>
      <c r="L212" s="1">
        <v>38</v>
      </c>
      <c r="M212" s="1" t="s">
        <v>19</v>
      </c>
    </row>
    <row r="213" spans="1:13" ht="15.75" customHeight="1" x14ac:dyDescent="0.35">
      <c r="A213" s="1" t="s">
        <v>302</v>
      </c>
      <c r="B213" t="s">
        <v>1083</v>
      </c>
      <c r="C213" t="s">
        <v>1084</v>
      </c>
      <c r="D213" s="4">
        <v>44947</v>
      </c>
      <c r="E213" s="1" t="s">
        <v>77</v>
      </c>
      <c r="F213" s="1" t="s">
        <v>93</v>
      </c>
      <c r="G213" t="s">
        <v>1086</v>
      </c>
      <c r="H213">
        <v>2481</v>
      </c>
      <c r="I213">
        <v>2575.83</v>
      </c>
      <c r="J213" s="1" t="s">
        <v>25</v>
      </c>
      <c r="K213" s="1" t="s">
        <v>26</v>
      </c>
      <c r="L213">
        <v>9</v>
      </c>
      <c r="M213" t="s">
        <v>65</v>
      </c>
    </row>
    <row r="214" spans="1:13" ht="15.75" customHeight="1" x14ac:dyDescent="0.35">
      <c r="A214" s="1" t="s">
        <v>50</v>
      </c>
      <c r="B214" t="s">
        <v>1083</v>
      </c>
      <c r="C214" s="1" t="s">
        <v>68</v>
      </c>
      <c r="D214" s="4">
        <v>45256</v>
      </c>
      <c r="E214" s="1" t="s">
        <v>92</v>
      </c>
      <c r="F214" s="1" t="s">
        <v>31</v>
      </c>
      <c r="G214" s="1" t="s">
        <v>48</v>
      </c>
      <c r="H214" s="1">
        <v>297.89999999999998</v>
      </c>
      <c r="I214">
        <v>2575.83</v>
      </c>
      <c r="J214" s="1" t="s">
        <v>42</v>
      </c>
      <c r="K214" s="1" t="s">
        <v>1093</v>
      </c>
      <c r="L214" s="1">
        <v>47</v>
      </c>
      <c r="M214" s="1" t="s">
        <v>19</v>
      </c>
    </row>
    <row r="215" spans="1:13" ht="15.75" customHeight="1" x14ac:dyDescent="0.35">
      <c r="A215" s="1" t="s">
        <v>231</v>
      </c>
      <c r="B215" s="1" t="s">
        <v>421</v>
      </c>
      <c r="C215" s="1" t="s">
        <v>422</v>
      </c>
      <c r="D215" s="4">
        <v>45151</v>
      </c>
      <c r="E215" s="1" t="s">
        <v>92</v>
      </c>
      <c r="F215" t="s">
        <v>1085</v>
      </c>
      <c r="G215" s="1" t="s">
        <v>61</v>
      </c>
      <c r="H215">
        <v>2481</v>
      </c>
      <c r="I215">
        <v>2575.83</v>
      </c>
      <c r="J215" s="1" t="s">
        <v>25</v>
      </c>
      <c r="K215" s="1" t="s">
        <v>32</v>
      </c>
      <c r="L215">
        <v>9</v>
      </c>
      <c r="M215" t="s">
        <v>65</v>
      </c>
    </row>
    <row r="216" spans="1:13" ht="15.75" customHeight="1" x14ac:dyDescent="0.35">
      <c r="A216" s="1" t="s">
        <v>70</v>
      </c>
      <c r="B216" s="1" t="s">
        <v>424</v>
      </c>
      <c r="C216" s="1" t="s">
        <v>425</v>
      </c>
      <c r="D216" s="4">
        <v>45283</v>
      </c>
      <c r="E216" s="1" t="s">
        <v>77</v>
      </c>
      <c r="F216" s="1" t="s">
        <v>47</v>
      </c>
      <c r="G216" s="1" t="s">
        <v>48</v>
      </c>
      <c r="H216" s="1">
        <v>2481</v>
      </c>
      <c r="I216">
        <v>2575.83</v>
      </c>
      <c r="J216" s="1" t="s">
        <v>42</v>
      </c>
      <c r="K216" s="1" t="s">
        <v>57</v>
      </c>
      <c r="L216">
        <v>9</v>
      </c>
      <c r="M216" t="s">
        <v>65</v>
      </c>
    </row>
    <row r="217" spans="1:13" ht="15.75" customHeight="1" x14ac:dyDescent="0.35">
      <c r="A217" s="1" t="s">
        <v>285</v>
      </c>
      <c r="B217" s="1" t="s">
        <v>427</v>
      </c>
      <c r="C217" t="s">
        <v>1084</v>
      </c>
      <c r="D217" s="4">
        <v>45060</v>
      </c>
      <c r="E217" s="1" t="s">
        <v>92</v>
      </c>
      <c r="F217" s="1" t="s">
        <v>23</v>
      </c>
      <c r="G217" t="s">
        <v>1086</v>
      </c>
      <c r="H217">
        <v>2481</v>
      </c>
      <c r="I217">
        <v>2575.83</v>
      </c>
      <c r="J217" s="1" t="s">
        <v>42</v>
      </c>
      <c r="K217" s="1" t="s">
        <v>57</v>
      </c>
      <c r="L217">
        <v>9</v>
      </c>
      <c r="M217" t="s">
        <v>42</v>
      </c>
    </row>
    <row r="218" spans="1:13" ht="15.75" customHeight="1" x14ac:dyDescent="0.35">
      <c r="A218" s="1" t="s">
        <v>108</v>
      </c>
      <c r="B218" t="s">
        <v>1083</v>
      </c>
      <c r="C218" s="1" t="s">
        <v>183</v>
      </c>
      <c r="D218" s="4">
        <v>45266</v>
      </c>
      <c r="E218" s="1" t="s">
        <v>16</v>
      </c>
      <c r="F218" s="1" t="s">
        <v>53</v>
      </c>
      <c r="G218" s="1" t="s">
        <v>24</v>
      </c>
      <c r="H218" s="1">
        <v>4203.21</v>
      </c>
      <c r="I218" s="1">
        <v>107.64</v>
      </c>
      <c r="J218" s="1" t="s">
        <v>17</v>
      </c>
      <c r="K218" s="1" t="s">
        <v>1093</v>
      </c>
      <c r="L218">
        <v>9</v>
      </c>
      <c r="M218" t="s">
        <v>65</v>
      </c>
    </row>
    <row r="219" spans="1:13" ht="15.75" customHeight="1" x14ac:dyDescent="0.35">
      <c r="A219" s="1" t="s">
        <v>430</v>
      </c>
      <c r="B219" t="s">
        <v>1083</v>
      </c>
      <c r="C219" s="1" t="s">
        <v>139</v>
      </c>
      <c r="D219" s="4">
        <v>44952</v>
      </c>
      <c r="E219" s="1" t="s">
        <v>85</v>
      </c>
      <c r="F219" s="1" t="s">
        <v>47</v>
      </c>
      <c r="G219" t="s">
        <v>1086</v>
      </c>
      <c r="H219" s="1">
        <v>1924.26</v>
      </c>
      <c r="I219">
        <v>2575.83</v>
      </c>
      <c r="J219" s="1" t="s">
        <v>25</v>
      </c>
      <c r="K219" s="1" t="s">
        <v>26</v>
      </c>
      <c r="L219">
        <v>9</v>
      </c>
      <c r="M219" t="s">
        <v>65</v>
      </c>
    </row>
    <row r="220" spans="1:13" ht="15.75" customHeight="1" x14ac:dyDescent="0.35">
      <c r="A220" s="1" t="s">
        <v>58</v>
      </c>
      <c r="B220" t="s">
        <v>1083</v>
      </c>
      <c r="C220" s="1" t="s">
        <v>133</v>
      </c>
      <c r="D220" s="4">
        <v>44979</v>
      </c>
      <c r="E220" s="1" t="s">
        <v>30</v>
      </c>
      <c r="F220" s="1" t="s">
        <v>47</v>
      </c>
      <c r="G220" s="1" t="s">
        <v>61</v>
      </c>
      <c r="H220">
        <v>2481</v>
      </c>
      <c r="I220">
        <v>2575.83</v>
      </c>
      <c r="J220" s="1" t="s">
        <v>17</v>
      </c>
      <c r="K220" s="1" t="s">
        <v>1093</v>
      </c>
      <c r="L220">
        <v>9</v>
      </c>
      <c r="M220" t="s">
        <v>19</v>
      </c>
    </row>
    <row r="221" spans="1:13" ht="15.75" customHeight="1" x14ac:dyDescent="0.35">
      <c r="A221" s="1" t="s">
        <v>82</v>
      </c>
      <c r="B221" t="s">
        <v>1083</v>
      </c>
      <c r="C221" t="s">
        <v>1084</v>
      </c>
      <c r="D221" s="4">
        <v>45263</v>
      </c>
      <c r="E221" s="1" t="s">
        <v>16</v>
      </c>
      <c r="F221" t="s">
        <v>1085</v>
      </c>
      <c r="G221" s="1" t="s">
        <v>24</v>
      </c>
      <c r="H221">
        <v>2481</v>
      </c>
      <c r="I221">
        <v>2575.83</v>
      </c>
      <c r="J221" s="1" t="s">
        <v>25</v>
      </c>
      <c r="K221" s="1" t="s">
        <v>26</v>
      </c>
      <c r="L221" s="1">
        <v>57</v>
      </c>
      <c r="M221" s="1" t="s">
        <v>65</v>
      </c>
    </row>
    <row r="222" spans="1:13" ht="15.75" customHeight="1" x14ac:dyDescent="0.35">
      <c r="A222" s="1" t="s">
        <v>277</v>
      </c>
      <c r="B222" t="s">
        <v>1083</v>
      </c>
      <c r="C222" t="s">
        <v>1084</v>
      </c>
      <c r="D222" s="4">
        <v>44981</v>
      </c>
      <c r="E222" s="1" t="s">
        <v>85</v>
      </c>
      <c r="F222" s="1" t="s">
        <v>23</v>
      </c>
      <c r="G222" s="1" t="s">
        <v>48</v>
      </c>
      <c r="H222">
        <v>2481</v>
      </c>
      <c r="I222">
        <v>2575.83</v>
      </c>
      <c r="J222" s="1" t="s">
        <v>25</v>
      </c>
      <c r="K222" s="1" t="s">
        <v>57</v>
      </c>
      <c r="L222">
        <v>9</v>
      </c>
      <c r="M222" t="s">
        <v>65</v>
      </c>
    </row>
    <row r="223" spans="1:13" ht="15.75" customHeight="1" x14ac:dyDescent="0.35">
      <c r="A223" s="1" t="s">
        <v>249</v>
      </c>
      <c r="B223" t="s">
        <v>1083</v>
      </c>
      <c r="C223" t="s">
        <v>1084</v>
      </c>
      <c r="D223" s="4">
        <v>44951</v>
      </c>
      <c r="E223" s="1" t="s">
        <v>77</v>
      </c>
      <c r="F223" s="1" t="s">
        <v>47</v>
      </c>
      <c r="G223" s="1" t="s">
        <v>48</v>
      </c>
      <c r="H223">
        <v>2481</v>
      </c>
      <c r="I223" s="1">
        <v>3665.95</v>
      </c>
      <c r="J223" s="1" t="s">
        <v>25</v>
      </c>
      <c r="K223" s="1" t="s">
        <v>1093</v>
      </c>
      <c r="L223">
        <v>9</v>
      </c>
      <c r="M223" t="s">
        <v>42</v>
      </c>
    </row>
    <row r="224" spans="1:13" ht="15.75" customHeight="1" x14ac:dyDescent="0.35">
      <c r="A224" s="1" t="s">
        <v>58</v>
      </c>
      <c r="B224" t="s">
        <v>1083</v>
      </c>
      <c r="C224" s="1" t="s">
        <v>363</v>
      </c>
      <c r="D224" s="4">
        <v>45130</v>
      </c>
      <c r="E224" s="1" t="s">
        <v>77</v>
      </c>
      <c r="F224" s="1" t="s">
        <v>93</v>
      </c>
      <c r="G224" s="1" t="s">
        <v>24</v>
      </c>
      <c r="H224">
        <v>2481</v>
      </c>
      <c r="I224">
        <v>2575.83</v>
      </c>
      <c r="J224" s="1" t="s">
        <v>42</v>
      </c>
      <c r="K224" s="1" t="s">
        <v>57</v>
      </c>
      <c r="L224" s="1">
        <v>40</v>
      </c>
      <c r="M224" s="1" t="s">
        <v>65</v>
      </c>
    </row>
    <row r="225" spans="1:13" ht="15.75" customHeight="1" x14ac:dyDescent="0.35">
      <c r="A225" s="1" t="s">
        <v>187</v>
      </c>
      <c r="B225" t="s">
        <v>1083</v>
      </c>
      <c r="C225" t="s">
        <v>1084</v>
      </c>
      <c r="D225" s="4">
        <v>45290</v>
      </c>
      <c r="E225" s="1" t="s">
        <v>85</v>
      </c>
      <c r="F225" s="1" t="s">
        <v>47</v>
      </c>
      <c r="G225" s="1" t="s">
        <v>54</v>
      </c>
      <c r="H225" s="1">
        <v>3486.84</v>
      </c>
      <c r="I225">
        <v>2575.83</v>
      </c>
      <c r="J225" s="1" t="s">
        <v>25</v>
      </c>
      <c r="K225" s="1" t="s">
        <v>57</v>
      </c>
      <c r="L225">
        <v>9</v>
      </c>
      <c r="M225" t="s">
        <v>65</v>
      </c>
    </row>
    <row r="226" spans="1:13" ht="15.75" customHeight="1" x14ac:dyDescent="0.35">
      <c r="A226" s="1" t="s">
        <v>275</v>
      </c>
      <c r="B226" t="s">
        <v>1083</v>
      </c>
      <c r="C226" t="s">
        <v>1084</v>
      </c>
      <c r="D226" s="4">
        <v>44933</v>
      </c>
      <c r="E226" s="1" t="s">
        <v>77</v>
      </c>
      <c r="F226" s="1" t="s">
        <v>93</v>
      </c>
      <c r="G226" s="1" t="s">
        <v>61</v>
      </c>
      <c r="H226">
        <v>2481</v>
      </c>
      <c r="I226" s="1">
        <v>3763.42</v>
      </c>
      <c r="J226" s="1" t="s">
        <v>42</v>
      </c>
      <c r="K226" s="1" t="s">
        <v>32</v>
      </c>
      <c r="L226" s="1">
        <v>9</v>
      </c>
      <c r="M226" s="1" t="s">
        <v>19</v>
      </c>
    </row>
    <row r="227" spans="1:13" ht="15.75" customHeight="1" x14ac:dyDescent="0.35">
      <c r="A227" s="1" t="s">
        <v>187</v>
      </c>
      <c r="B227" t="s">
        <v>1083</v>
      </c>
      <c r="C227" t="s">
        <v>1084</v>
      </c>
      <c r="D227" s="4">
        <v>45242</v>
      </c>
      <c r="E227" s="1" t="s">
        <v>16</v>
      </c>
      <c r="F227" s="1" t="s">
        <v>47</v>
      </c>
      <c r="G227" s="1" t="s">
        <v>24</v>
      </c>
      <c r="H227" s="1">
        <v>2481</v>
      </c>
      <c r="I227">
        <v>2575.83</v>
      </c>
      <c r="J227" s="1" t="s">
        <v>42</v>
      </c>
      <c r="K227" s="1" t="s">
        <v>26</v>
      </c>
      <c r="L227">
        <v>9</v>
      </c>
      <c r="M227" t="s">
        <v>65</v>
      </c>
    </row>
    <row r="228" spans="1:13" ht="15.75" customHeight="1" x14ac:dyDescent="0.35">
      <c r="A228" s="1" t="s">
        <v>70</v>
      </c>
      <c r="B228" t="s">
        <v>1083</v>
      </c>
      <c r="C228" s="1" t="s">
        <v>228</v>
      </c>
      <c r="D228" s="4">
        <v>45030</v>
      </c>
      <c r="E228" s="1" t="s">
        <v>85</v>
      </c>
      <c r="F228" s="1" t="s">
        <v>53</v>
      </c>
      <c r="G228" s="1" t="s">
        <v>24</v>
      </c>
      <c r="H228">
        <v>2481</v>
      </c>
      <c r="I228">
        <v>2575.83</v>
      </c>
      <c r="J228" s="1" t="s">
        <v>17</v>
      </c>
      <c r="K228" s="1" t="s">
        <v>18</v>
      </c>
      <c r="L228">
        <v>9</v>
      </c>
      <c r="M228" t="s">
        <v>65</v>
      </c>
    </row>
    <row r="229" spans="1:13" ht="15.75" customHeight="1" x14ac:dyDescent="0.35">
      <c r="A229" s="1" t="s">
        <v>261</v>
      </c>
      <c r="B229" s="1" t="s">
        <v>74</v>
      </c>
      <c r="C229" s="1" t="s">
        <v>135</v>
      </c>
      <c r="D229" s="4">
        <v>45022</v>
      </c>
      <c r="E229" s="1" t="s">
        <v>77</v>
      </c>
      <c r="F229" s="1" t="s">
        <v>23</v>
      </c>
      <c r="G229" s="1" t="s">
        <v>48</v>
      </c>
      <c r="H229">
        <v>2481</v>
      </c>
      <c r="I229">
        <v>2575.83</v>
      </c>
      <c r="J229" s="1" t="s">
        <v>25</v>
      </c>
      <c r="K229" s="1" t="s">
        <v>32</v>
      </c>
      <c r="L229">
        <v>9</v>
      </c>
      <c r="M229" t="s">
        <v>65</v>
      </c>
    </row>
    <row r="230" spans="1:13" ht="15.75" customHeight="1" x14ac:dyDescent="0.35">
      <c r="A230" s="1" t="s">
        <v>166</v>
      </c>
      <c r="B230" t="s">
        <v>1083</v>
      </c>
      <c r="C230" s="1" t="s">
        <v>440</v>
      </c>
      <c r="D230" s="4">
        <v>45242</v>
      </c>
      <c r="E230" s="1" t="s">
        <v>77</v>
      </c>
      <c r="F230" s="1" t="s">
        <v>47</v>
      </c>
      <c r="G230" s="1" t="s">
        <v>54</v>
      </c>
      <c r="H230">
        <v>2481</v>
      </c>
      <c r="I230" s="1">
        <v>2650.71</v>
      </c>
      <c r="J230" s="1" t="s">
        <v>17</v>
      </c>
      <c r="K230" s="1" t="s">
        <v>26</v>
      </c>
      <c r="L230">
        <v>9</v>
      </c>
      <c r="M230" t="s">
        <v>65</v>
      </c>
    </row>
    <row r="231" spans="1:13" ht="15.75" customHeight="1" x14ac:dyDescent="0.35">
      <c r="A231" s="1" t="s">
        <v>70</v>
      </c>
      <c r="B231" t="s">
        <v>1083</v>
      </c>
      <c r="C231" s="1" t="s">
        <v>442</v>
      </c>
      <c r="D231" s="4">
        <v>45036</v>
      </c>
      <c r="E231" s="1" t="s">
        <v>92</v>
      </c>
      <c r="F231" s="1" t="s">
        <v>31</v>
      </c>
      <c r="G231" s="1" t="s">
        <v>41</v>
      </c>
      <c r="H231" s="1">
        <v>2481</v>
      </c>
      <c r="I231">
        <v>2575.83</v>
      </c>
      <c r="J231" s="1" t="s">
        <v>25</v>
      </c>
      <c r="K231" s="1" t="s">
        <v>26</v>
      </c>
      <c r="L231">
        <v>9</v>
      </c>
      <c r="M231" t="s">
        <v>65</v>
      </c>
    </row>
    <row r="232" spans="1:13" ht="15.75" customHeight="1" x14ac:dyDescent="0.35">
      <c r="A232" s="1" t="s">
        <v>170</v>
      </c>
      <c r="B232" t="s">
        <v>1083</v>
      </c>
      <c r="C232" s="1" t="s">
        <v>87</v>
      </c>
      <c r="D232" s="4">
        <v>45276</v>
      </c>
      <c r="E232" s="1" t="s">
        <v>85</v>
      </c>
      <c r="F232" s="1" t="s">
        <v>23</v>
      </c>
      <c r="G232" s="1" t="s">
        <v>48</v>
      </c>
      <c r="H232">
        <v>2481</v>
      </c>
      <c r="I232">
        <v>2575.83</v>
      </c>
      <c r="J232" s="1" t="s">
        <v>42</v>
      </c>
      <c r="K232" s="1" t="s">
        <v>57</v>
      </c>
      <c r="L232">
        <v>9</v>
      </c>
      <c r="M232" t="s">
        <v>65</v>
      </c>
    </row>
    <row r="233" spans="1:13" ht="15.75" customHeight="1" x14ac:dyDescent="0.35">
      <c r="A233" s="1" t="s">
        <v>117</v>
      </c>
      <c r="B233" t="s">
        <v>1083</v>
      </c>
      <c r="C233" s="1" t="s">
        <v>130</v>
      </c>
      <c r="D233" s="4">
        <v>45091</v>
      </c>
      <c r="E233" s="1" t="s">
        <v>85</v>
      </c>
      <c r="F233" s="1" t="s">
        <v>47</v>
      </c>
      <c r="G233" s="1" t="s">
        <v>54</v>
      </c>
      <c r="H233">
        <v>2481</v>
      </c>
      <c r="I233" s="1">
        <v>3368.16</v>
      </c>
      <c r="J233" s="1" t="s">
        <v>25</v>
      </c>
      <c r="K233" s="1" t="s">
        <v>26</v>
      </c>
      <c r="L233">
        <v>9</v>
      </c>
      <c r="M233" t="s">
        <v>65</v>
      </c>
    </row>
    <row r="234" spans="1:13" ht="15.75" customHeight="1" x14ac:dyDescent="0.35">
      <c r="A234" s="1" t="s">
        <v>43</v>
      </c>
      <c r="B234" t="s">
        <v>1083</v>
      </c>
      <c r="C234" s="1" t="s">
        <v>135</v>
      </c>
      <c r="D234" s="4">
        <v>44939</v>
      </c>
      <c r="E234" s="1" t="s">
        <v>16</v>
      </c>
      <c r="F234" s="1" t="s">
        <v>23</v>
      </c>
      <c r="G234" s="1" t="s">
        <v>61</v>
      </c>
      <c r="H234" s="1">
        <v>931.06</v>
      </c>
      <c r="I234" s="1">
        <v>2896.06</v>
      </c>
      <c r="J234" s="1" t="s">
        <v>42</v>
      </c>
      <c r="K234" s="1" t="s">
        <v>1093</v>
      </c>
      <c r="L234">
        <v>9</v>
      </c>
      <c r="M234" t="s">
        <v>65</v>
      </c>
    </row>
    <row r="235" spans="1:13" ht="15.75" customHeight="1" x14ac:dyDescent="0.35">
      <c r="A235" s="1" t="s">
        <v>62</v>
      </c>
      <c r="B235" s="1" t="s">
        <v>446</v>
      </c>
      <c r="C235" s="1" t="s">
        <v>447</v>
      </c>
      <c r="D235" s="4">
        <v>45255</v>
      </c>
      <c r="E235" s="1" t="s">
        <v>30</v>
      </c>
      <c r="F235" s="1" t="s">
        <v>23</v>
      </c>
      <c r="G235" t="s">
        <v>1086</v>
      </c>
      <c r="H235" s="1">
        <v>2948.76</v>
      </c>
      <c r="I235">
        <v>2575.83</v>
      </c>
      <c r="J235" s="1" t="s">
        <v>25</v>
      </c>
      <c r="K235" s="1" t="s">
        <v>32</v>
      </c>
      <c r="L235">
        <v>9</v>
      </c>
      <c r="M235" t="s">
        <v>19</v>
      </c>
    </row>
    <row r="236" spans="1:13" ht="15.75" customHeight="1" x14ac:dyDescent="0.35">
      <c r="A236" s="1" t="s">
        <v>154</v>
      </c>
      <c r="B236" t="s">
        <v>1083</v>
      </c>
      <c r="C236" t="s">
        <v>1084</v>
      </c>
      <c r="D236" s="4">
        <v>45122</v>
      </c>
      <c r="E236" s="1" t="s">
        <v>77</v>
      </c>
      <c r="F236" s="1" t="s">
        <v>93</v>
      </c>
      <c r="G236" s="1" t="s">
        <v>54</v>
      </c>
      <c r="H236">
        <v>2481</v>
      </c>
      <c r="I236" s="1">
        <v>4802.66</v>
      </c>
      <c r="J236" s="1" t="s">
        <v>42</v>
      </c>
      <c r="K236" s="1" t="s">
        <v>32</v>
      </c>
      <c r="L236" s="1">
        <v>60</v>
      </c>
      <c r="M236" s="1" t="s">
        <v>42</v>
      </c>
    </row>
    <row r="237" spans="1:13" ht="15.75" customHeight="1" x14ac:dyDescent="0.35">
      <c r="A237" s="1" t="s">
        <v>20</v>
      </c>
      <c r="B237" s="1" t="s">
        <v>449</v>
      </c>
      <c r="C237" s="1" t="s">
        <v>238</v>
      </c>
      <c r="D237" s="4">
        <v>45128</v>
      </c>
      <c r="E237" s="1" t="s">
        <v>30</v>
      </c>
      <c r="F237" s="1" t="s">
        <v>23</v>
      </c>
      <c r="G237" s="1" t="s">
        <v>41</v>
      </c>
      <c r="H237">
        <v>2481</v>
      </c>
      <c r="I237">
        <v>2575.83</v>
      </c>
      <c r="J237" s="1" t="s">
        <v>17</v>
      </c>
      <c r="K237" s="1" t="s">
        <v>18</v>
      </c>
      <c r="L237" s="1">
        <v>10</v>
      </c>
      <c r="M237" s="1" t="s">
        <v>65</v>
      </c>
    </row>
    <row r="238" spans="1:13" ht="15.75" customHeight="1" x14ac:dyDescent="0.35">
      <c r="A238" s="1" t="s">
        <v>110</v>
      </c>
      <c r="B238" s="1" t="s">
        <v>451</v>
      </c>
      <c r="C238" s="1" t="s">
        <v>425</v>
      </c>
      <c r="D238" s="4">
        <v>44954</v>
      </c>
      <c r="E238" s="1" t="s">
        <v>77</v>
      </c>
      <c r="F238" t="s">
        <v>1085</v>
      </c>
      <c r="G238" s="1" t="s">
        <v>54</v>
      </c>
      <c r="H238" s="1">
        <v>412.07</v>
      </c>
      <c r="I238" s="1">
        <v>1290.9000000000001</v>
      </c>
      <c r="J238" s="1" t="s">
        <v>17</v>
      </c>
      <c r="K238" s="1" t="s">
        <v>1093</v>
      </c>
      <c r="L238">
        <v>9</v>
      </c>
      <c r="M238" t="s">
        <v>19</v>
      </c>
    </row>
    <row r="239" spans="1:13" ht="15.75" customHeight="1" x14ac:dyDescent="0.35">
      <c r="A239" s="1" t="s">
        <v>277</v>
      </c>
      <c r="B239" t="s">
        <v>1083</v>
      </c>
      <c r="C239" s="1" t="s">
        <v>453</v>
      </c>
      <c r="D239" s="4">
        <v>45072</v>
      </c>
      <c r="E239" s="1" t="s">
        <v>92</v>
      </c>
      <c r="F239" s="1" t="s">
        <v>53</v>
      </c>
      <c r="G239" s="1" t="s">
        <v>48</v>
      </c>
      <c r="H239">
        <v>2481</v>
      </c>
      <c r="I239" s="1">
        <v>3482.62</v>
      </c>
      <c r="J239" s="1" t="s">
        <v>17</v>
      </c>
      <c r="K239" s="1" t="s">
        <v>57</v>
      </c>
      <c r="L239">
        <v>9</v>
      </c>
      <c r="M239" t="s">
        <v>65</v>
      </c>
    </row>
    <row r="240" spans="1:13" ht="15.75" customHeight="1" x14ac:dyDescent="0.35">
      <c r="A240" s="1" t="s">
        <v>132</v>
      </c>
      <c r="B240" t="s">
        <v>1083</v>
      </c>
      <c r="C240" s="1" t="s">
        <v>455</v>
      </c>
      <c r="D240" s="4">
        <v>45255</v>
      </c>
      <c r="E240" s="1" t="s">
        <v>85</v>
      </c>
      <c r="F240" s="1" t="s">
        <v>31</v>
      </c>
      <c r="G240" s="1" t="s">
        <v>24</v>
      </c>
      <c r="H240" s="1">
        <v>2481</v>
      </c>
      <c r="I240">
        <v>2575.83</v>
      </c>
      <c r="J240" s="1" t="s">
        <v>42</v>
      </c>
      <c r="K240" s="1" t="s">
        <v>1093</v>
      </c>
      <c r="L240" s="1">
        <v>35</v>
      </c>
      <c r="M240" s="1" t="s">
        <v>65</v>
      </c>
    </row>
    <row r="241" spans="1:13" ht="15.75" customHeight="1" x14ac:dyDescent="0.35">
      <c r="A241" s="1" t="s">
        <v>43</v>
      </c>
      <c r="B241" s="1" t="s">
        <v>456</v>
      </c>
      <c r="C241" s="1" t="s">
        <v>97</v>
      </c>
      <c r="D241" s="4">
        <v>45061</v>
      </c>
      <c r="E241" s="1" t="s">
        <v>16</v>
      </c>
      <c r="F241" s="1" t="s">
        <v>23</v>
      </c>
      <c r="G241" t="s">
        <v>1086</v>
      </c>
      <c r="H241" s="1">
        <v>423.23</v>
      </c>
      <c r="I241">
        <v>2575.83</v>
      </c>
      <c r="J241" s="1" t="s">
        <v>25</v>
      </c>
      <c r="K241" s="1" t="s">
        <v>57</v>
      </c>
      <c r="L241" s="1">
        <v>13</v>
      </c>
      <c r="M241" s="1" t="s">
        <v>42</v>
      </c>
    </row>
    <row r="242" spans="1:13" ht="15.75" customHeight="1" x14ac:dyDescent="0.35">
      <c r="A242" s="1" t="s">
        <v>247</v>
      </c>
      <c r="B242" t="s">
        <v>1083</v>
      </c>
      <c r="C242" s="1" t="s">
        <v>458</v>
      </c>
      <c r="D242" s="4">
        <v>45041</v>
      </c>
      <c r="E242" s="1" t="s">
        <v>16</v>
      </c>
      <c r="F242" s="1" t="s">
        <v>31</v>
      </c>
      <c r="G242" s="1" t="s">
        <v>24</v>
      </c>
      <c r="H242" s="1">
        <v>2350.27</v>
      </c>
      <c r="I242">
        <v>2575.83</v>
      </c>
      <c r="J242" s="1" t="s">
        <v>25</v>
      </c>
      <c r="K242" s="1" t="s">
        <v>18</v>
      </c>
      <c r="L242">
        <v>9</v>
      </c>
      <c r="M242" t="s">
        <v>65</v>
      </c>
    </row>
    <row r="243" spans="1:13" ht="15.75" customHeight="1" x14ac:dyDescent="0.35">
      <c r="A243" s="1" t="s">
        <v>231</v>
      </c>
      <c r="B243" s="1" t="s">
        <v>460</v>
      </c>
      <c r="C243" s="1" t="s">
        <v>232</v>
      </c>
      <c r="D243" s="4">
        <v>45216</v>
      </c>
      <c r="E243" s="1" t="s">
        <v>85</v>
      </c>
      <c r="F243" s="1" t="s">
        <v>93</v>
      </c>
      <c r="G243" t="s">
        <v>1086</v>
      </c>
      <c r="H243" s="1">
        <v>3673.42</v>
      </c>
      <c r="I243">
        <v>2575.83</v>
      </c>
      <c r="J243" s="1" t="s">
        <v>17</v>
      </c>
      <c r="K243" s="1" t="s">
        <v>26</v>
      </c>
      <c r="L243">
        <v>9</v>
      </c>
      <c r="M243" t="s">
        <v>65</v>
      </c>
    </row>
    <row r="244" spans="1:13" ht="15.75" customHeight="1" x14ac:dyDescent="0.35">
      <c r="A244" s="1" t="s">
        <v>166</v>
      </c>
      <c r="B244" s="1" t="s">
        <v>462</v>
      </c>
      <c r="C244" t="s">
        <v>1084</v>
      </c>
      <c r="D244" s="4">
        <v>45125</v>
      </c>
      <c r="E244" s="1" t="s">
        <v>16</v>
      </c>
      <c r="F244" t="s">
        <v>1085</v>
      </c>
      <c r="G244" s="1" t="s">
        <v>41</v>
      </c>
      <c r="H244">
        <v>2481</v>
      </c>
      <c r="I244">
        <v>2575.83</v>
      </c>
      <c r="J244" s="1" t="s">
        <v>17</v>
      </c>
      <c r="K244" s="1" t="s">
        <v>57</v>
      </c>
      <c r="L244" s="1">
        <v>36</v>
      </c>
      <c r="M244" s="1" t="s">
        <v>65</v>
      </c>
    </row>
    <row r="245" spans="1:13" ht="15.75" customHeight="1" x14ac:dyDescent="0.35">
      <c r="A245" s="1" t="s">
        <v>43</v>
      </c>
      <c r="B245" t="s">
        <v>1083</v>
      </c>
      <c r="C245" s="1" t="s">
        <v>463</v>
      </c>
      <c r="D245" s="4">
        <v>45191</v>
      </c>
      <c r="E245" s="1" t="s">
        <v>30</v>
      </c>
      <c r="F245" s="1" t="s">
        <v>53</v>
      </c>
      <c r="G245" s="1" t="s">
        <v>41</v>
      </c>
      <c r="H245" s="1">
        <v>2481</v>
      </c>
      <c r="I245">
        <v>2575.83</v>
      </c>
      <c r="J245" s="1" t="s">
        <v>25</v>
      </c>
      <c r="K245" s="1" t="s">
        <v>57</v>
      </c>
      <c r="L245" s="1">
        <v>56</v>
      </c>
      <c r="M245" s="1" t="s">
        <v>65</v>
      </c>
    </row>
    <row r="246" spans="1:13" ht="15.75" customHeight="1" x14ac:dyDescent="0.35">
      <c r="A246" s="1" t="s">
        <v>132</v>
      </c>
      <c r="B246" s="1" t="s">
        <v>465</v>
      </c>
      <c r="C246" t="s">
        <v>1084</v>
      </c>
      <c r="D246" s="4">
        <v>45035</v>
      </c>
      <c r="E246" s="1" t="s">
        <v>92</v>
      </c>
      <c r="F246" s="1" t="s">
        <v>47</v>
      </c>
      <c r="G246" t="s">
        <v>1086</v>
      </c>
      <c r="H246">
        <v>2481</v>
      </c>
      <c r="I246">
        <v>2575.83</v>
      </c>
      <c r="J246" s="1" t="s">
        <v>25</v>
      </c>
      <c r="K246" s="1" t="s">
        <v>1093</v>
      </c>
      <c r="L246">
        <v>9</v>
      </c>
      <c r="M246" t="s">
        <v>65</v>
      </c>
    </row>
    <row r="247" spans="1:13" ht="15.75" customHeight="1" x14ac:dyDescent="0.35">
      <c r="A247" s="1" t="s">
        <v>187</v>
      </c>
      <c r="B247" s="1" t="s">
        <v>335</v>
      </c>
      <c r="C247" t="s">
        <v>1084</v>
      </c>
      <c r="D247" s="4">
        <v>44938</v>
      </c>
      <c r="E247" s="1" t="s">
        <v>30</v>
      </c>
      <c r="F247" s="1" t="s">
        <v>47</v>
      </c>
      <c r="G247" s="1" t="s">
        <v>24</v>
      </c>
      <c r="H247" s="1">
        <v>716.88</v>
      </c>
      <c r="I247" s="1">
        <v>4459.45</v>
      </c>
      <c r="J247" s="1" t="s">
        <v>25</v>
      </c>
      <c r="K247" s="1" t="s">
        <v>18</v>
      </c>
      <c r="L247" s="1">
        <v>16</v>
      </c>
      <c r="M247" s="1" t="s">
        <v>42</v>
      </c>
    </row>
    <row r="248" spans="1:13" ht="15.75" customHeight="1" x14ac:dyDescent="0.35">
      <c r="A248" s="1" t="s">
        <v>78</v>
      </c>
      <c r="B248" t="s">
        <v>1083</v>
      </c>
      <c r="C248" s="1" t="s">
        <v>308</v>
      </c>
      <c r="D248" s="4">
        <v>45265</v>
      </c>
      <c r="E248" s="1" t="s">
        <v>77</v>
      </c>
      <c r="F248" s="1" t="s">
        <v>47</v>
      </c>
      <c r="G248" s="1" t="s">
        <v>48</v>
      </c>
      <c r="H248">
        <v>2481</v>
      </c>
      <c r="I248">
        <v>2575.83</v>
      </c>
      <c r="J248" s="1" t="s">
        <v>17</v>
      </c>
      <c r="K248" s="1" t="s">
        <v>57</v>
      </c>
      <c r="L248" s="1">
        <v>52</v>
      </c>
      <c r="M248" s="1" t="s">
        <v>42</v>
      </c>
    </row>
    <row r="249" spans="1:13" ht="15.75" customHeight="1" x14ac:dyDescent="0.35">
      <c r="A249" s="1" t="s">
        <v>249</v>
      </c>
      <c r="B249" t="s">
        <v>1083</v>
      </c>
      <c r="C249" t="s">
        <v>1084</v>
      </c>
      <c r="D249" s="4">
        <v>45159</v>
      </c>
      <c r="E249" s="1" t="s">
        <v>85</v>
      </c>
      <c r="F249" s="1" t="s">
        <v>53</v>
      </c>
      <c r="G249" s="1" t="s">
        <v>48</v>
      </c>
      <c r="H249">
        <v>2481</v>
      </c>
      <c r="I249">
        <v>2575.83</v>
      </c>
      <c r="J249" s="1" t="s">
        <v>25</v>
      </c>
      <c r="K249" s="1" t="s">
        <v>18</v>
      </c>
      <c r="L249" s="1">
        <v>38</v>
      </c>
      <c r="M249" s="1" t="s">
        <v>65</v>
      </c>
    </row>
    <row r="250" spans="1:13" ht="15.75" customHeight="1" x14ac:dyDescent="0.35">
      <c r="A250" s="1" t="s">
        <v>285</v>
      </c>
      <c r="B250" t="s">
        <v>1083</v>
      </c>
      <c r="C250" s="1" t="s">
        <v>469</v>
      </c>
      <c r="D250" s="4">
        <v>44974</v>
      </c>
      <c r="E250" s="1" t="s">
        <v>30</v>
      </c>
      <c r="F250" s="1" t="s">
        <v>47</v>
      </c>
      <c r="G250" s="1" t="s">
        <v>61</v>
      </c>
      <c r="H250" s="1">
        <v>2481</v>
      </c>
      <c r="I250">
        <v>2575.83</v>
      </c>
      <c r="J250" s="1" t="s">
        <v>25</v>
      </c>
      <c r="K250" s="1" t="s">
        <v>57</v>
      </c>
      <c r="L250" s="1">
        <v>27</v>
      </c>
      <c r="M250" s="1" t="s">
        <v>65</v>
      </c>
    </row>
    <row r="251" spans="1:13" ht="15.75" customHeight="1" x14ac:dyDescent="0.35">
      <c r="A251" s="1" t="s">
        <v>179</v>
      </c>
      <c r="B251" t="s">
        <v>1083</v>
      </c>
      <c r="C251" s="1" t="s">
        <v>471</v>
      </c>
      <c r="D251" s="4">
        <v>44995</v>
      </c>
      <c r="E251" s="1" t="s">
        <v>85</v>
      </c>
      <c r="F251" s="1" t="s">
        <v>93</v>
      </c>
      <c r="G251" s="1" t="s">
        <v>61</v>
      </c>
      <c r="H251" s="1">
        <v>2481</v>
      </c>
      <c r="I251" s="1">
        <v>1326.13</v>
      </c>
      <c r="J251" s="1" t="s">
        <v>25</v>
      </c>
      <c r="K251" s="1" t="s">
        <v>57</v>
      </c>
      <c r="L251" s="1">
        <v>33</v>
      </c>
      <c r="M251" s="1" t="s">
        <v>42</v>
      </c>
    </row>
    <row r="252" spans="1:13" ht="15.75" customHeight="1" x14ac:dyDescent="0.35">
      <c r="A252" s="1" t="s">
        <v>89</v>
      </c>
      <c r="B252" t="s">
        <v>1083</v>
      </c>
      <c r="C252" t="s">
        <v>1084</v>
      </c>
      <c r="D252" s="4">
        <v>45136</v>
      </c>
      <c r="E252" s="1" t="s">
        <v>77</v>
      </c>
      <c r="F252" t="s">
        <v>1085</v>
      </c>
      <c r="G252" s="1" t="s">
        <v>54</v>
      </c>
      <c r="H252" s="1">
        <v>2481</v>
      </c>
      <c r="I252">
        <v>2575.83</v>
      </c>
      <c r="J252" s="1" t="s">
        <v>42</v>
      </c>
      <c r="K252" s="1" t="s">
        <v>1093</v>
      </c>
      <c r="L252" s="1">
        <v>48</v>
      </c>
      <c r="M252" s="1" t="s">
        <v>65</v>
      </c>
    </row>
    <row r="253" spans="1:13" ht="15.75" customHeight="1" x14ac:dyDescent="0.35">
      <c r="A253" s="1" t="s">
        <v>20</v>
      </c>
      <c r="B253" t="s">
        <v>1083</v>
      </c>
      <c r="C253" t="s">
        <v>1084</v>
      </c>
      <c r="D253" s="4">
        <v>45211</v>
      </c>
      <c r="E253" s="1" t="s">
        <v>92</v>
      </c>
      <c r="F253" s="1" t="s">
        <v>47</v>
      </c>
      <c r="G253" s="1" t="s">
        <v>41</v>
      </c>
      <c r="H253">
        <v>2481</v>
      </c>
      <c r="I253">
        <v>2575.83</v>
      </c>
      <c r="J253" s="1" t="s">
        <v>25</v>
      </c>
      <c r="K253" s="1" t="s">
        <v>18</v>
      </c>
      <c r="L253">
        <v>9</v>
      </c>
      <c r="M253" t="s">
        <v>65</v>
      </c>
    </row>
    <row r="254" spans="1:13" ht="15.75" customHeight="1" x14ac:dyDescent="0.35">
      <c r="A254" s="1" t="s">
        <v>108</v>
      </c>
      <c r="B254" t="s">
        <v>1083</v>
      </c>
      <c r="C254" t="s">
        <v>1084</v>
      </c>
      <c r="D254" s="4">
        <v>45283</v>
      </c>
      <c r="E254" s="1" t="s">
        <v>16</v>
      </c>
      <c r="F254" s="1" t="s">
        <v>23</v>
      </c>
      <c r="G254" s="1" t="s">
        <v>24</v>
      </c>
      <c r="H254" s="1">
        <v>1976.06</v>
      </c>
      <c r="I254" s="1">
        <v>4031.63</v>
      </c>
      <c r="J254" s="1" t="s">
        <v>25</v>
      </c>
      <c r="K254" s="1" t="s">
        <v>57</v>
      </c>
      <c r="L254" s="1">
        <v>27</v>
      </c>
      <c r="M254" s="1" t="s">
        <v>19</v>
      </c>
    </row>
    <row r="255" spans="1:13" ht="15.75" customHeight="1" x14ac:dyDescent="0.35">
      <c r="A255" s="1" t="s">
        <v>247</v>
      </c>
      <c r="B255" t="s">
        <v>1083</v>
      </c>
      <c r="C255" s="1" t="s">
        <v>203</v>
      </c>
      <c r="D255" s="4">
        <v>45241</v>
      </c>
      <c r="E255" s="1" t="s">
        <v>30</v>
      </c>
      <c r="F255" s="1" t="s">
        <v>31</v>
      </c>
      <c r="G255" t="s">
        <v>1086</v>
      </c>
      <c r="H255">
        <v>2481</v>
      </c>
      <c r="I255">
        <v>2575.83</v>
      </c>
      <c r="J255" s="1" t="s">
        <v>25</v>
      </c>
      <c r="K255" s="1" t="s">
        <v>18</v>
      </c>
      <c r="L255">
        <v>9</v>
      </c>
      <c r="M255" t="s">
        <v>42</v>
      </c>
    </row>
    <row r="256" spans="1:13" ht="15.75" customHeight="1" x14ac:dyDescent="0.35">
      <c r="A256" s="1" t="s">
        <v>261</v>
      </c>
      <c r="B256" s="1" t="s">
        <v>476</v>
      </c>
      <c r="C256" s="1" t="s">
        <v>440</v>
      </c>
      <c r="D256" s="4">
        <v>45241</v>
      </c>
      <c r="E256" s="1" t="s">
        <v>92</v>
      </c>
      <c r="F256" s="1" t="s">
        <v>93</v>
      </c>
      <c r="G256" t="s">
        <v>1086</v>
      </c>
      <c r="H256" s="1">
        <v>51.42</v>
      </c>
      <c r="I256">
        <v>2575.83</v>
      </c>
      <c r="J256" s="1" t="s">
        <v>42</v>
      </c>
      <c r="K256" s="1" t="s">
        <v>1093</v>
      </c>
      <c r="L256">
        <v>9</v>
      </c>
      <c r="M256" t="s">
        <v>65</v>
      </c>
    </row>
    <row r="257" spans="1:13" ht="15.75" customHeight="1" x14ac:dyDescent="0.35">
      <c r="A257" s="1" t="s">
        <v>302</v>
      </c>
      <c r="B257" t="s">
        <v>1083</v>
      </c>
      <c r="C257" s="1" t="s">
        <v>271</v>
      </c>
      <c r="D257" s="4">
        <v>45072</v>
      </c>
      <c r="E257" s="1" t="s">
        <v>85</v>
      </c>
      <c r="F257" s="1" t="s">
        <v>47</v>
      </c>
      <c r="G257" s="1" t="s">
        <v>54</v>
      </c>
      <c r="H257">
        <v>2481</v>
      </c>
      <c r="I257" s="1">
        <v>3051.5</v>
      </c>
      <c r="J257" s="1" t="s">
        <v>25</v>
      </c>
      <c r="K257" s="1" t="s">
        <v>1093</v>
      </c>
      <c r="L257" s="1">
        <v>36</v>
      </c>
      <c r="M257" s="1" t="s">
        <v>19</v>
      </c>
    </row>
    <row r="258" spans="1:13" ht="15.75" customHeight="1" x14ac:dyDescent="0.35">
      <c r="A258" s="1" t="s">
        <v>102</v>
      </c>
      <c r="B258" t="s">
        <v>1083</v>
      </c>
      <c r="C258" s="1" t="s">
        <v>479</v>
      </c>
      <c r="D258" s="4">
        <v>45184</v>
      </c>
      <c r="E258" s="1" t="s">
        <v>85</v>
      </c>
      <c r="F258" s="1" t="s">
        <v>47</v>
      </c>
      <c r="G258" s="1" t="s">
        <v>41</v>
      </c>
      <c r="H258">
        <v>2481</v>
      </c>
      <c r="I258">
        <v>2575.83</v>
      </c>
      <c r="J258" s="1" t="s">
        <v>17</v>
      </c>
      <c r="K258" s="1" t="s">
        <v>1093</v>
      </c>
      <c r="L258" s="1">
        <v>49</v>
      </c>
      <c r="M258" s="1" t="s">
        <v>19</v>
      </c>
    </row>
    <row r="259" spans="1:13" ht="15.75" customHeight="1" x14ac:dyDescent="0.35">
      <c r="A259" s="1" t="s">
        <v>202</v>
      </c>
      <c r="B259" t="s">
        <v>1083</v>
      </c>
      <c r="C259" s="1" t="s">
        <v>152</v>
      </c>
      <c r="D259" s="4">
        <v>45173</v>
      </c>
      <c r="E259" s="1" t="s">
        <v>77</v>
      </c>
      <c r="F259" t="s">
        <v>1085</v>
      </c>
      <c r="G259" s="1" t="s">
        <v>24</v>
      </c>
      <c r="H259">
        <v>2481</v>
      </c>
      <c r="I259">
        <v>2575.83</v>
      </c>
      <c r="J259" s="1" t="s">
        <v>17</v>
      </c>
      <c r="K259" s="1" t="s">
        <v>57</v>
      </c>
      <c r="L259">
        <v>9</v>
      </c>
      <c r="M259" t="s">
        <v>19</v>
      </c>
    </row>
    <row r="260" spans="1:13" ht="15.75" customHeight="1" x14ac:dyDescent="0.35">
      <c r="A260" s="1" t="s">
        <v>170</v>
      </c>
      <c r="B260" s="1" t="s">
        <v>482</v>
      </c>
      <c r="C260" t="s">
        <v>1084</v>
      </c>
      <c r="D260" s="4">
        <v>45210</v>
      </c>
      <c r="E260" s="1" t="s">
        <v>92</v>
      </c>
      <c r="F260" s="1" t="s">
        <v>31</v>
      </c>
      <c r="G260" s="1" t="s">
        <v>24</v>
      </c>
      <c r="H260">
        <v>2481</v>
      </c>
      <c r="I260">
        <v>2575.83</v>
      </c>
      <c r="J260" s="1" t="s">
        <v>17</v>
      </c>
      <c r="K260" s="1" t="s">
        <v>1093</v>
      </c>
      <c r="L260" s="1">
        <v>47</v>
      </c>
      <c r="M260" s="1" t="s">
        <v>65</v>
      </c>
    </row>
    <row r="261" spans="1:13" ht="15.75" customHeight="1" x14ac:dyDescent="0.35">
      <c r="A261" s="1" t="s">
        <v>148</v>
      </c>
      <c r="B261" t="s">
        <v>1083</v>
      </c>
      <c r="C261" s="1" t="s">
        <v>484</v>
      </c>
      <c r="D261" s="4">
        <v>45054</v>
      </c>
      <c r="E261" s="1" t="s">
        <v>85</v>
      </c>
      <c r="F261" s="1" t="s">
        <v>23</v>
      </c>
      <c r="G261" s="1" t="s">
        <v>61</v>
      </c>
      <c r="H261" s="1">
        <v>2481</v>
      </c>
      <c r="I261">
        <v>2575.83</v>
      </c>
      <c r="J261" s="1" t="s">
        <v>25</v>
      </c>
      <c r="K261" s="1" t="s">
        <v>1093</v>
      </c>
      <c r="L261">
        <v>9</v>
      </c>
      <c r="M261" t="s">
        <v>19</v>
      </c>
    </row>
    <row r="262" spans="1:13" ht="15.75" customHeight="1" x14ac:dyDescent="0.35">
      <c r="A262" s="1" t="s">
        <v>117</v>
      </c>
      <c r="B262" t="s">
        <v>1083</v>
      </c>
      <c r="C262" s="1" t="s">
        <v>486</v>
      </c>
      <c r="D262" s="4">
        <v>45188</v>
      </c>
      <c r="E262" s="1" t="s">
        <v>85</v>
      </c>
      <c r="F262" s="1" t="s">
        <v>47</v>
      </c>
      <c r="G262" s="1" t="s">
        <v>24</v>
      </c>
      <c r="H262" s="1">
        <v>2481</v>
      </c>
      <c r="I262" s="1">
        <v>4701.29</v>
      </c>
      <c r="J262" s="1" t="s">
        <v>17</v>
      </c>
      <c r="K262" s="1" t="s">
        <v>32</v>
      </c>
      <c r="L262">
        <v>9</v>
      </c>
      <c r="M262" t="s">
        <v>65</v>
      </c>
    </row>
    <row r="263" spans="1:13" ht="15.75" customHeight="1" x14ac:dyDescent="0.35">
      <c r="A263" s="1" t="s">
        <v>173</v>
      </c>
      <c r="B263" t="s">
        <v>1083</v>
      </c>
      <c r="C263" t="s">
        <v>1084</v>
      </c>
      <c r="D263" s="4">
        <v>45088</v>
      </c>
      <c r="E263" s="1" t="s">
        <v>16</v>
      </c>
      <c r="F263" s="1" t="s">
        <v>93</v>
      </c>
      <c r="G263" s="1" t="s">
        <v>48</v>
      </c>
      <c r="H263">
        <v>2481</v>
      </c>
      <c r="I263">
        <v>2575.83</v>
      </c>
      <c r="J263" s="1" t="s">
        <v>17</v>
      </c>
      <c r="K263" s="1" t="s">
        <v>57</v>
      </c>
      <c r="L263" s="1">
        <v>16</v>
      </c>
      <c r="M263" s="1" t="s">
        <v>19</v>
      </c>
    </row>
    <row r="264" spans="1:13" ht="15.75" customHeight="1" x14ac:dyDescent="0.35">
      <c r="A264" s="1" t="s">
        <v>285</v>
      </c>
      <c r="B264" t="s">
        <v>1083</v>
      </c>
      <c r="C264" s="1" t="s">
        <v>356</v>
      </c>
      <c r="D264" s="4">
        <v>45144</v>
      </c>
      <c r="E264" s="1" t="s">
        <v>16</v>
      </c>
      <c r="F264" s="1" t="s">
        <v>31</v>
      </c>
      <c r="G264" s="1" t="s">
        <v>41</v>
      </c>
      <c r="H264" s="1">
        <v>2481</v>
      </c>
      <c r="I264" s="1">
        <v>940.45</v>
      </c>
      <c r="J264" s="1" t="s">
        <v>17</v>
      </c>
      <c r="K264" s="1" t="s">
        <v>18</v>
      </c>
      <c r="L264" s="1">
        <v>52</v>
      </c>
      <c r="M264" s="1" t="s">
        <v>19</v>
      </c>
    </row>
    <row r="265" spans="1:13" ht="15.75" customHeight="1" x14ac:dyDescent="0.35">
      <c r="A265" s="1" t="s">
        <v>170</v>
      </c>
      <c r="B265" t="s">
        <v>1083</v>
      </c>
      <c r="C265" s="1" t="s">
        <v>80</v>
      </c>
      <c r="D265" s="4">
        <v>45001</v>
      </c>
      <c r="E265" s="1" t="s">
        <v>85</v>
      </c>
      <c r="F265" s="1" t="s">
        <v>53</v>
      </c>
      <c r="G265" s="1" t="s">
        <v>48</v>
      </c>
      <c r="H265">
        <v>2481</v>
      </c>
      <c r="I265">
        <v>2575.83</v>
      </c>
      <c r="J265" s="1" t="s">
        <v>42</v>
      </c>
      <c r="K265" s="1" t="s">
        <v>57</v>
      </c>
      <c r="L265">
        <v>9</v>
      </c>
      <c r="M265" t="s">
        <v>19</v>
      </c>
    </row>
    <row r="266" spans="1:13" ht="15.75" customHeight="1" x14ac:dyDescent="0.35">
      <c r="A266" s="1" t="s">
        <v>78</v>
      </c>
      <c r="B266" t="s">
        <v>1083</v>
      </c>
      <c r="C266" s="1" t="s">
        <v>491</v>
      </c>
      <c r="D266" s="4">
        <v>45170</v>
      </c>
      <c r="E266" s="1" t="s">
        <v>16</v>
      </c>
      <c r="F266" s="1" t="s">
        <v>53</v>
      </c>
      <c r="G266" t="s">
        <v>1086</v>
      </c>
      <c r="H266">
        <v>2481</v>
      </c>
      <c r="I266">
        <v>2575.83</v>
      </c>
      <c r="J266" s="1" t="s">
        <v>42</v>
      </c>
      <c r="K266" s="1" t="s">
        <v>26</v>
      </c>
      <c r="L266" s="1">
        <v>26</v>
      </c>
      <c r="M266" s="1" t="s">
        <v>19</v>
      </c>
    </row>
    <row r="267" spans="1:13" ht="15.75" customHeight="1" x14ac:dyDescent="0.35">
      <c r="A267" s="1" t="s">
        <v>275</v>
      </c>
      <c r="B267" s="1" t="s">
        <v>456</v>
      </c>
      <c r="C267" s="1" t="s">
        <v>156</v>
      </c>
      <c r="D267" s="4">
        <v>45093</v>
      </c>
      <c r="E267" s="1" t="s">
        <v>30</v>
      </c>
      <c r="F267" s="1" t="s">
        <v>53</v>
      </c>
      <c r="G267" t="s">
        <v>1086</v>
      </c>
      <c r="H267" s="1">
        <v>2481</v>
      </c>
      <c r="I267">
        <v>2575.83</v>
      </c>
      <c r="J267" s="1" t="s">
        <v>17</v>
      </c>
      <c r="K267" s="1" t="s">
        <v>18</v>
      </c>
      <c r="L267">
        <v>9</v>
      </c>
      <c r="M267" t="s">
        <v>65</v>
      </c>
    </row>
    <row r="268" spans="1:13" ht="15.75" customHeight="1" x14ac:dyDescent="0.35">
      <c r="A268" s="1" t="s">
        <v>13</v>
      </c>
      <c r="B268" t="s">
        <v>1083</v>
      </c>
      <c r="C268" s="1" t="s">
        <v>442</v>
      </c>
      <c r="D268" s="4">
        <v>44967</v>
      </c>
      <c r="E268" s="1" t="s">
        <v>92</v>
      </c>
      <c r="F268" s="1" t="s">
        <v>31</v>
      </c>
      <c r="G268" t="s">
        <v>1086</v>
      </c>
      <c r="H268" s="1">
        <v>2481</v>
      </c>
      <c r="I268">
        <v>2575.83</v>
      </c>
      <c r="J268" s="1" t="s">
        <v>42</v>
      </c>
      <c r="K268" s="1" t="s">
        <v>57</v>
      </c>
      <c r="L268">
        <v>9</v>
      </c>
      <c r="M268" t="s">
        <v>65</v>
      </c>
    </row>
    <row r="269" spans="1:13" ht="15.75" customHeight="1" x14ac:dyDescent="0.35">
      <c r="A269" s="1" t="s">
        <v>132</v>
      </c>
      <c r="B269" s="1" t="s">
        <v>493</v>
      </c>
      <c r="C269" s="1" t="s">
        <v>494</v>
      </c>
      <c r="D269" s="4">
        <v>45285</v>
      </c>
      <c r="E269" s="1" t="s">
        <v>16</v>
      </c>
      <c r="F269" s="1" t="s">
        <v>93</v>
      </c>
      <c r="G269" s="1" t="s">
        <v>24</v>
      </c>
      <c r="H269" s="1">
        <v>2015.38</v>
      </c>
      <c r="I269">
        <v>2575.83</v>
      </c>
      <c r="J269" s="1" t="s">
        <v>17</v>
      </c>
      <c r="K269" s="1" t="s">
        <v>26</v>
      </c>
      <c r="L269">
        <v>9</v>
      </c>
      <c r="M269" t="s">
        <v>42</v>
      </c>
    </row>
    <row r="270" spans="1:13" ht="15.75" customHeight="1" x14ac:dyDescent="0.35">
      <c r="A270" s="1" t="s">
        <v>231</v>
      </c>
      <c r="B270" s="1" t="s">
        <v>495</v>
      </c>
      <c r="C270" s="1" t="s">
        <v>45</v>
      </c>
      <c r="D270" s="4">
        <v>45262</v>
      </c>
      <c r="E270" s="1" t="s">
        <v>85</v>
      </c>
      <c r="F270" s="1" t="s">
        <v>93</v>
      </c>
      <c r="G270" t="s">
        <v>1086</v>
      </c>
      <c r="H270">
        <v>2481</v>
      </c>
      <c r="I270" s="1">
        <v>699.82</v>
      </c>
      <c r="J270" s="1" t="s">
        <v>25</v>
      </c>
      <c r="K270" s="1" t="s">
        <v>26</v>
      </c>
      <c r="L270">
        <v>9</v>
      </c>
      <c r="M270" t="s">
        <v>19</v>
      </c>
    </row>
    <row r="271" spans="1:13" ht="15.75" customHeight="1" x14ac:dyDescent="0.35">
      <c r="A271" s="1" t="s">
        <v>285</v>
      </c>
      <c r="B271" t="s">
        <v>1083</v>
      </c>
      <c r="C271" t="s">
        <v>1084</v>
      </c>
      <c r="D271" s="4">
        <v>44996</v>
      </c>
      <c r="E271" s="1" t="s">
        <v>30</v>
      </c>
      <c r="F271" s="1" t="s">
        <v>47</v>
      </c>
      <c r="G271" s="1" t="s">
        <v>48</v>
      </c>
      <c r="H271" s="1">
        <v>2481</v>
      </c>
      <c r="I271">
        <v>2575.83</v>
      </c>
      <c r="J271" s="1" t="s">
        <v>17</v>
      </c>
      <c r="K271" s="1" t="s">
        <v>32</v>
      </c>
      <c r="L271">
        <v>9</v>
      </c>
      <c r="M271" t="s">
        <v>65</v>
      </c>
    </row>
    <row r="272" spans="1:13" ht="15.75" customHeight="1" x14ac:dyDescent="0.35">
      <c r="A272" s="1" t="s">
        <v>73</v>
      </c>
      <c r="B272" s="1" t="s">
        <v>497</v>
      </c>
      <c r="C272" t="s">
        <v>1084</v>
      </c>
      <c r="D272" s="4">
        <v>45114</v>
      </c>
      <c r="E272" s="1" t="s">
        <v>92</v>
      </c>
      <c r="F272" s="1" t="s">
        <v>23</v>
      </c>
      <c r="G272" s="1" t="s">
        <v>61</v>
      </c>
      <c r="H272">
        <v>2481</v>
      </c>
      <c r="I272">
        <v>2575.83</v>
      </c>
      <c r="J272" s="1" t="s">
        <v>25</v>
      </c>
      <c r="K272" s="1" t="s">
        <v>1093</v>
      </c>
      <c r="L272">
        <v>9</v>
      </c>
      <c r="M272" t="s">
        <v>19</v>
      </c>
    </row>
    <row r="273" spans="1:13" ht="15.75" customHeight="1" x14ac:dyDescent="0.35">
      <c r="A273" s="1" t="s">
        <v>89</v>
      </c>
      <c r="B273" t="s">
        <v>1083</v>
      </c>
      <c r="C273" s="1" t="s">
        <v>499</v>
      </c>
      <c r="D273" s="4">
        <v>44930</v>
      </c>
      <c r="E273" s="1" t="s">
        <v>77</v>
      </c>
      <c r="F273" s="1" t="s">
        <v>47</v>
      </c>
      <c r="G273" s="1" t="s">
        <v>48</v>
      </c>
      <c r="H273" s="1">
        <v>2481</v>
      </c>
      <c r="I273" s="1">
        <v>4150.71</v>
      </c>
      <c r="J273" s="1" t="s">
        <v>42</v>
      </c>
      <c r="K273" s="1" t="s">
        <v>26</v>
      </c>
      <c r="L273">
        <v>9</v>
      </c>
      <c r="M273" t="s">
        <v>65</v>
      </c>
    </row>
    <row r="274" spans="1:13" ht="15.75" customHeight="1" x14ac:dyDescent="0.35">
      <c r="A274" s="1" t="s">
        <v>302</v>
      </c>
      <c r="B274" t="s">
        <v>1083</v>
      </c>
      <c r="C274" t="s">
        <v>1084</v>
      </c>
      <c r="D274" s="4">
        <v>45259</v>
      </c>
      <c r="E274" s="1" t="s">
        <v>77</v>
      </c>
      <c r="F274" s="1" t="s">
        <v>93</v>
      </c>
      <c r="G274" s="1" t="s">
        <v>61</v>
      </c>
      <c r="H274" s="1">
        <v>952.92</v>
      </c>
      <c r="I274">
        <v>2575.83</v>
      </c>
      <c r="J274" s="1" t="s">
        <v>25</v>
      </c>
      <c r="K274" s="1" t="s">
        <v>32</v>
      </c>
      <c r="L274">
        <v>9</v>
      </c>
      <c r="M274" t="s">
        <v>65</v>
      </c>
    </row>
    <row r="275" spans="1:13" ht="15.75" customHeight="1" x14ac:dyDescent="0.35">
      <c r="A275" s="1" t="s">
        <v>212</v>
      </c>
      <c r="B275" s="1" t="s">
        <v>501</v>
      </c>
      <c r="C275" s="1" t="s">
        <v>213</v>
      </c>
      <c r="D275" s="4">
        <v>45200</v>
      </c>
      <c r="E275" s="1" t="s">
        <v>92</v>
      </c>
      <c r="F275" s="1" t="s">
        <v>31</v>
      </c>
      <c r="G275" s="1" t="s">
        <v>24</v>
      </c>
      <c r="H275" s="1">
        <v>3590.22</v>
      </c>
      <c r="I275" s="1">
        <v>1202.4100000000001</v>
      </c>
      <c r="J275" s="1" t="s">
        <v>25</v>
      </c>
      <c r="K275" s="1" t="s">
        <v>1093</v>
      </c>
      <c r="L275">
        <v>9</v>
      </c>
      <c r="M275" t="s">
        <v>65</v>
      </c>
    </row>
    <row r="276" spans="1:13" ht="15.75" customHeight="1" x14ac:dyDescent="0.35">
      <c r="A276" s="1" t="s">
        <v>192</v>
      </c>
      <c r="B276" t="s">
        <v>1083</v>
      </c>
      <c r="C276" s="1" t="s">
        <v>503</v>
      </c>
      <c r="D276" s="4">
        <v>45096</v>
      </c>
      <c r="E276" s="1" t="s">
        <v>92</v>
      </c>
      <c r="F276" s="1" t="s">
        <v>53</v>
      </c>
      <c r="G276" s="1" t="s">
        <v>61</v>
      </c>
      <c r="H276">
        <v>2481</v>
      </c>
      <c r="I276">
        <v>2575.83</v>
      </c>
      <c r="J276" s="1" t="s">
        <v>25</v>
      </c>
      <c r="K276" s="1" t="s">
        <v>26</v>
      </c>
      <c r="L276">
        <v>9</v>
      </c>
      <c r="M276" t="s">
        <v>65</v>
      </c>
    </row>
    <row r="277" spans="1:13" ht="15.75" customHeight="1" x14ac:dyDescent="0.35">
      <c r="A277" s="1" t="s">
        <v>33</v>
      </c>
      <c r="B277" t="s">
        <v>1083</v>
      </c>
      <c r="C277" s="1" t="s">
        <v>455</v>
      </c>
      <c r="D277" s="4">
        <v>44975</v>
      </c>
      <c r="E277" s="1" t="s">
        <v>16</v>
      </c>
      <c r="F277" s="1" t="s">
        <v>93</v>
      </c>
      <c r="G277" s="1" t="s">
        <v>48</v>
      </c>
      <c r="H277">
        <v>2481</v>
      </c>
      <c r="I277">
        <v>2575.83</v>
      </c>
      <c r="J277" s="1" t="s">
        <v>25</v>
      </c>
      <c r="K277" s="1" t="s">
        <v>57</v>
      </c>
      <c r="L277" s="1">
        <v>33</v>
      </c>
      <c r="M277" s="1" t="s">
        <v>19</v>
      </c>
    </row>
    <row r="278" spans="1:13" ht="15.75" customHeight="1" x14ac:dyDescent="0.35">
      <c r="A278" s="1" t="s">
        <v>285</v>
      </c>
      <c r="B278" t="s">
        <v>1083</v>
      </c>
      <c r="C278" t="s">
        <v>1084</v>
      </c>
      <c r="D278" s="4">
        <v>44953</v>
      </c>
      <c r="E278" s="1" t="s">
        <v>85</v>
      </c>
      <c r="F278" t="s">
        <v>1085</v>
      </c>
      <c r="G278" s="1" t="s">
        <v>48</v>
      </c>
      <c r="H278">
        <v>2481</v>
      </c>
      <c r="I278">
        <v>2575.83</v>
      </c>
      <c r="J278" s="1" t="s">
        <v>17</v>
      </c>
      <c r="K278" s="1" t="s">
        <v>26</v>
      </c>
      <c r="L278">
        <v>9</v>
      </c>
      <c r="M278" t="s">
        <v>65</v>
      </c>
    </row>
    <row r="279" spans="1:13" ht="15.75" customHeight="1" x14ac:dyDescent="0.35">
      <c r="A279" s="1" t="s">
        <v>321</v>
      </c>
      <c r="B279" s="1" t="s">
        <v>506</v>
      </c>
      <c r="C279" s="1" t="s">
        <v>373</v>
      </c>
      <c r="D279" s="4">
        <v>45054</v>
      </c>
      <c r="E279" s="1" t="s">
        <v>16</v>
      </c>
      <c r="F279" s="1" t="s">
        <v>47</v>
      </c>
      <c r="G279" s="1" t="s">
        <v>41</v>
      </c>
      <c r="H279" s="1">
        <v>4657.7</v>
      </c>
      <c r="I279">
        <v>2575.83</v>
      </c>
      <c r="J279" s="1" t="s">
        <v>17</v>
      </c>
      <c r="K279" s="1" t="s">
        <v>57</v>
      </c>
      <c r="L279" s="1">
        <v>50</v>
      </c>
      <c r="M279" s="1" t="s">
        <v>65</v>
      </c>
    </row>
    <row r="280" spans="1:13" ht="15.75" customHeight="1" x14ac:dyDescent="0.35">
      <c r="A280" s="1" t="s">
        <v>117</v>
      </c>
      <c r="B280" t="s">
        <v>1083</v>
      </c>
      <c r="C280" t="s">
        <v>1084</v>
      </c>
      <c r="D280" s="4">
        <v>44937</v>
      </c>
      <c r="E280" s="1" t="s">
        <v>77</v>
      </c>
      <c r="F280" s="1" t="s">
        <v>31</v>
      </c>
      <c r="G280" t="s">
        <v>1086</v>
      </c>
      <c r="H280" s="1">
        <v>2481</v>
      </c>
      <c r="I280">
        <v>2575.83</v>
      </c>
      <c r="J280" s="1" t="s">
        <v>42</v>
      </c>
      <c r="K280" s="1" t="s">
        <v>57</v>
      </c>
      <c r="L280">
        <v>9</v>
      </c>
      <c r="M280" t="s">
        <v>65</v>
      </c>
    </row>
    <row r="281" spans="1:13" ht="15.75" customHeight="1" x14ac:dyDescent="0.35">
      <c r="A281" s="1" t="s">
        <v>209</v>
      </c>
      <c r="B281" t="s">
        <v>1083</v>
      </c>
      <c r="C281" t="s">
        <v>1084</v>
      </c>
      <c r="D281" s="4">
        <v>45233</v>
      </c>
      <c r="E281" s="1" t="s">
        <v>85</v>
      </c>
      <c r="F281" s="1" t="s">
        <v>23</v>
      </c>
      <c r="G281" s="1" t="s">
        <v>54</v>
      </c>
      <c r="H281">
        <v>2481</v>
      </c>
      <c r="I281">
        <v>2575.83</v>
      </c>
      <c r="J281" s="1" t="s">
        <v>25</v>
      </c>
      <c r="K281" s="1" t="s">
        <v>57</v>
      </c>
      <c r="L281">
        <v>9</v>
      </c>
      <c r="M281" t="s">
        <v>65</v>
      </c>
    </row>
    <row r="282" spans="1:13" ht="15.75" customHeight="1" x14ac:dyDescent="0.35">
      <c r="A282" s="1" t="s">
        <v>105</v>
      </c>
      <c r="B282" t="s">
        <v>1083</v>
      </c>
      <c r="C282" s="1" t="s">
        <v>509</v>
      </c>
      <c r="D282" s="4">
        <v>45264</v>
      </c>
      <c r="E282" s="1" t="s">
        <v>85</v>
      </c>
      <c r="F282" s="1" t="s">
        <v>53</v>
      </c>
      <c r="G282" s="1" t="s">
        <v>24</v>
      </c>
      <c r="H282">
        <v>2481</v>
      </c>
      <c r="I282">
        <v>2575.83</v>
      </c>
      <c r="J282" s="1" t="s">
        <v>25</v>
      </c>
      <c r="K282" s="1" t="s">
        <v>32</v>
      </c>
      <c r="L282" s="1">
        <v>7</v>
      </c>
      <c r="M282" s="1" t="s">
        <v>42</v>
      </c>
    </row>
    <row r="283" spans="1:13" ht="15.75" customHeight="1" x14ac:dyDescent="0.35">
      <c r="A283" s="1" t="s">
        <v>249</v>
      </c>
      <c r="B283" s="1" t="s">
        <v>511</v>
      </c>
      <c r="C283" s="1" t="s">
        <v>494</v>
      </c>
      <c r="D283" s="4">
        <v>45030</v>
      </c>
      <c r="E283" s="1" t="s">
        <v>85</v>
      </c>
      <c r="F283" s="1" t="s">
        <v>23</v>
      </c>
      <c r="G283" s="1" t="s">
        <v>61</v>
      </c>
      <c r="H283" s="1">
        <v>2481</v>
      </c>
      <c r="I283">
        <v>2575.83</v>
      </c>
      <c r="J283" s="1" t="s">
        <v>17</v>
      </c>
      <c r="K283" s="1" t="s">
        <v>32</v>
      </c>
      <c r="L283">
        <v>9</v>
      </c>
      <c r="M283" t="s">
        <v>65</v>
      </c>
    </row>
    <row r="284" spans="1:13" ht="15.75" customHeight="1" x14ac:dyDescent="0.35">
      <c r="A284" s="1" t="s">
        <v>154</v>
      </c>
      <c r="B284" s="1" t="s">
        <v>513</v>
      </c>
      <c r="C284" s="1" t="s">
        <v>514</v>
      </c>
      <c r="D284" s="4">
        <v>45178</v>
      </c>
      <c r="E284" s="1" t="s">
        <v>85</v>
      </c>
      <c r="F284" t="s">
        <v>1085</v>
      </c>
      <c r="G284" s="1" t="s">
        <v>61</v>
      </c>
      <c r="H284" s="1">
        <v>2481</v>
      </c>
      <c r="I284">
        <v>2575.83</v>
      </c>
      <c r="J284" s="1" t="s">
        <v>25</v>
      </c>
      <c r="K284" s="1" t="s">
        <v>57</v>
      </c>
      <c r="L284">
        <v>9</v>
      </c>
      <c r="M284" t="s">
        <v>19</v>
      </c>
    </row>
    <row r="285" spans="1:13" ht="15.75" customHeight="1" x14ac:dyDescent="0.35">
      <c r="A285" s="1" t="s">
        <v>168</v>
      </c>
      <c r="B285" t="s">
        <v>1083</v>
      </c>
      <c r="C285" s="1" t="s">
        <v>68</v>
      </c>
      <c r="D285" s="4">
        <v>44978</v>
      </c>
      <c r="E285" s="1" t="s">
        <v>85</v>
      </c>
      <c r="F285" s="1" t="s">
        <v>47</v>
      </c>
      <c r="G285" s="1" t="s">
        <v>48</v>
      </c>
      <c r="H285">
        <v>2481</v>
      </c>
      <c r="I285" s="1">
        <v>2871.64</v>
      </c>
      <c r="J285" s="1" t="s">
        <v>17</v>
      </c>
      <c r="K285" s="1" t="s">
        <v>57</v>
      </c>
      <c r="L285">
        <v>9</v>
      </c>
      <c r="M285" t="s">
        <v>19</v>
      </c>
    </row>
    <row r="286" spans="1:13" ht="15.75" customHeight="1" x14ac:dyDescent="0.35">
      <c r="A286" s="1" t="s">
        <v>202</v>
      </c>
      <c r="B286" t="s">
        <v>1083</v>
      </c>
      <c r="C286" t="s">
        <v>1084</v>
      </c>
      <c r="D286" s="4">
        <v>45286</v>
      </c>
      <c r="E286" s="1" t="s">
        <v>85</v>
      </c>
      <c r="F286" s="1" t="s">
        <v>93</v>
      </c>
      <c r="G286" s="1" t="s">
        <v>54</v>
      </c>
      <c r="H286">
        <v>2481</v>
      </c>
      <c r="I286">
        <v>2575.83</v>
      </c>
      <c r="J286" s="1" t="s">
        <v>25</v>
      </c>
      <c r="K286" s="1" t="s">
        <v>32</v>
      </c>
      <c r="L286">
        <v>9</v>
      </c>
      <c r="M286" t="s">
        <v>42</v>
      </c>
    </row>
    <row r="287" spans="1:13" ht="15.75" customHeight="1" x14ac:dyDescent="0.35">
      <c r="A287" s="1" t="s">
        <v>58</v>
      </c>
      <c r="B287" t="s">
        <v>1083</v>
      </c>
      <c r="C287" t="s">
        <v>1084</v>
      </c>
      <c r="D287" s="4">
        <v>45050</v>
      </c>
      <c r="E287" s="1" t="s">
        <v>30</v>
      </c>
      <c r="F287" s="1" t="s">
        <v>93</v>
      </c>
      <c r="G287" s="1" t="s">
        <v>48</v>
      </c>
      <c r="H287">
        <v>2481</v>
      </c>
      <c r="I287">
        <v>2575.83</v>
      </c>
      <c r="J287" s="1" t="s">
        <v>25</v>
      </c>
      <c r="K287" s="1" t="s">
        <v>1093</v>
      </c>
      <c r="L287">
        <v>9</v>
      </c>
      <c r="M287" t="s">
        <v>19</v>
      </c>
    </row>
    <row r="288" spans="1:13" ht="15.75" customHeight="1" x14ac:dyDescent="0.35">
      <c r="A288" s="1" t="s">
        <v>261</v>
      </c>
      <c r="B288" s="1" t="s">
        <v>506</v>
      </c>
      <c r="C288" s="1" t="s">
        <v>354</v>
      </c>
      <c r="D288" s="4">
        <v>45081</v>
      </c>
      <c r="E288" s="1" t="s">
        <v>85</v>
      </c>
      <c r="F288" s="1" t="s">
        <v>31</v>
      </c>
      <c r="G288" s="1" t="s">
        <v>61</v>
      </c>
      <c r="H288">
        <v>2481</v>
      </c>
      <c r="I288">
        <v>2575.83</v>
      </c>
      <c r="J288" s="1" t="s">
        <v>17</v>
      </c>
      <c r="K288" s="1" t="s">
        <v>57</v>
      </c>
      <c r="L288">
        <v>9</v>
      </c>
      <c r="M288" t="s">
        <v>65</v>
      </c>
    </row>
    <row r="289" spans="1:13" ht="15.75" customHeight="1" x14ac:dyDescent="0.35">
      <c r="A289" s="1" t="s">
        <v>108</v>
      </c>
      <c r="B289" t="s">
        <v>1083</v>
      </c>
      <c r="C289" s="1" t="s">
        <v>518</v>
      </c>
      <c r="D289" s="4">
        <v>45114</v>
      </c>
      <c r="E289" s="1" t="s">
        <v>85</v>
      </c>
      <c r="F289" s="1" t="s">
        <v>93</v>
      </c>
      <c r="G289" s="1" t="s">
        <v>41</v>
      </c>
      <c r="H289" s="1">
        <v>2481</v>
      </c>
      <c r="I289" s="1">
        <v>2866.87</v>
      </c>
      <c r="J289" s="1" t="s">
        <v>25</v>
      </c>
      <c r="K289" s="1" t="s">
        <v>32</v>
      </c>
      <c r="L289">
        <v>9</v>
      </c>
      <c r="M289" t="s">
        <v>65</v>
      </c>
    </row>
    <row r="290" spans="1:13" ht="15.75" customHeight="1" x14ac:dyDescent="0.35">
      <c r="A290" s="1" t="s">
        <v>117</v>
      </c>
      <c r="B290" t="s">
        <v>1083</v>
      </c>
      <c r="C290" s="1" t="s">
        <v>156</v>
      </c>
      <c r="D290" s="4">
        <v>45231</v>
      </c>
      <c r="E290" s="1" t="s">
        <v>16</v>
      </c>
      <c r="F290" s="1" t="s">
        <v>47</v>
      </c>
      <c r="G290" s="1" t="s">
        <v>48</v>
      </c>
      <c r="H290">
        <v>2481</v>
      </c>
      <c r="I290">
        <v>2575.83</v>
      </c>
      <c r="J290" s="1" t="s">
        <v>25</v>
      </c>
      <c r="K290" s="1" t="s">
        <v>26</v>
      </c>
      <c r="L290" s="1">
        <v>55</v>
      </c>
      <c r="M290" s="1" t="s">
        <v>42</v>
      </c>
    </row>
    <row r="291" spans="1:13" ht="15.75" customHeight="1" x14ac:dyDescent="0.35">
      <c r="A291" s="1" t="s">
        <v>89</v>
      </c>
      <c r="B291" t="s">
        <v>1083</v>
      </c>
      <c r="C291" s="1" t="s">
        <v>80</v>
      </c>
      <c r="D291" s="4">
        <v>45195</v>
      </c>
      <c r="E291" s="1" t="s">
        <v>30</v>
      </c>
      <c r="F291" s="1" t="s">
        <v>47</v>
      </c>
      <c r="G291" s="1" t="s">
        <v>24</v>
      </c>
      <c r="H291">
        <v>2481</v>
      </c>
      <c r="I291">
        <v>2575.83</v>
      </c>
      <c r="J291" s="1" t="s">
        <v>25</v>
      </c>
      <c r="K291" s="1" t="s">
        <v>1093</v>
      </c>
      <c r="L291">
        <v>9</v>
      </c>
      <c r="M291" t="s">
        <v>42</v>
      </c>
    </row>
    <row r="292" spans="1:13" ht="15.75" customHeight="1" x14ac:dyDescent="0.35">
      <c r="A292" s="1" t="s">
        <v>163</v>
      </c>
      <c r="B292" s="1" t="s">
        <v>522</v>
      </c>
      <c r="C292" t="s">
        <v>1084</v>
      </c>
      <c r="D292" s="4">
        <v>45002</v>
      </c>
      <c r="E292" s="1" t="s">
        <v>16</v>
      </c>
      <c r="F292" s="1" t="s">
        <v>53</v>
      </c>
      <c r="G292" s="1" t="s">
        <v>54</v>
      </c>
      <c r="H292" s="1">
        <v>2481</v>
      </c>
      <c r="I292">
        <v>2575.83</v>
      </c>
      <c r="J292" s="1" t="s">
        <v>17</v>
      </c>
      <c r="K292" s="1" t="s">
        <v>1093</v>
      </c>
      <c r="L292">
        <v>9</v>
      </c>
      <c r="M292" t="s">
        <v>65</v>
      </c>
    </row>
    <row r="293" spans="1:13" ht="15.75" customHeight="1" x14ac:dyDescent="0.35">
      <c r="A293" s="1" t="s">
        <v>231</v>
      </c>
      <c r="B293" t="s">
        <v>1083</v>
      </c>
      <c r="C293" s="1" t="s">
        <v>39</v>
      </c>
      <c r="D293" s="4">
        <v>45260</v>
      </c>
      <c r="E293" s="1" t="s">
        <v>85</v>
      </c>
      <c r="F293" s="1" t="s">
        <v>47</v>
      </c>
      <c r="G293" s="1" t="s">
        <v>54</v>
      </c>
      <c r="H293">
        <v>2481</v>
      </c>
      <c r="I293">
        <v>2575.83</v>
      </c>
      <c r="J293" s="1" t="s">
        <v>25</v>
      </c>
      <c r="K293" s="1" t="s">
        <v>32</v>
      </c>
      <c r="L293">
        <v>9</v>
      </c>
      <c r="M293" t="s">
        <v>19</v>
      </c>
    </row>
    <row r="294" spans="1:13" ht="15.75" customHeight="1" x14ac:dyDescent="0.35">
      <c r="A294" s="1" t="s">
        <v>55</v>
      </c>
      <c r="B294" t="s">
        <v>1083</v>
      </c>
      <c r="C294" t="s">
        <v>1084</v>
      </c>
      <c r="D294" s="4">
        <v>45024</v>
      </c>
      <c r="E294" s="1" t="s">
        <v>30</v>
      </c>
      <c r="F294" t="s">
        <v>1085</v>
      </c>
      <c r="G294" s="1" t="s">
        <v>61</v>
      </c>
      <c r="H294">
        <v>2481</v>
      </c>
      <c r="I294">
        <v>2575.83</v>
      </c>
      <c r="J294" s="1" t="s">
        <v>17</v>
      </c>
      <c r="K294" s="1" t="s">
        <v>18</v>
      </c>
      <c r="L294" s="1">
        <v>28</v>
      </c>
      <c r="M294" s="1" t="s">
        <v>65</v>
      </c>
    </row>
    <row r="295" spans="1:13" ht="15.75" customHeight="1" x14ac:dyDescent="0.35">
      <c r="A295" s="1" t="s">
        <v>212</v>
      </c>
      <c r="B295" t="s">
        <v>1083</v>
      </c>
      <c r="C295" s="1" t="s">
        <v>213</v>
      </c>
      <c r="D295" s="4">
        <v>45051</v>
      </c>
      <c r="E295" s="1" t="s">
        <v>85</v>
      </c>
      <c r="F295" s="1" t="s">
        <v>31</v>
      </c>
      <c r="G295" s="1" t="s">
        <v>61</v>
      </c>
      <c r="H295">
        <v>2481</v>
      </c>
      <c r="I295" s="1">
        <v>2277.8000000000002</v>
      </c>
      <c r="J295" s="1" t="s">
        <v>42</v>
      </c>
      <c r="K295" s="1" t="s">
        <v>18</v>
      </c>
      <c r="L295">
        <v>9</v>
      </c>
      <c r="M295" t="s">
        <v>65</v>
      </c>
    </row>
    <row r="296" spans="1:13" ht="15.75" customHeight="1" x14ac:dyDescent="0.35">
      <c r="A296" s="1" t="s">
        <v>187</v>
      </c>
      <c r="B296" t="s">
        <v>1083</v>
      </c>
      <c r="C296" t="s">
        <v>1084</v>
      </c>
      <c r="D296" s="4">
        <v>45245</v>
      </c>
      <c r="E296" s="1" t="s">
        <v>85</v>
      </c>
      <c r="F296" t="s">
        <v>1085</v>
      </c>
      <c r="G296" t="s">
        <v>1086</v>
      </c>
      <c r="H296" s="1">
        <v>3357.89</v>
      </c>
      <c r="I296" s="1">
        <v>1314.51</v>
      </c>
      <c r="J296" s="1" t="s">
        <v>42</v>
      </c>
      <c r="K296" s="1" t="s">
        <v>18</v>
      </c>
      <c r="L296">
        <v>9</v>
      </c>
      <c r="M296" t="s">
        <v>42</v>
      </c>
    </row>
    <row r="297" spans="1:13" ht="15.75" customHeight="1" x14ac:dyDescent="0.35">
      <c r="A297" s="1" t="s">
        <v>38</v>
      </c>
      <c r="B297" t="s">
        <v>1083</v>
      </c>
      <c r="C297" s="1" t="s">
        <v>130</v>
      </c>
      <c r="D297" s="4">
        <v>45125</v>
      </c>
      <c r="E297" s="1" t="s">
        <v>16</v>
      </c>
      <c r="F297" t="s">
        <v>1085</v>
      </c>
      <c r="G297" s="1" t="s">
        <v>41</v>
      </c>
      <c r="H297">
        <v>2481</v>
      </c>
      <c r="I297">
        <v>2575.83</v>
      </c>
      <c r="J297" s="1" t="s">
        <v>25</v>
      </c>
      <c r="K297" s="1" t="s">
        <v>18</v>
      </c>
      <c r="L297">
        <v>9</v>
      </c>
      <c r="M297" t="s">
        <v>19</v>
      </c>
    </row>
    <row r="298" spans="1:13" ht="15.75" customHeight="1" x14ac:dyDescent="0.35">
      <c r="A298" s="1" t="s">
        <v>58</v>
      </c>
      <c r="B298" t="s">
        <v>1083</v>
      </c>
      <c r="C298" s="1" t="s">
        <v>358</v>
      </c>
      <c r="D298" s="4">
        <v>45028</v>
      </c>
      <c r="E298" s="1" t="s">
        <v>30</v>
      </c>
      <c r="F298" t="s">
        <v>1085</v>
      </c>
      <c r="G298" s="1" t="s">
        <v>61</v>
      </c>
      <c r="H298">
        <v>2481</v>
      </c>
      <c r="I298">
        <v>2575.83</v>
      </c>
      <c r="J298" s="1" t="s">
        <v>17</v>
      </c>
      <c r="K298" s="1" t="s">
        <v>26</v>
      </c>
      <c r="L298">
        <v>9</v>
      </c>
      <c r="M298" t="s">
        <v>19</v>
      </c>
    </row>
    <row r="299" spans="1:13" ht="15.75" customHeight="1" x14ac:dyDescent="0.35">
      <c r="A299" s="1" t="s">
        <v>28</v>
      </c>
      <c r="B299" t="s">
        <v>1083</v>
      </c>
      <c r="C299" t="s">
        <v>1084</v>
      </c>
      <c r="D299" s="4">
        <v>45247</v>
      </c>
      <c r="E299" s="1" t="s">
        <v>85</v>
      </c>
      <c r="F299" s="1" t="s">
        <v>23</v>
      </c>
      <c r="G299" s="1" t="s">
        <v>54</v>
      </c>
      <c r="H299">
        <v>2481</v>
      </c>
      <c r="I299">
        <v>2575.83</v>
      </c>
      <c r="J299" s="1" t="s">
        <v>17</v>
      </c>
      <c r="K299" s="1" t="s">
        <v>26</v>
      </c>
      <c r="L299">
        <v>9</v>
      </c>
      <c r="M299" t="s">
        <v>42</v>
      </c>
    </row>
    <row r="300" spans="1:13" ht="15.75" customHeight="1" x14ac:dyDescent="0.35">
      <c r="A300" s="1" t="s">
        <v>275</v>
      </c>
      <c r="B300" t="s">
        <v>1083</v>
      </c>
      <c r="C300" s="1" t="s">
        <v>135</v>
      </c>
      <c r="D300" s="4">
        <v>45140</v>
      </c>
      <c r="E300" s="1" t="s">
        <v>77</v>
      </c>
      <c r="F300" s="1" t="s">
        <v>31</v>
      </c>
      <c r="G300" s="1" t="s">
        <v>54</v>
      </c>
      <c r="H300">
        <v>2481</v>
      </c>
      <c r="I300" s="1">
        <v>1073.45</v>
      </c>
      <c r="J300" s="1" t="s">
        <v>17</v>
      </c>
      <c r="K300" s="1" t="s">
        <v>57</v>
      </c>
      <c r="L300" s="1">
        <v>43</v>
      </c>
      <c r="M300" s="1" t="s">
        <v>65</v>
      </c>
    </row>
    <row r="301" spans="1:13" ht="15.75" customHeight="1" x14ac:dyDescent="0.35">
      <c r="A301" s="1" t="s">
        <v>192</v>
      </c>
      <c r="B301" t="s">
        <v>1083</v>
      </c>
      <c r="C301" s="1" t="s">
        <v>530</v>
      </c>
      <c r="D301" s="4">
        <v>45262</v>
      </c>
      <c r="E301" s="1" t="s">
        <v>85</v>
      </c>
      <c r="F301" s="1" t="s">
        <v>31</v>
      </c>
      <c r="G301" s="1" t="s">
        <v>61</v>
      </c>
      <c r="H301" s="1">
        <v>2808.83</v>
      </c>
      <c r="I301" s="1">
        <v>961.47</v>
      </c>
      <c r="J301" s="1" t="s">
        <v>25</v>
      </c>
      <c r="K301" s="1" t="s">
        <v>32</v>
      </c>
      <c r="L301">
        <v>9</v>
      </c>
      <c r="M301" t="s">
        <v>65</v>
      </c>
    </row>
    <row r="302" spans="1:13" ht="15.75" customHeight="1" x14ac:dyDescent="0.35">
      <c r="A302" s="1" t="s">
        <v>192</v>
      </c>
      <c r="B302" t="s">
        <v>1083</v>
      </c>
      <c r="C302" t="s">
        <v>1084</v>
      </c>
      <c r="D302" s="4">
        <v>45004</v>
      </c>
      <c r="E302" s="1" t="s">
        <v>85</v>
      </c>
      <c r="F302" s="1" t="s">
        <v>23</v>
      </c>
      <c r="G302" s="1" t="s">
        <v>54</v>
      </c>
      <c r="H302">
        <v>2481</v>
      </c>
      <c r="I302" s="1">
        <v>3001.99</v>
      </c>
      <c r="J302" s="1" t="s">
        <v>25</v>
      </c>
      <c r="K302" s="1" t="s">
        <v>32</v>
      </c>
      <c r="L302">
        <v>9</v>
      </c>
      <c r="M302" t="s">
        <v>65</v>
      </c>
    </row>
    <row r="303" spans="1:13" ht="15.75" customHeight="1" x14ac:dyDescent="0.35">
      <c r="A303" s="1" t="s">
        <v>277</v>
      </c>
      <c r="B303" t="s">
        <v>1083</v>
      </c>
      <c r="C303" t="s">
        <v>1084</v>
      </c>
      <c r="D303" s="4">
        <v>45125</v>
      </c>
      <c r="E303" s="1" t="s">
        <v>85</v>
      </c>
      <c r="F303" s="1" t="s">
        <v>93</v>
      </c>
      <c r="G303" s="1" t="s">
        <v>24</v>
      </c>
      <c r="H303" s="1">
        <v>1170.05</v>
      </c>
      <c r="I303">
        <v>2575.83</v>
      </c>
      <c r="J303" s="1" t="s">
        <v>17</v>
      </c>
      <c r="K303" s="1" t="s">
        <v>18</v>
      </c>
      <c r="L303" s="1">
        <v>48</v>
      </c>
      <c r="M303" s="1" t="s">
        <v>19</v>
      </c>
    </row>
    <row r="304" spans="1:13" ht="15.75" customHeight="1" x14ac:dyDescent="0.35">
      <c r="A304" s="1" t="s">
        <v>102</v>
      </c>
      <c r="B304" t="s">
        <v>1083</v>
      </c>
      <c r="C304" t="s">
        <v>1084</v>
      </c>
      <c r="D304" s="4">
        <v>45053</v>
      </c>
      <c r="E304" s="1" t="s">
        <v>85</v>
      </c>
      <c r="F304" s="1" t="s">
        <v>23</v>
      </c>
      <c r="G304" s="1" t="s">
        <v>54</v>
      </c>
      <c r="H304">
        <v>2481</v>
      </c>
      <c r="I304">
        <v>2575.83</v>
      </c>
      <c r="J304" s="1" t="s">
        <v>17</v>
      </c>
      <c r="K304" s="1" t="s">
        <v>57</v>
      </c>
      <c r="L304">
        <v>9</v>
      </c>
      <c r="M304" t="s">
        <v>19</v>
      </c>
    </row>
    <row r="305" spans="1:13" ht="15.75" customHeight="1" x14ac:dyDescent="0.35">
      <c r="A305" s="1" t="s">
        <v>302</v>
      </c>
      <c r="B305" t="s">
        <v>1083</v>
      </c>
      <c r="C305" s="1" t="s">
        <v>152</v>
      </c>
      <c r="D305" s="4">
        <v>45192</v>
      </c>
      <c r="E305" s="1" t="s">
        <v>16</v>
      </c>
      <c r="F305" s="1" t="s">
        <v>23</v>
      </c>
      <c r="G305" s="1" t="s">
        <v>54</v>
      </c>
      <c r="H305" s="1">
        <v>1967.62</v>
      </c>
      <c r="I305">
        <v>2575.83</v>
      </c>
      <c r="J305" s="1" t="s">
        <v>25</v>
      </c>
      <c r="K305" s="1" t="s">
        <v>32</v>
      </c>
      <c r="L305">
        <v>9</v>
      </c>
      <c r="M305" t="s">
        <v>65</v>
      </c>
    </row>
    <row r="306" spans="1:13" ht="15.75" customHeight="1" x14ac:dyDescent="0.35">
      <c r="A306" s="1" t="s">
        <v>132</v>
      </c>
      <c r="B306" t="s">
        <v>1083</v>
      </c>
      <c r="C306" s="1" t="s">
        <v>263</v>
      </c>
      <c r="D306" s="4">
        <v>45191</v>
      </c>
      <c r="E306" s="1" t="s">
        <v>85</v>
      </c>
      <c r="F306" t="s">
        <v>1085</v>
      </c>
      <c r="G306" s="1" t="s">
        <v>48</v>
      </c>
      <c r="H306" s="1">
        <v>497.68</v>
      </c>
      <c r="I306">
        <v>2575.83</v>
      </c>
      <c r="J306" s="1" t="s">
        <v>17</v>
      </c>
      <c r="K306" s="1" t="s">
        <v>18</v>
      </c>
      <c r="L306">
        <v>9</v>
      </c>
      <c r="M306" t="s">
        <v>19</v>
      </c>
    </row>
    <row r="307" spans="1:13" ht="15.75" customHeight="1" x14ac:dyDescent="0.35">
      <c r="A307" s="1" t="s">
        <v>215</v>
      </c>
      <c r="B307" s="1" t="s">
        <v>534</v>
      </c>
      <c r="C307" s="1" t="s">
        <v>152</v>
      </c>
      <c r="D307" s="4">
        <v>44973</v>
      </c>
      <c r="E307" s="1" t="s">
        <v>16</v>
      </c>
      <c r="F307" t="s">
        <v>1085</v>
      </c>
      <c r="G307" t="s">
        <v>1086</v>
      </c>
      <c r="H307" s="1">
        <v>3992.61</v>
      </c>
      <c r="I307">
        <v>2575.83</v>
      </c>
      <c r="J307" s="1" t="s">
        <v>25</v>
      </c>
      <c r="K307" s="1" t="s">
        <v>32</v>
      </c>
      <c r="L307">
        <v>9</v>
      </c>
      <c r="M307" t="s">
        <v>65</v>
      </c>
    </row>
    <row r="308" spans="1:13" ht="15.75" customHeight="1" x14ac:dyDescent="0.35">
      <c r="A308" s="1" t="s">
        <v>168</v>
      </c>
      <c r="B308" t="s">
        <v>1083</v>
      </c>
      <c r="C308" t="s">
        <v>1084</v>
      </c>
      <c r="D308" s="4">
        <v>45208</v>
      </c>
      <c r="E308" s="1" t="s">
        <v>92</v>
      </c>
      <c r="F308" s="1" t="s">
        <v>47</v>
      </c>
      <c r="G308" t="s">
        <v>1086</v>
      </c>
      <c r="H308">
        <v>2481</v>
      </c>
      <c r="I308">
        <v>2575.83</v>
      </c>
      <c r="J308" s="1" t="s">
        <v>25</v>
      </c>
      <c r="K308" s="1" t="s">
        <v>1093</v>
      </c>
      <c r="L308">
        <v>9</v>
      </c>
      <c r="M308" t="s">
        <v>65</v>
      </c>
    </row>
    <row r="309" spans="1:13" ht="15.75" customHeight="1" x14ac:dyDescent="0.35">
      <c r="A309" s="1" t="s">
        <v>261</v>
      </c>
      <c r="B309" s="1" t="s">
        <v>537</v>
      </c>
      <c r="C309" s="1" t="s">
        <v>538</v>
      </c>
      <c r="D309" s="4">
        <v>44928</v>
      </c>
      <c r="E309" s="1" t="s">
        <v>16</v>
      </c>
      <c r="F309" s="1" t="s">
        <v>53</v>
      </c>
      <c r="G309" s="1" t="s">
        <v>48</v>
      </c>
      <c r="H309" s="1">
        <v>4284.28</v>
      </c>
      <c r="I309">
        <v>2575.83</v>
      </c>
      <c r="J309" s="1" t="s">
        <v>17</v>
      </c>
      <c r="K309" s="1" t="s">
        <v>18</v>
      </c>
      <c r="L309">
        <v>9</v>
      </c>
      <c r="M309" t="s">
        <v>65</v>
      </c>
    </row>
    <row r="310" spans="1:13" ht="15.75" customHeight="1" x14ac:dyDescent="0.35">
      <c r="A310" s="1" t="s">
        <v>173</v>
      </c>
      <c r="B310" t="s">
        <v>1083</v>
      </c>
      <c r="C310" s="1" t="s">
        <v>203</v>
      </c>
      <c r="D310" s="4">
        <v>45069</v>
      </c>
      <c r="E310" s="1" t="s">
        <v>16</v>
      </c>
      <c r="F310" s="1" t="s">
        <v>47</v>
      </c>
      <c r="G310" s="1" t="s">
        <v>24</v>
      </c>
      <c r="H310" s="1">
        <v>292.14999999999998</v>
      </c>
      <c r="I310" s="1">
        <v>3283.72</v>
      </c>
      <c r="J310" s="1" t="s">
        <v>17</v>
      </c>
      <c r="K310" s="1" t="s">
        <v>26</v>
      </c>
      <c r="L310">
        <v>9</v>
      </c>
      <c r="M310" t="s">
        <v>42</v>
      </c>
    </row>
    <row r="311" spans="1:13" ht="15.75" customHeight="1" x14ac:dyDescent="0.35">
      <c r="A311" s="1" t="s">
        <v>192</v>
      </c>
      <c r="B311" s="1" t="s">
        <v>541</v>
      </c>
      <c r="C311" s="1" t="s">
        <v>416</v>
      </c>
      <c r="D311" s="4">
        <v>45009</v>
      </c>
      <c r="E311" s="1" t="s">
        <v>92</v>
      </c>
      <c r="F311" s="1" t="s">
        <v>47</v>
      </c>
      <c r="G311" t="s">
        <v>1086</v>
      </c>
      <c r="H311">
        <v>2481</v>
      </c>
      <c r="I311">
        <v>2575.83</v>
      </c>
      <c r="J311" s="1" t="s">
        <v>17</v>
      </c>
      <c r="K311" s="1" t="s">
        <v>32</v>
      </c>
      <c r="L311" s="1">
        <v>59</v>
      </c>
      <c r="M311" s="1" t="s">
        <v>19</v>
      </c>
    </row>
    <row r="312" spans="1:13" ht="15.75" customHeight="1" x14ac:dyDescent="0.35">
      <c r="A312" s="1" t="s">
        <v>202</v>
      </c>
      <c r="B312" t="s">
        <v>1083</v>
      </c>
      <c r="C312" t="s">
        <v>1084</v>
      </c>
      <c r="D312" s="4">
        <v>44961</v>
      </c>
      <c r="E312" s="1" t="s">
        <v>92</v>
      </c>
      <c r="F312" s="1" t="s">
        <v>53</v>
      </c>
      <c r="G312" s="1" t="s">
        <v>24</v>
      </c>
      <c r="H312">
        <v>2481</v>
      </c>
      <c r="I312">
        <v>2575.83</v>
      </c>
      <c r="J312" s="1" t="s">
        <v>17</v>
      </c>
      <c r="K312" s="1" t="s">
        <v>18</v>
      </c>
      <c r="L312" s="1">
        <v>39</v>
      </c>
      <c r="M312" s="1" t="s">
        <v>19</v>
      </c>
    </row>
    <row r="313" spans="1:13" ht="15.75" customHeight="1" x14ac:dyDescent="0.35">
      <c r="A313" s="1" t="s">
        <v>209</v>
      </c>
      <c r="B313" t="s">
        <v>1083</v>
      </c>
      <c r="C313" s="1" t="s">
        <v>530</v>
      </c>
      <c r="D313" s="4">
        <v>45236</v>
      </c>
      <c r="E313" s="1" t="s">
        <v>92</v>
      </c>
      <c r="F313" s="1" t="s">
        <v>53</v>
      </c>
      <c r="G313" s="1" t="s">
        <v>54</v>
      </c>
      <c r="H313">
        <v>2481</v>
      </c>
      <c r="I313">
        <v>2575.83</v>
      </c>
      <c r="J313" s="1" t="s">
        <v>17</v>
      </c>
      <c r="K313" s="1" t="s">
        <v>1093</v>
      </c>
      <c r="L313">
        <v>9</v>
      </c>
      <c r="M313" t="s">
        <v>65</v>
      </c>
    </row>
    <row r="314" spans="1:13" ht="15.75" customHeight="1" x14ac:dyDescent="0.35">
      <c r="A314" s="1" t="s">
        <v>117</v>
      </c>
      <c r="B314" t="s">
        <v>1083</v>
      </c>
      <c r="C314" t="s">
        <v>1084</v>
      </c>
      <c r="D314" s="4">
        <v>45026</v>
      </c>
      <c r="E314" s="1" t="s">
        <v>77</v>
      </c>
      <c r="F314" t="s">
        <v>1085</v>
      </c>
      <c r="G314" s="1" t="s">
        <v>61</v>
      </c>
      <c r="H314" s="1">
        <v>2481</v>
      </c>
      <c r="I314">
        <v>2575.83</v>
      </c>
      <c r="J314" s="1" t="s">
        <v>42</v>
      </c>
      <c r="K314" s="1" t="s">
        <v>57</v>
      </c>
      <c r="L314">
        <v>9</v>
      </c>
      <c r="M314" t="s">
        <v>65</v>
      </c>
    </row>
    <row r="315" spans="1:13" ht="15.75" customHeight="1" x14ac:dyDescent="0.35">
      <c r="A315" s="1" t="s">
        <v>89</v>
      </c>
      <c r="B315" s="1" t="s">
        <v>546</v>
      </c>
      <c r="C315" t="s">
        <v>1084</v>
      </c>
      <c r="D315" s="4">
        <v>44961</v>
      </c>
      <c r="E315" s="1" t="s">
        <v>30</v>
      </c>
      <c r="F315" s="1" t="s">
        <v>47</v>
      </c>
      <c r="G315" s="1" t="s">
        <v>41</v>
      </c>
      <c r="H315">
        <v>2481</v>
      </c>
      <c r="I315">
        <v>2575.83</v>
      </c>
      <c r="J315" s="1" t="s">
        <v>17</v>
      </c>
      <c r="K315" s="1" t="s">
        <v>57</v>
      </c>
      <c r="L315" s="1">
        <v>1</v>
      </c>
      <c r="M315" s="1" t="s">
        <v>65</v>
      </c>
    </row>
    <row r="316" spans="1:13" ht="15.75" customHeight="1" x14ac:dyDescent="0.35">
      <c r="A316" s="1" t="s">
        <v>114</v>
      </c>
      <c r="B316" t="s">
        <v>1083</v>
      </c>
      <c r="C316" t="s">
        <v>1084</v>
      </c>
      <c r="D316" s="4">
        <v>45257</v>
      </c>
      <c r="E316" s="1" t="s">
        <v>85</v>
      </c>
      <c r="F316" t="s">
        <v>1085</v>
      </c>
      <c r="G316" s="1" t="s">
        <v>48</v>
      </c>
      <c r="H316">
        <v>2481</v>
      </c>
      <c r="I316">
        <v>2575.83</v>
      </c>
      <c r="J316" s="1" t="s">
        <v>25</v>
      </c>
      <c r="K316" s="1" t="s">
        <v>57</v>
      </c>
      <c r="L316">
        <v>9</v>
      </c>
      <c r="M316" t="s">
        <v>19</v>
      </c>
    </row>
    <row r="317" spans="1:13" ht="15.75" customHeight="1" x14ac:dyDescent="0.35">
      <c r="A317" s="1" t="s">
        <v>20</v>
      </c>
      <c r="B317" s="1" t="s">
        <v>262</v>
      </c>
      <c r="C317" t="s">
        <v>1084</v>
      </c>
      <c r="D317" s="4">
        <v>44960</v>
      </c>
      <c r="E317" s="1" t="s">
        <v>85</v>
      </c>
      <c r="F317" s="1" t="s">
        <v>23</v>
      </c>
      <c r="G317" s="1" t="s">
        <v>41</v>
      </c>
      <c r="H317">
        <v>2481</v>
      </c>
      <c r="I317">
        <v>2575.83</v>
      </c>
      <c r="J317" s="1" t="s">
        <v>17</v>
      </c>
      <c r="K317" s="1" t="s">
        <v>57</v>
      </c>
      <c r="L317">
        <v>9</v>
      </c>
      <c r="M317" t="s">
        <v>19</v>
      </c>
    </row>
    <row r="318" spans="1:13" ht="15.75" customHeight="1" x14ac:dyDescent="0.35">
      <c r="A318" s="1" t="s">
        <v>137</v>
      </c>
      <c r="B318" t="s">
        <v>1083</v>
      </c>
      <c r="C318" s="1" t="s">
        <v>305</v>
      </c>
      <c r="D318" s="4">
        <v>45048</v>
      </c>
      <c r="E318" s="1" t="s">
        <v>85</v>
      </c>
      <c r="F318" s="1" t="s">
        <v>31</v>
      </c>
      <c r="G318" s="1" t="s">
        <v>24</v>
      </c>
      <c r="H318" s="1">
        <v>2649.25</v>
      </c>
      <c r="I318" s="1">
        <v>1902.37</v>
      </c>
      <c r="J318" s="1" t="s">
        <v>17</v>
      </c>
      <c r="K318" s="1" t="s">
        <v>26</v>
      </c>
      <c r="L318">
        <v>9</v>
      </c>
      <c r="M318" t="s">
        <v>19</v>
      </c>
    </row>
    <row r="319" spans="1:13" ht="15.75" customHeight="1" x14ac:dyDescent="0.35">
      <c r="A319" s="1" t="s">
        <v>285</v>
      </c>
      <c r="B319" s="1" t="s">
        <v>550</v>
      </c>
      <c r="C319" t="s">
        <v>1084</v>
      </c>
      <c r="D319" s="4">
        <v>45195</v>
      </c>
      <c r="E319" s="1" t="s">
        <v>85</v>
      </c>
      <c r="F319" s="1" t="s">
        <v>23</v>
      </c>
      <c r="G319" s="1" t="s">
        <v>54</v>
      </c>
      <c r="H319">
        <v>2481</v>
      </c>
      <c r="I319">
        <v>2575.83</v>
      </c>
      <c r="J319" s="1" t="s">
        <v>25</v>
      </c>
      <c r="K319" s="1" t="s">
        <v>57</v>
      </c>
      <c r="L319" s="1">
        <v>7</v>
      </c>
      <c r="M319" s="1" t="s">
        <v>19</v>
      </c>
    </row>
    <row r="320" spans="1:13" ht="15.75" customHeight="1" x14ac:dyDescent="0.35">
      <c r="A320" s="1" t="s">
        <v>166</v>
      </c>
      <c r="B320" t="s">
        <v>1083</v>
      </c>
      <c r="C320" t="s">
        <v>1084</v>
      </c>
      <c r="D320" s="4">
        <v>44979</v>
      </c>
      <c r="E320" s="1" t="s">
        <v>85</v>
      </c>
      <c r="F320" t="s">
        <v>1085</v>
      </c>
      <c r="G320" t="s">
        <v>1086</v>
      </c>
      <c r="H320">
        <v>2481</v>
      </c>
      <c r="I320" s="1">
        <v>3212.31</v>
      </c>
      <c r="J320" s="1" t="s">
        <v>42</v>
      </c>
      <c r="K320" s="1" t="s">
        <v>18</v>
      </c>
      <c r="L320">
        <v>9</v>
      </c>
      <c r="M320" t="s">
        <v>19</v>
      </c>
    </row>
    <row r="321" spans="1:13" ht="15.75" customHeight="1" x14ac:dyDescent="0.35">
      <c r="A321" s="1" t="s">
        <v>73</v>
      </c>
      <c r="B321" t="s">
        <v>1083</v>
      </c>
      <c r="C321" s="1" t="s">
        <v>158</v>
      </c>
      <c r="D321" s="4">
        <v>45003</v>
      </c>
      <c r="E321" s="1" t="s">
        <v>16</v>
      </c>
      <c r="F321" s="1" t="s">
        <v>23</v>
      </c>
      <c r="G321" s="1" t="s">
        <v>54</v>
      </c>
      <c r="H321">
        <v>2481</v>
      </c>
      <c r="I321">
        <v>2575.83</v>
      </c>
      <c r="J321" s="1" t="s">
        <v>42</v>
      </c>
      <c r="K321" s="1" t="s">
        <v>32</v>
      </c>
      <c r="L321">
        <v>9</v>
      </c>
      <c r="M321" t="s">
        <v>19</v>
      </c>
    </row>
    <row r="322" spans="1:13" ht="15.75" customHeight="1" x14ac:dyDescent="0.35">
      <c r="A322" s="1" t="s">
        <v>209</v>
      </c>
      <c r="B322" s="1" t="s">
        <v>553</v>
      </c>
      <c r="C322" t="s">
        <v>1084</v>
      </c>
      <c r="D322" s="4">
        <v>45100</v>
      </c>
      <c r="E322" s="1" t="s">
        <v>16</v>
      </c>
      <c r="F322" s="1" t="s">
        <v>93</v>
      </c>
      <c r="G322" s="1" t="s">
        <v>61</v>
      </c>
      <c r="H322" s="1">
        <v>2380.14</v>
      </c>
      <c r="I322" s="1">
        <v>574.34</v>
      </c>
      <c r="J322" s="1" t="s">
        <v>25</v>
      </c>
      <c r="K322" s="1" t="s">
        <v>1093</v>
      </c>
      <c r="L322" s="1">
        <v>25</v>
      </c>
      <c r="M322" s="1" t="s">
        <v>42</v>
      </c>
    </row>
    <row r="323" spans="1:13" ht="15.75" customHeight="1" x14ac:dyDescent="0.35">
      <c r="A323" s="1" t="s">
        <v>66</v>
      </c>
      <c r="B323" t="s">
        <v>1083</v>
      </c>
      <c r="C323" t="s">
        <v>1084</v>
      </c>
      <c r="D323" s="4">
        <v>45109</v>
      </c>
      <c r="E323" s="1" t="s">
        <v>85</v>
      </c>
      <c r="F323" s="1" t="s">
        <v>93</v>
      </c>
      <c r="G323" t="s">
        <v>1086</v>
      </c>
      <c r="H323" s="1">
        <v>3804.09</v>
      </c>
      <c r="I323">
        <v>2575.83</v>
      </c>
      <c r="J323" s="1" t="s">
        <v>17</v>
      </c>
      <c r="K323" s="1" t="s">
        <v>18</v>
      </c>
      <c r="L323">
        <v>9</v>
      </c>
      <c r="M323" t="s">
        <v>65</v>
      </c>
    </row>
    <row r="324" spans="1:13" ht="15.75" customHeight="1" x14ac:dyDescent="0.35">
      <c r="A324" s="1" t="s">
        <v>108</v>
      </c>
      <c r="B324" t="s">
        <v>1083</v>
      </c>
      <c r="C324" t="s">
        <v>1084</v>
      </c>
      <c r="D324" s="4">
        <v>45167</v>
      </c>
      <c r="E324" s="1" t="s">
        <v>85</v>
      </c>
      <c r="F324" s="1" t="s">
        <v>47</v>
      </c>
      <c r="G324" s="1" t="s">
        <v>41</v>
      </c>
      <c r="H324">
        <v>2481</v>
      </c>
      <c r="I324">
        <v>2575.83</v>
      </c>
      <c r="J324" s="1" t="s">
        <v>42</v>
      </c>
      <c r="K324" s="1" t="s">
        <v>32</v>
      </c>
      <c r="L324">
        <v>9</v>
      </c>
      <c r="M324" t="s">
        <v>19</v>
      </c>
    </row>
    <row r="325" spans="1:13" ht="15.75" customHeight="1" x14ac:dyDescent="0.35">
      <c r="A325" s="1" t="s">
        <v>430</v>
      </c>
      <c r="B325" s="1" t="s">
        <v>266</v>
      </c>
      <c r="C325" t="s">
        <v>1084</v>
      </c>
      <c r="D325" s="4">
        <v>45014</v>
      </c>
      <c r="E325" s="1" t="s">
        <v>30</v>
      </c>
      <c r="F325" s="1" t="s">
        <v>47</v>
      </c>
      <c r="G325" s="1" t="s">
        <v>24</v>
      </c>
      <c r="H325" s="1">
        <v>2564.35</v>
      </c>
      <c r="I325">
        <v>2575.83</v>
      </c>
      <c r="J325" s="1" t="s">
        <v>25</v>
      </c>
      <c r="K325" s="1" t="s">
        <v>32</v>
      </c>
      <c r="L325">
        <v>9</v>
      </c>
      <c r="M325" t="s">
        <v>65</v>
      </c>
    </row>
    <row r="326" spans="1:13" ht="15.75" customHeight="1" x14ac:dyDescent="0.35">
      <c r="A326" s="1" t="s">
        <v>66</v>
      </c>
      <c r="B326" s="1" t="s">
        <v>103</v>
      </c>
      <c r="C326" s="1" t="s">
        <v>87</v>
      </c>
      <c r="D326" s="4">
        <v>45008</v>
      </c>
      <c r="E326" s="1" t="s">
        <v>16</v>
      </c>
      <c r="F326" s="1" t="s">
        <v>31</v>
      </c>
      <c r="G326" s="1" t="s">
        <v>24</v>
      </c>
      <c r="H326" s="1">
        <v>2481</v>
      </c>
      <c r="I326">
        <v>2575.83</v>
      </c>
      <c r="J326" s="1" t="s">
        <v>17</v>
      </c>
      <c r="K326" s="1" t="s">
        <v>32</v>
      </c>
      <c r="L326">
        <v>9</v>
      </c>
      <c r="M326" t="s">
        <v>65</v>
      </c>
    </row>
    <row r="327" spans="1:13" ht="15.75" customHeight="1" x14ac:dyDescent="0.35">
      <c r="A327" s="1" t="s">
        <v>102</v>
      </c>
      <c r="B327" t="s">
        <v>1083</v>
      </c>
      <c r="C327" t="s">
        <v>1084</v>
      </c>
      <c r="D327" s="4">
        <v>45230</v>
      </c>
      <c r="E327" s="1" t="s">
        <v>92</v>
      </c>
      <c r="F327" s="1" t="s">
        <v>47</v>
      </c>
      <c r="G327" s="1" t="s">
        <v>61</v>
      </c>
      <c r="H327">
        <v>2481</v>
      </c>
      <c r="I327" s="1">
        <v>4781.62</v>
      </c>
      <c r="J327" s="1" t="s">
        <v>17</v>
      </c>
      <c r="K327" s="1" t="s">
        <v>26</v>
      </c>
      <c r="L327">
        <v>9</v>
      </c>
      <c r="M327" t="s">
        <v>65</v>
      </c>
    </row>
    <row r="328" spans="1:13" ht="15.75" customHeight="1" x14ac:dyDescent="0.35">
      <c r="A328" s="1" t="s">
        <v>58</v>
      </c>
      <c r="B328" t="s">
        <v>1083</v>
      </c>
      <c r="C328" s="1" t="s">
        <v>378</v>
      </c>
      <c r="D328" s="4">
        <v>44998</v>
      </c>
      <c r="E328" s="1" t="s">
        <v>85</v>
      </c>
      <c r="F328" t="s">
        <v>1085</v>
      </c>
      <c r="G328" s="1" t="s">
        <v>61</v>
      </c>
      <c r="H328">
        <v>2481</v>
      </c>
      <c r="I328">
        <v>2575.83</v>
      </c>
      <c r="J328" s="1" t="s">
        <v>25</v>
      </c>
      <c r="K328" s="1" t="s">
        <v>57</v>
      </c>
      <c r="L328">
        <v>9</v>
      </c>
      <c r="M328" t="s">
        <v>65</v>
      </c>
    </row>
    <row r="329" spans="1:13" ht="15.75" customHeight="1" x14ac:dyDescent="0.35">
      <c r="A329" s="1" t="s">
        <v>187</v>
      </c>
      <c r="B329" t="s">
        <v>1083</v>
      </c>
      <c r="C329" t="s">
        <v>1084</v>
      </c>
      <c r="D329" s="4">
        <v>44972</v>
      </c>
      <c r="E329" s="1" t="s">
        <v>16</v>
      </c>
      <c r="F329" s="1" t="s">
        <v>47</v>
      </c>
      <c r="G329" s="1" t="s">
        <v>54</v>
      </c>
      <c r="H329">
        <v>2481</v>
      </c>
      <c r="I329">
        <v>2575.83</v>
      </c>
      <c r="J329" s="1" t="s">
        <v>25</v>
      </c>
      <c r="K329" s="1" t="s">
        <v>26</v>
      </c>
      <c r="L329">
        <v>9</v>
      </c>
      <c r="M329" t="s">
        <v>19</v>
      </c>
    </row>
    <row r="330" spans="1:13" ht="15.75" customHeight="1" x14ac:dyDescent="0.35">
      <c r="A330" s="1" t="s">
        <v>55</v>
      </c>
      <c r="B330" s="1" t="s">
        <v>560</v>
      </c>
      <c r="C330" t="s">
        <v>1084</v>
      </c>
      <c r="D330" s="4">
        <v>45128</v>
      </c>
      <c r="E330" s="1" t="s">
        <v>92</v>
      </c>
      <c r="F330" t="s">
        <v>1085</v>
      </c>
      <c r="G330" s="1" t="s">
        <v>48</v>
      </c>
      <c r="H330">
        <v>2481</v>
      </c>
      <c r="I330">
        <v>2575.83</v>
      </c>
      <c r="J330" s="1" t="s">
        <v>17</v>
      </c>
      <c r="K330" s="1" t="s">
        <v>18</v>
      </c>
      <c r="L330">
        <v>9</v>
      </c>
      <c r="M330" t="s">
        <v>19</v>
      </c>
    </row>
    <row r="331" spans="1:13" ht="15.75" customHeight="1" x14ac:dyDescent="0.35">
      <c r="A331" s="1" t="s">
        <v>70</v>
      </c>
      <c r="B331" t="s">
        <v>1083</v>
      </c>
      <c r="C331" s="1" t="s">
        <v>158</v>
      </c>
      <c r="D331" s="4">
        <v>44963</v>
      </c>
      <c r="E331" s="1" t="s">
        <v>16</v>
      </c>
      <c r="F331" s="1" t="s">
        <v>93</v>
      </c>
      <c r="G331" t="s">
        <v>1086</v>
      </c>
      <c r="H331" s="1">
        <v>2481</v>
      </c>
      <c r="I331" s="1">
        <v>4876.13</v>
      </c>
      <c r="J331" s="1" t="s">
        <v>25</v>
      </c>
      <c r="K331" s="1" t="s">
        <v>18</v>
      </c>
      <c r="L331">
        <v>9</v>
      </c>
      <c r="M331" t="s">
        <v>65</v>
      </c>
    </row>
    <row r="332" spans="1:13" ht="15.75" customHeight="1" x14ac:dyDescent="0.35">
      <c r="A332" s="1" t="s">
        <v>179</v>
      </c>
      <c r="B332" t="s">
        <v>1083</v>
      </c>
      <c r="C332" s="1" t="s">
        <v>75</v>
      </c>
      <c r="D332" s="4">
        <v>45144</v>
      </c>
      <c r="E332" s="1" t="s">
        <v>85</v>
      </c>
      <c r="F332" s="1" t="s">
        <v>53</v>
      </c>
      <c r="G332" s="1" t="s">
        <v>48</v>
      </c>
      <c r="H332" s="1">
        <v>2481</v>
      </c>
      <c r="I332">
        <v>2575.83</v>
      </c>
      <c r="J332" s="1" t="s">
        <v>25</v>
      </c>
      <c r="K332" s="1" t="s">
        <v>18</v>
      </c>
      <c r="L332">
        <v>9</v>
      </c>
      <c r="M332" t="s">
        <v>19</v>
      </c>
    </row>
    <row r="333" spans="1:13" ht="15.75" customHeight="1" x14ac:dyDescent="0.35">
      <c r="A333" s="1" t="s">
        <v>70</v>
      </c>
      <c r="B333" t="s">
        <v>1083</v>
      </c>
      <c r="C333" s="1" t="s">
        <v>356</v>
      </c>
      <c r="D333" s="4">
        <v>45174</v>
      </c>
      <c r="E333" s="1" t="s">
        <v>92</v>
      </c>
      <c r="F333" s="1" t="s">
        <v>23</v>
      </c>
      <c r="G333" s="1" t="s">
        <v>54</v>
      </c>
      <c r="H333" s="1">
        <v>2433.59</v>
      </c>
      <c r="I333">
        <v>2575.83</v>
      </c>
      <c r="J333" s="1" t="s">
        <v>17</v>
      </c>
      <c r="K333" s="1" t="s">
        <v>32</v>
      </c>
      <c r="L333">
        <v>9</v>
      </c>
      <c r="M333" t="s">
        <v>19</v>
      </c>
    </row>
    <row r="334" spans="1:13" ht="15.75" customHeight="1" x14ac:dyDescent="0.35">
      <c r="A334" s="1" t="s">
        <v>302</v>
      </c>
      <c r="B334" s="1" t="s">
        <v>564</v>
      </c>
      <c r="C334" t="s">
        <v>1084</v>
      </c>
      <c r="D334" s="4">
        <v>45249</v>
      </c>
      <c r="E334" s="1" t="s">
        <v>16</v>
      </c>
      <c r="F334" t="s">
        <v>1085</v>
      </c>
      <c r="G334" s="1" t="s">
        <v>54</v>
      </c>
      <c r="H334" s="1">
        <v>4000.59</v>
      </c>
      <c r="I334">
        <v>2575.83</v>
      </c>
      <c r="J334" s="1" t="s">
        <v>25</v>
      </c>
      <c r="K334" s="1" t="s">
        <v>1093</v>
      </c>
      <c r="L334">
        <v>9</v>
      </c>
      <c r="M334" t="s">
        <v>65</v>
      </c>
    </row>
    <row r="335" spans="1:13" ht="15.75" customHeight="1" x14ac:dyDescent="0.35">
      <c r="A335" s="1" t="s">
        <v>209</v>
      </c>
      <c r="B335" t="s">
        <v>1083</v>
      </c>
      <c r="C335" t="s">
        <v>1084</v>
      </c>
      <c r="D335" s="4">
        <v>45077</v>
      </c>
      <c r="E335" s="1" t="s">
        <v>16</v>
      </c>
      <c r="F335" s="1" t="s">
        <v>47</v>
      </c>
      <c r="G335" t="s">
        <v>1086</v>
      </c>
      <c r="H335">
        <v>2481</v>
      </c>
      <c r="I335">
        <v>2575.83</v>
      </c>
      <c r="J335" s="1" t="s">
        <v>17</v>
      </c>
      <c r="K335" s="1" t="s">
        <v>18</v>
      </c>
      <c r="L335" s="1">
        <v>36</v>
      </c>
      <c r="M335" s="1" t="s">
        <v>19</v>
      </c>
    </row>
    <row r="336" spans="1:13" ht="15.75" customHeight="1" x14ac:dyDescent="0.35">
      <c r="A336" s="1" t="s">
        <v>148</v>
      </c>
      <c r="B336" s="1" t="s">
        <v>567</v>
      </c>
      <c r="C336" t="s">
        <v>1084</v>
      </c>
      <c r="D336" s="4">
        <v>44969</v>
      </c>
      <c r="E336" s="1" t="s">
        <v>85</v>
      </c>
      <c r="F336" s="1" t="s">
        <v>31</v>
      </c>
      <c r="G336" s="1" t="s">
        <v>41</v>
      </c>
      <c r="H336">
        <v>2481</v>
      </c>
      <c r="I336" s="1">
        <v>4296.3999999999996</v>
      </c>
      <c r="J336" s="1" t="s">
        <v>25</v>
      </c>
      <c r="K336" s="1" t="s">
        <v>57</v>
      </c>
      <c r="L336">
        <v>9</v>
      </c>
      <c r="M336" t="s">
        <v>65</v>
      </c>
    </row>
    <row r="337" spans="1:13" ht="15.75" customHeight="1" x14ac:dyDescent="0.35">
      <c r="A337" s="1" t="s">
        <v>249</v>
      </c>
      <c r="B337" t="s">
        <v>1083</v>
      </c>
      <c r="C337" t="s">
        <v>1084</v>
      </c>
      <c r="D337" s="4">
        <v>45285</v>
      </c>
      <c r="E337" s="1" t="s">
        <v>85</v>
      </c>
      <c r="F337" s="1" t="s">
        <v>47</v>
      </c>
      <c r="G337" s="1" t="s">
        <v>61</v>
      </c>
      <c r="H337">
        <v>2481</v>
      </c>
      <c r="I337" s="1">
        <v>2997.94</v>
      </c>
      <c r="J337" s="1" t="s">
        <v>25</v>
      </c>
      <c r="K337" s="1" t="s">
        <v>1093</v>
      </c>
      <c r="L337">
        <v>9</v>
      </c>
      <c r="M337" t="s">
        <v>65</v>
      </c>
    </row>
    <row r="338" spans="1:13" ht="15.75" customHeight="1" x14ac:dyDescent="0.35">
      <c r="A338" s="1" t="s">
        <v>249</v>
      </c>
      <c r="B338" t="s">
        <v>1083</v>
      </c>
      <c r="C338" s="1" t="s">
        <v>308</v>
      </c>
      <c r="D338" s="4">
        <v>45034</v>
      </c>
      <c r="E338" s="1" t="s">
        <v>16</v>
      </c>
      <c r="F338" s="1" t="s">
        <v>31</v>
      </c>
      <c r="G338" s="1" t="s">
        <v>61</v>
      </c>
      <c r="H338" s="1">
        <v>2481</v>
      </c>
      <c r="I338">
        <v>2575.83</v>
      </c>
      <c r="J338" s="1" t="s">
        <v>17</v>
      </c>
      <c r="K338" s="1" t="s">
        <v>18</v>
      </c>
      <c r="L338">
        <v>9</v>
      </c>
      <c r="M338" t="s">
        <v>65</v>
      </c>
    </row>
    <row r="339" spans="1:13" ht="15.75" customHeight="1" x14ac:dyDescent="0.35">
      <c r="A339" s="1" t="s">
        <v>285</v>
      </c>
      <c r="B339" s="1" t="s">
        <v>571</v>
      </c>
      <c r="C339" t="s">
        <v>1084</v>
      </c>
      <c r="D339" s="4">
        <v>45074</v>
      </c>
      <c r="E339" s="1" t="s">
        <v>16</v>
      </c>
      <c r="F339" s="1" t="s">
        <v>31</v>
      </c>
      <c r="G339" s="1" t="s">
        <v>54</v>
      </c>
      <c r="H339" s="1">
        <v>3430.24</v>
      </c>
      <c r="I339">
        <v>2575.83</v>
      </c>
      <c r="J339" s="1" t="s">
        <v>42</v>
      </c>
      <c r="K339" s="1" t="s">
        <v>1093</v>
      </c>
      <c r="L339">
        <v>9</v>
      </c>
      <c r="M339" t="s">
        <v>19</v>
      </c>
    </row>
    <row r="340" spans="1:13" ht="15.75" customHeight="1" x14ac:dyDescent="0.35">
      <c r="A340" s="1" t="s">
        <v>114</v>
      </c>
      <c r="B340" t="s">
        <v>1083</v>
      </c>
      <c r="C340" t="s">
        <v>1084</v>
      </c>
      <c r="D340" s="4">
        <v>45226</v>
      </c>
      <c r="E340" s="1" t="s">
        <v>85</v>
      </c>
      <c r="F340" t="s">
        <v>1085</v>
      </c>
      <c r="G340" t="s">
        <v>1086</v>
      </c>
      <c r="H340">
        <v>2481</v>
      </c>
      <c r="I340">
        <v>2575.83</v>
      </c>
      <c r="J340" s="1" t="s">
        <v>17</v>
      </c>
      <c r="K340" s="1" t="s">
        <v>32</v>
      </c>
      <c r="L340" s="1">
        <v>35</v>
      </c>
      <c r="M340" s="1" t="s">
        <v>19</v>
      </c>
    </row>
    <row r="341" spans="1:13" ht="15.75" customHeight="1" x14ac:dyDescent="0.35">
      <c r="A341" s="1" t="s">
        <v>430</v>
      </c>
      <c r="B341" t="s">
        <v>1083</v>
      </c>
      <c r="C341" s="1" t="s">
        <v>574</v>
      </c>
      <c r="D341" s="4">
        <v>45277</v>
      </c>
      <c r="E341" s="1" t="s">
        <v>16</v>
      </c>
      <c r="F341" s="1" t="s">
        <v>31</v>
      </c>
      <c r="G341" s="1" t="s">
        <v>41</v>
      </c>
      <c r="H341" s="1">
        <v>1005.74</v>
      </c>
      <c r="I341">
        <v>2575.83</v>
      </c>
      <c r="J341" s="1" t="s">
        <v>17</v>
      </c>
      <c r="K341" s="1" t="s">
        <v>57</v>
      </c>
      <c r="L341" s="1">
        <v>40</v>
      </c>
      <c r="M341" s="1" t="s">
        <v>19</v>
      </c>
    </row>
    <row r="342" spans="1:13" ht="15.75" customHeight="1" x14ac:dyDescent="0.35">
      <c r="A342" s="1" t="s">
        <v>96</v>
      </c>
      <c r="B342" s="1" t="s">
        <v>575</v>
      </c>
      <c r="C342" s="1" t="s">
        <v>80</v>
      </c>
      <c r="D342" s="4">
        <v>45283</v>
      </c>
      <c r="E342" s="1" t="s">
        <v>92</v>
      </c>
      <c r="F342" s="1" t="s">
        <v>53</v>
      </c>
      <c r="G342" t="s">
        <v>1086</v>
      </c>
      <c r="H342" s="1">
        <v>2481</v>
      </c>
      <c r="I342">
        <v>2575.83</v>
      </c>
      <c r="J342" s="1" t="s">
        <v>25</v>
      </c>
      <c r="K342" s="1" t="s">
        <v>32</v>
      </c>
      <c r="L342" s="1">
        <v>16</v>
      </c>
      <c r="M342" s="1" t="s">
        <v>19</v>
      </c>
    </row>
    <row r="343" spans="1:13" ht="15.75" customHeight="1" x14ac:dyDescent="0.35">
      <c r="A343" s="1" t="s">
        <v>38</v>
      </c>
      <c r="B343" s="1" t="s">
        <v>293</v>
      </c>
      <c r="C343" t="s">
        <v>1084</v>
      </c>
      <c r="D343" s="4">
        <v>44957</v>
      </c>
      <c r="E343" s="1" t="s">
        <v>85</v>
      </c>
      <c r="F343" s="1" t="s">
        <v>53</v>
      </c>
      <c r="G343" s="1" t="s">
        <v>61</v>
      </c>
      <c r="H343" s="1">
        <v>2481</v>
      </c>
      <c r="I343">
        <v>2575.83</v>
      </c>
      <c r="J343" s="1" t="s">
        <v>25</v>
      </c>
      <c r="K343" s="1" t="s">
        <v>18</v>
      </c>
      <c r="L343">
        <v>9</v>
      </c>
      <c r="M343" t="s">
        <v>65</v>
      </c>
    </row>
    <row r="344" spans="1:13" ht="15.75" customHeight="1" x14ac:dyDescent="0.35">
      <c r="A344" s="1" t="s">
        <v>110</v>
      </c>
      <c r="B344" s="1" t="s">
        <v>578</v>
      </c>
      <c r="C344" t="s">
        <v>1084</v>
      </c>
      <c r="D344" s="4">
        <v>44979</v>
      </c>
      <c r="E344" s="1" t="s">
        <v>30</v>
      </c>
      <c r="F344" t="s">
        <v>1085</v>
      </c>
      <c r="G344" s="1" t="s">
        <v>41</v>
      </c>
      <c r="H344" s="1">
        <v>2481</v>
      </c>
      <c r="I344">
        <v>2575.83</v>
      </c>
      <c r="J344" s="1" t="s">
        <v>25</v>
      </c>
      <c r="K344" s="1" t="s">
        <v>26</v>
      </c>
      <c r="L344">
        <v>9</v>
      </c>
      <c r="M344" t="s">
        <v>19</v>
      </c>
    </row>
    <row r="345" spans="1:13" ht="15.75" customHeight="1" x14ac:dyDescent="0.35">
      <c r="A345" s="1" t="s">
        <v>50</v>
      </c>
      <c r="B345" t="s">
        <v>1083</v>
      </c>
      <c r="C345" s="1" t="s">
        <v>331</v>
      </c>
      <c r="D345" s="4">
        <v>45289</v>
      </c>
      <c r="E345" s="1" t="s">
        <v>77</v>
      </c>
      <c r="F345" s="1" t="s">
        <v>53</v>
      </c>
      <c r="G345" t="s">
        <v>1086</v>
      </c>
      <c r="H345">
        <v>2481</v>
      </c>
      <c r="I345">
        <v>2575.83</v>
      </c>
      <c r="J345" s="1" t="s">
        <v>25</v>
      </c>
      <c r="K345" s="1" t="s">
        <v>26</v>
      </c>
      <c r="L345">
        <v>9</v>
      </c>
      <c r="M345" t="s">
        <v>19</v>
      </c>
    </row>
    <row r="346" spans="1:13" ht="15.75" customHeight="1" x14ac:dyDescent="0.35">
      <c r="A346" s="1" t="s">
        <v>114</v>
      </c>
      <c r="B346" t="s">
        <v>1083</v>
      </c>
      <c r="C346" s="1" t="s">
        <v>442</v>
      </c>
      <c r="D346" s="4">
        <v>45258</v>
      </c>
      <c r="E346" s="1" t="s">
        <v>30</v>
      </c>
      <c r="F346" s="1" t="s">
        <v>31</v>
      </c>
      <c r="G346" s="1" t="s">
        <v>61</v>
      </c>
      <c r="H346">
        <v>2481</v>
      </c>
      <c r="I346" s="1">
        <v>924.26</v>
      </c>
      <c r="J346" s="1" t="s">
        <v>25</v>
      </c>
      <c r="K346" s="1" t="s">
        <v>18</v>
      </c>
      <c r="L346">
        <v>9</v>
      </c>
      <c r="M346" t="s">
        <v>65</v>
      </c>
    </row>
    <row r="347" spans="1:13" ht="15.75" customHeight="1" x14ac:dyDescent="0.35">
      <c r="A347" s="1" t="s">
        <v>108</v>
      </c>
      <c r="B347" t="s">
        <v>1083</v>
      </c>
      <c r="C347" t="s">
        <v>1084</v>
      </c>
      <c r="D347" s="4">
        <v>45151</v>
      </c>
      <c r="E347" s="1" t="s">
        <v>85</v>
      </c>
      <c r="F347" s="1" t="s">
        <v>93</v>
      </c>
      <c r="G347" s="1" t="s">
        <v>61</v>
      </c>
      <c r="H347">
        <v>2481</v>
      </c>
      <c r="I347" s="1">
        <v>2471.6999999999998</v>
      </c>
      <c r="J347" s="1" t="s">
        <v>17</v>
      </c>
      <c r="K347" s="1" t="s">
        <v>32</v>
      </c>
      <c r="L347">
        <v>9</v>
      </c>
      <c r="M347" t="s">
        <v>65</v>
      </c>
    </row>
    <row r="348" spans="1:13" ht="15.75" customHeight="1" x14ac:dyDescent="0.35">
      <c r="A348" s="1" t="s">
        <v>105</v>
      </c>
      <c r="B348" t="s">
        <v>1083</v>
      </c>
      <c r="C348" t="s">
        <v>1084</v>
      </c>
      <c r="D348" s="4">
        <v>44948</v>
      </c>
      <c r="E348" s="1" t="s">
        <v>85</v>
      </c>
      <c r="F348" t="s">
        <v>1085</v>
      </c>
      <c r="G348" t="s">
        <v>1086</v>
      </c>
      <c r="H348">
        <v>2481</v>
      </c>
      <c r="I348" s="1">
        <v>3718.2</v>
      </c>
      <c r="J348" s="1" t="s">
        <v>25</v>
      </c>
      <c r="K348" s="1" t="s">
        <v>26</v>
      </c>
      <c r="L348" s="1">
        <v>47</v>
      </c>
      <c r="M348" s="1" t="s">
        <v>65</v>
      </c>
    </row>
    <row r="349" spans="1:13" ht="15.75" customHeight="1" x14ac:dyDescent="0.35">
      <c r="A349" s="1" t="s">
        <v>43</v>
      </c>
      <c r="B349" t="s">
        <v>1083</v>
      </c>
      <c r="C349" s="1" t="s">
        <v>87</v>
      </c>
      <c r="D349" s="4">
        <v>45051</v>
      </c>
      <c r="E349" s="1" t="s">
        <v>16</v>
      </c>
      <c r="F349" s="1" t="s">
        <v>93</v>
      </c>
      <c r="G349" t="s">
        <v>1086</v>
      </c>
      <c r="H349" s="1">
        <v>297.29000000000002</v>
      </c>
      <c r="I349" s="1">
        <v>2308.11</v>
      </c>
      <c r="J349" s="1" t="s">
        <v>17</v>
      </c>
      <c r="K349" s="1" t="s">
        <v>26</v>
      </c>
      <c r="L349" s="1">
        <v>52</v>
      </c>
      <c r="M349" s="1" t="s">
        <v>19</v>
      </c>
    </row>
    <row r="350" spans="1:13" ht="15.75" customHeight="1" x14ac:dyDescent="0.35">
      <c r="A350" s="1" t="s">
        <v>117</v>
      </c>
      <c r="B350" t="s">
        <v>1083</v>
      </c>
      <c r="C350" s="1" t="s">
        <v>581</v>
      </c>
      <c r="D350" s="4">
        <v>45099</v>
      </c>
      <c r="E350" s="1" t="s">
        <v>16</v>
      </c>
      <c r="F350" s="1" t="s">
        <v>53</v>
      </c>
      <c r="G350" s="1" t="s">
        <v>41</v>
      </c>
      <c r="H350">
        <v>2481</v>
      </c>
      <c r="I350" s="1">
        <v>1641.87</v>
      </c>
      <c r="J350" s="1" t="s">
        <v>25</v>
      </c>
      <c r="K350" s="1" t="s">
        <v>57</v>
      </c>
      <c r="L350">
        <v>9</v>
      </c>
      <c r="M350" t="s">
        <v>19</v>
      </c>
    </row>
    <row r="351" spans="1:13" ht="15.75" customHeight="1" x14ac:dyDescent="0.35">
      <c r="A351" s="1" t="s">
        <v>55</v>
      </c>
      <c r="B351" s="1" t="s">
        <v>582</v>
      </c>
      <c r="C351" t="s">
        <v>1084</v>
      </c>
      <c r="D351" s="4">
        <v>45116</v>
      </c>
      <c r="E351" s="1" t="s">
        <v>85</v>
      </c>
      <c r="F351" s="1" t="s">
        <v>53</v>
      </c>
      <c r="G351" s="1" t="s">
        <v>24</v>
      </c>
      <c r="H351">
        <v>2481</v>
      </c>
      <c r="I351">
        <v>2575.83</v>
      </c>
      <c r="J351" s="1" t="s">
        <v>17</v>
      </c>
      <c r="K351" s="1" t="s">
        <v>1093</v>
      </c>
      <c r="L351" s="1">
        <v>49</v>
      </c>
      <c r="M351" s="1" t="s">
        <v>19</v>
      </c>
    </row>
    <row r="352" spans="1:13" ht="15.75" customHeight="1" x14ac:dyDescent="0.35">
      <c r="A352" s="1" t="s">
        <v>117</v>
      </c>
      <c r="B352" s="1" t="s">
        <v>584</v>
      </c>
      <c r="C352" s="1" t="s">
        <v>290</v>
      </c>
      <c r="D352" s="4">
        <v>45260</v>
      </c>
      <c r="E352" s="1" t="s">
        <v>92</v>
      </c>
      <c r="F352" s="1" t="s">
        <v>53</v>
      </c>
      <c r="G352" t="s">
        <v>1086</v>
      </c>
      <c r="H352">
        <v>2481</v>
      </c>
      <c r="I352">
        <v>2575.83</v>
      </c>
      <c r="J352" s="1" t="s">
        <v>42</v>
      </c>
      <c r="K352" s="1" t="s">
        <v>57</v>
      </c>
      <c r="L352">
        <v>9</v>
      </c>
      <c r="M352" t="s">
        <v>65</v>
      </c>
    </row>
    <row r="353" spans="1:13" ht="15.75" customHeight="1" x14ac:dyDescent="0.35">
      <c r="A353" s="1" t="s">
        <v>102</v>
      </c>
      <c r="B353" t="s">
        <v>1083</v>
      </c>
      <c r="C353" s="1" t="s">
        <v>469</v>
      </c>
      <c r="D353" s="4">
        <v>44972</v>
      </c>
      <c r="E353" s="1" t="s">
        <v>85</v>
      </c>
      <c r="F353" s="1" t="s">
        <v>31</v>
      </c>
      <c r="G353" s="1" t="s">
        <v>41</v>
      </c>
      <c r="H353">
        <v>2481</v>
      </c>
      <c r="I353">
        <v>2575.83</v>
      </c>
      <c r="J353" s="1" t="s">
        <v>25</v>
      </c>
      <c r="K353" s="1" t="s">
        <v>57</v>
      </c>
      <c r="L353">
        <v>9</v>
      </c>
      <c r="M353" t="s">
        <v>42</v>
      </c>
    </row>
    <row r="354" spans="1:13" ht="15.75" customHeight="1" x14ac:dyDescent="0.35">
      <c r="A354" s="1" t="s">
        <v>198</v>
      </c>
      <c r="B354" t="s">
        <v>1083</v>
      </c>
      <c r="C354" s="1" t="s">
        <v>378</v>
      </c>
      <c r="D354" s="4">
        <v>45068</v>
      </c>
      <c r="E354" s="1" t="s">
        <v>85</v>
      </c>
      <c r="F354" s="1" t="s">
        <v>93</v>
      </c>
      <c r="G354" t="s">
        <v>1086</v>
      </c>
      <c r="H354" s="1">
        <v>2481</v>
      </c>
      <c r="I354">
        <v>2575.83</v>
      </c>
      <c r="J354" s="1" t="s">
        <v>25</v>
      </c>
      <c r="K354" s="1" t="s">
        <v>26</v>
      </c>
      <c r="L354">
        <v>9</v>
      </c>
      <c r="M354" t="s">
        <v>19</v>
      </c>
    </row>
    <row r="355" spans="1:13" ht="15.75" customHeight="1" x14ac:dyDescent="0.35">
      <c r="A355" s="1" t="s">
        <v>187</v>
      </c>
      <c r="B355" t="s">
        <v>1083</v>
      </c>
      <c r="C355" t="s">
        <v>1084</v>
      </c>
      <c r="D355" s="4">
        <v>44953</v>
      </c>
      <c r="E355" s="1" t="s">
        <v>85</v>
      </c>
      <c r="F355" s="1" t="s">
        <v>93</v>
      </c>
      <c r="G355" s="1" t="s">
        <v>61</v>
      </c>
      <c r="H355" s="1">
        <v>2451.0500000000002</v>
      </c>
      <c r="I355">
        <v>2575.83</v>
      </c>
      <c r="J355" s="1" t="s">
        <v>25</v>
      </c>
      <c r="K355" s="1" t="s">
        <v>57</v>
      </c>
      <c r="L355">
        <v>9</v>
      </c>
      <c r="M355" t="s">
        <v>65</v>
      </c>
    </row>
    <row r="356" spans="1:13" ht="15.75" customHeight="1" x14ac:dyDescent="0.35">
      <c r="A356" s="1" t="s">
        <v>212</v>
      </c>
      <c r="B356" t="s">
        <v>1083</v>
      </c>
      <c r="C356" s="1" t="s">
        <v>139</v>
      </c>
      <c r="D356" s="4">
        <v>44983</v>
      </c>
      <c r="E356" s="1" t="s">
        <v>85</v>
      </c>
      <c r="F356" t="s">
        <v>1085</v>
      </c>
      <c r="G356" s="1" t="s">
        <v>48</v>
      </c>
      <c r="H356">
        <v>2481</v>
      </c>
      <c r="I356">
        <v>2575.83</v>
      </c>
      <c r="J356" s="1" t="s">
        <v>25</v>
      </c>
      <c r="K356" s="1" t="s">
        <v>26</v>
      </c>
      <c r="L356">
        <v>9</v>
      </c>
      <c r="M356" t="s">
        <v>65</v>
      </c>
    </row>
    <row r="357" spans="1:13" ht="15.75" customHeight="1" x14ac:dyDescent="0.35">
      <c r="A357" s="1" t="s">
        <v>187</v>
      </c>
      <c r="B357" t="s">
        <v>1083</v>
      </c>
      <c r="C357" t="s">
        <v>1084</v>
      </c>
      <c r="D357" s="4">
        <v>45161</v>
      </c>
      <c r="E357" s="1" t="s">
        <v>85</v>
      </c>
      <c r="F357" t="s">
        <v>1085</v>
      </c>
      <c r="G357" s="1" t="s">
        <v>41</v>
      </c>
      <c r="H357">
        <v>2481</v>
      </c>
      <c r="I357">
        <v>2575.83</v>
      </c>
      <c r="J357" s="1" t="s">
        <v>17</v>
      </c>
      <c r="K357" s="1" t="s">
        <v>26</v>
      </c>
      <c r="L357" s="1">
        <v>17</v>
      </c>
      <c r="M357" s="1" t="s">
        <v>19</v>
      </c>
    </row>
    <row r="358" spans="1:13" ht="15.75" customHeight="1" x14ac:dyDescent="0.35">
      <c r="A358" s="1" t="s">
        <v>173</v>
      </c>
      <c r="B358" t="s">
        <v>1083</v>
      </c>
      <c r="C358" t="s">
        <v>1084</v>
      </c>
      <c r="D358" s="4">
        <v>45039</v>
      </c>
      <c r="E358" s="1" t="s">
        <v>85</v>
      </c>
      <c r="F358" t="s">
        <v>1085</v>
      </c>
      <c r="G358" s="1" t="s">
        <v>54</v>
      </c>
      <c r="H358">
        <v>2481</v>
      </c>
      <c r="I358">
        <v>2575.83</v>
      </c>
      <c r="J358" s="1" t="s">
        <v>25</v>
      </c>
      <c r="K358" s="1" t="s">
        <v>18</v>
      </c>
      <c r="L358">
        <v>9</v>
      </c>
      <c r="M358" t="s">
        <v>65</v>
      </c>
    </row>
    <row r="359" spans="1:13" ht="15.75" customHeight="1" x14ac:dyDescent="0.35">
      <c r="A359" s="1" t="s">
        <v>38</v>
      </c>
      <c r="B359" t="s">
        <v>1083</v>
      </c>
      <c r="C359" s="1" t="s">
        <v>75</v>
      </c>
      <c r="D359" s="4">
        <v>45149</v>
      </c>
      <c r="E359" s="1" t="s">
        <v>85</v>
      </c>
      <c r="F359" s="1" t="s">
        <v>47</v>
      </c>
      <c r="G359" s="1" t="s">
        <v>24</v>
      </c>
      <c r="H359" s="1">
        <v>2481</v>
      </c>
      <c r="I359" s="1">
        <v>4901.91</v>
      </c>
      <c r="J359" s="1" t="s">
        <v>25</v>
      </c>
      <c r="K359" s="1" t="s">
        <v>57</v>
      </c>
      <c r="L359">
        <v>9</v>
      </c>
      <c r="M359" t="s">
        <v>42</v>
      </c>
    </row>
    <row r="360" spans="1:13" ht="15.75" customHeight="1" x14ac:dyDescent="0.35">
      <c r="A360" s="1" t="s">
        <v>78</v>
      </c>
      <c r="B360" t="s">
        <v>1083</v>
      </c>
      <c r="C360" t="s">
        <v>1084</v>
      </c>
      <c r="D360" s="4">
        <v>44969</v>
      </c>
      <c r="E360" s="1" t="s">
        <v>85</v>
      </c>
      <c r="F360" s="1" t="s">
        <v>23</v>
      </c>
      <c r="G360" t="s">
        <v>1086</v>
      </c>
      <c r="H360">
        <v>2481</v>
      </c>
      <c r="I360" s="1">
        <v>1824.11</v>
      </c>
      <c r="J360" s="1" t="s">
        <v>25</v>
      </c>
      <c r="K360" s="1" t="s">
        <v>26</v>
      </c>
      <c r="L360">
        <v>9</v>
      </c>
      <c r="M360" t="s">
        <v>19</v>
      </c>
    </row>
    <row r="361" spans="1:13" ht="15.75" customHeight="1" x14ac:dyDescent="0.35">
      <c r="A361" s="1" t="s">
        <v>132</v>
      </c>
      <c r="B361" t="s">
        <v>1083</v>
      </c>
      <c r="C361" s="1" t="s">
        <v>156</v>
      </c>
      <c r="D361" s="4">
        <v>44997</v>
      </c>
      <c r="E361" s="1" t="s">
        <v>77</v>
      </c>
      <c r="F361" s="1" t="s">
        <v>93</v>
      </c>
      <c r="G361" s="1" t="s">
        <v>41</v>
      </c>
      <c r="H361" s="1">
        <v>3152.71</v>
      </c>
      <c r="I361" s="1">
        <v>4308.8900000000003</v>
      </c>
      <c r="J361" s="1" t="s">
        <v>25</v>
      </c>
      <c r="K361" s="1" t="s">
        <v>32</v>
      </c>
      <c r="L361" s="1">
        <v>33</v>
      </c>
      <c r="M361" s="1" t="s">
        <v>19</v>
      </c>
    </row>
    <row r="362" spans="1:13" ht="15.75" customHeight="1" x14ac:dyDescent="0.35">
      <c r="A362" s="1" t="s">
        <v>62</v>
      </c>
      <c r="B362" t="s">
        <v>1083</v>
      </c>
      <c r="C362" s="1" t="s">
        <v>592</v>
      </c>
      <c r="D362" s="4">
        <v>44968</v>
      </c>
      <c r="E362" s="1" t="s">
        <v>16</v>
      </c>
      <c r="F362" s="1" t="s">
        <v>23</v>
      </c>
      <c r="G362" s="1" t="s">
        <v>54</v>
      </c>
      <c r="H362">
        <v>2481</v>
      </c>
      <c r="I362" s="1">
        <v>4445.49</v>
      </c>
      <c r="J362" s="1" t="s">
        <v>25</v>
      </c>
      <c r="K362" s="1" t="s">
        <v>32</v>
      </c>
      <c r="L362">
        <v>9</v>
      </c>
      <c r="M362" t="s">
        <v>19</v>
      </c>
    </row>
    <row r="363" spans="1:13" ht="15.75" customHeight="1" x14ac:dyDescent="0.35">
      <c r="A363" s="1" t="s">
        <v>242</v>
      </c>
      <c r="B363" s="1" t="s">
        <v>594</v>
      </c>
      <c r="C363" s="1" t="s">
        <v>336</v>
      </c>
      <c r="D363" s="4">
        <v>45214</v>
      </c>
      <c r="E363" s="1" t="s">
        <v>92</v>
      </c>
      <c r="F363" s="1" t="s">
        <v>93</v>
      </c>
      <c r="G363" s="1" t="s">
        <v>54</v>
      </c>
      <c r="H363">
        <v>2481</v>
      </c>
      <c r="I363" s="1">
        <v>3778.21</v>
      </c>
      <c r="J363" s="1" t="s">
        <v>42</v>
      </c>
      <c r="K363" s="1" t="s">
        <v>32</v>
      </c>
      <c r="L363">
        <v>9</v>
      </c>
      <c r="M363" t="s">
        <v>42</v>
      </c>
    </row>
    <row r="364" spans="1:13" ht="15.75" customHeight="1" x14ac:dyDescent="0.35">
      <c r="A364" s="1" t="s">
        <v>275</v>
      </c>
      <c r="B364" t="s">
        <v>1083</v>
      </c>
      <c r="C364" s="1" t="s">
        <v>416</v>
      </c>
      <c r="D364" s="4">
        <v>45103</v>
      </c>
      <c r="E364" s="1" t="s">
        <v>30</v>
      </c>
      <c r="F364" s="1" t="s">
        <v>47</v>
      </c>
      <c r="G364" s="1" t="s">
        <v>61</v>
      </c>
      <c r="H364">
        <v>2481</v>
      </c>
      <c r="I364">
        <v>2575.83</v>
      </c>
      <c r="J364" s="1" t="s">
        <v>25</v>
      </c>
      <c r="K364" s="1" t="s">
        <v>18</v>
      </c>
      <c r="L364">
        <v>9</v>
      </c>
      <c r="M364" t="s">
        <v>19</v>
      </c>
    </row>
    <row r="365" spans="1:13" ht="15.75" customHeight="1" x14ac:dyDescent="0.35">
      <c r="A365" s="1" t="s">
        <v>96</v>
      </c>
      <c r="B365" s="1" t="s">
        <v>597</v>
      </c>
      <c r="C365" s="1" t="s">
        <v>112</v>
      </c>
      <c r="D365" s="4">
        <v>44982</v>
      </c>
      <c r="E365" s="1" t="s">
        <v>16</v>
      </c>
      <c r="F365" s="1" t="s">
        <v>93</v>
      </c>
      <c r="G365" s="1" t="s">
        <v>48</v>
      </c>
      <c r="H365" s="1">
        <v>794.97</v>
      </c>
      <c r="I365">
        <v>2575.83</v>
      </c>
      <c r="J365" s="1" t="s">
        <v>17</v>
      </c>
      <c r="K365" s="1" t="s">
        <v>18</v>
      </c>
      <c r="L365">
        <v>9</v>
      </c>
      <c r="M365" t="s">
        <v>65</v>
      </c>
    </row>
    <row r="366" spans="1:13" ht="15.75" customHeight="1" x14ac:dyDescent="0.35">
      <c r="A366" s="1" t="s">
        <v>215</v>
      </c>
      <c r="B366" t="s">
        <v>1083</v>
      </c>
      <c r="C366" t="s">
        <v>1084</v>
      </c>
      <c r="D366" s="4">
        <v>45023</v>
      </c>
      <c r="E366" s="1" t="s">
        <v>85</v>
      </c>
      <c r="F366" s="1" t="s">
        <v>47</v>
      </c>
      <c r="G366" t="s">
        <v>1086</v>
      </c>
      <c r="H366">
        <v>2481</v>
      </c>
      <c r="I366">
        <v>2575.83</v>
      </c>
      <c r="J366" s="1" t="s">
        <v>25</v>
      </c>
      <c r="K366" s="1" t="s">
        <v>57</v>
      </c>
      <c r="L366">
        <v>9</v>
      </c>
      <c r="M366" t="s">
        <v>42</v>
      </c>
    </row>
    <row r="367" spans="1:13" ht="15.75" customHeight="1" x14ac:dyDescent="0.35">
      <c r="A367" s="1" t="s">
        <v>20</v>
      </c>
      <c r="B367" t="s">
        <v>1083</v>
      </c>
      <c r="C367" s="1" t="s">
        <v>94</v>
      </c>
      <c r="D367" s="4">
        <v>45083</v>
      </c>
      <c r="E367" s="1" t="s">
        <v>77</v>
      </c>
      <c r="F367" s="1" t="s">
        <v>31</v>
      </c>
      <c r="G367" s="1" t="s">
        <v>41</v>
      </c>
      <c r="H367">
        <v>2481</v>
      </c>
      <c r="I367">
        <v>2575.83</v>
      </c>
      <c r="J367" s="1" t="s">
        <v>17</v>
      </c>
      <c r="K367" s="1" t="s">
        <v>57</v>
      </c>
      <c r="L367" s="1">
        <v>59</v>
      </c>
      <c r="M367" s="1" t="s">
        <v>42</v>
      </c>
    </row>
    <row r="368" spans="1:13" ht="15.75" customHeight="1" x14ac:dyDescent="0.35">
      <c r="A368" s="1" t="s">
        <v>261</v>
      </c>
      <c r="B368" s="1" t="s">
        <v>600</v>
      </c>
      <c r="C368" s="1" t="s">
        <v>271</v>
      </c>
      <c r="D368" s="4">
        <v>45009</v>
      </c>
      <c r="E368" s="1" t="s">
        <v>92</v>
      </c>
      <c r="F368" s="1" t="s">
        <v>47</v>
      </c>
      <c r="G368" s="1" t="s">
        <v>24</v>
      </c>
      <c r="H368">
        <v>2481</v>
      </c>
      <c r="I368">
        <v>2575.83</v>
      </c>
      <c r="J368" s="1" t="s">
        <v>25</v>
      </c>
      <c r="K368" s="1" t="s">
        <v>32</v>
      </c>
      <c r="L368" s="1">
        <v>22</v>
      </c>
      <c r="M368" s="1" t="s">
        <v>19</v>
      </c>
    </row>
    <row r="369" spans="1:13" ht="15.75" customHeight="1" x14ac:dyDescent="0.35">
      <c r="A369" s="1" t="s">
        <v>215</v>
      </c>
      <c r="B369" s="1" t="s">
        <v>602</v>
      </c>
      <c r="C369" t="s">
        <v>1084</v>
      </c>
      <c r="D369" s="4">
        <v>44939</v>
      </c>
      <c r="E369" s="1" t="s">
        <v>85</v>
      </c>
      <c r="F369" s="1" t="s">
        <v>93</v>
      </c>
      <c r="G369" s="1" t="s">
        <v>48</v>
      </c>
      <c r="H369" s="1">
        <v>4642.67</v>
      </c>
      <c r="I369">
        <v>2575.83</v>
      </c>
      <c r="J369" s="1" t="s">
        <v>17</v>
      </c>
      <c r="K369" s="1" t="s">
        <v>32</v>
      </c>
      <c r="L369">
        <v>9</v>
      </c>
      <c r="M369" t="s">
        <v>19</v>
      </c>
    </row>
    <row r="370" spans="1:13" ht="15.75" customHeight="1" x14ac:dyDescent="0.35">
      <c r="A370" s="1" t="s">
        <v>285</v>
      </c>
      <c r="B370" t="s">
        <v>1083</v>
      </c>
      <c r="C370" s="1" t="s">
        <v>158</v>
      </c>
      <c r="D370" s="4">
        <v>45100</v>
      </c>
      <c r="E370" s="1" t="s">
        <v>16</v>
      </c>
      <c r="F370" t="s">
        <v>1085</v>
      </c>
      <c r="G370" s="1" t="s">
        <v>48</v>
      </c>
      <c r="H370" s="1">
        <v>4505.8599999999997</v>
      </c>
      <c r="I370">
        <v>2575.83</v>
      </c>
      <c r="J370" s="1" t="s">
        <v>17</v>
      </c>
      <c r="K370" s="1" t="s">
        <v>18</v>
      </c>
      <c r="L370">
        <v>9</v>
      </c>
      <c r="M370" t="s">
        <v>19</v>
      </c>
    </row>
    <row r="371" spans="1:13" ht="15.75" customHeight="1" x14ac:dyDescent="0.35">
      <c r="A371" s="1" t="s">
        <v>58</v>
      </c>
      <c r="B371" t="s">
        <v>1083</v>
      </c>
      <c r="C371" s="1" t="s">
        <v>336</v>
      </c>
      <c r="D371" s="4">
        <v>45196</v>
      </c>
      <c r="E371" s="1" t="s">
        <v>85</v>
      </c>
      <c r="F371" s="1" t="s">
        <v>23</v>
      </c>
      <c r="G371" s="1" t="s">
        <v>61</v>
      </c>
      <c r="H371" s="1">
        <v>2715.14</v>
      </c>
      <c r="I371">
        <v>2575.83</v>
      </c>
      <c r="J371" s="1" t="s">
        <v>17</v>
      </c>
      <c r="K371" s="1" t="s">
        <v>1093</v>
      </c>
      <c r="L371">
        <v>9</v>
      </c>
      <c r="M371" t="s">
        <v>42</v>
      </c>
    </row>
    <row r="372" spans="1:13" ht="15.75" customHeight="1" x14ac:dyDescent="0.35">
      <c r="A372" s="1" t="s">
        <v>163</v>
      </c>
      <c r="B372" t="s">
        <v>1083</v>
      </c>
      <c r="C372" t="s">
        <v>1084</v>
      </c>
      <c r="D372" s="4">
        <v>45145</v>
      </c>
      <c r="E372" s="1" t="s">
        <v>92</v>
      </c>
      <c r="F372" s="1" t="s">
        <v>23</v>
      </c>
      <c r="G372" s="1" t="s">
        <v>41</v>
      </c>
      <c r="H372" s="1">
        <v>2481</v>
      </c>
      <c r="I372" s="1">
        <v>4377.79</v>
      </c>
      <c r="J372" s="1" t="s">
        <v>17</v>
      </c>
      <c r="K372" s="1" t="s">
        <v>1093</v>
      </c>
      <c r="L372">
        <v>9</v>
      </c>
      <c r="M372" t="s">
        <v>65</v>
      </c>
    </row>
    <row r="373" spans="1:13" ht="15.75" customHeight="1" x14ac:dyDescent="0.35">
      <c r="A373" s="1" t="s">
        <v>261</v>
      </c>
      <c r="B373" t="s">
        <v>1083</v>
      </c>
      <c r="C373" t="s">
        <v>1084</v>
      </c>
      <c r="D373" s="4">
        <v>44998</v>
      </c>
      <c r="E373" s="1" t="s">
        <v>85</v>
      </c>
      <c r="F373" s="1" t="s">
        <v>93</v>
      </c>
      <c r="G373" s="1" t="s">
        <v>41</v>
      </c>
      <c r="H373">
        <v>2481</v>
      </c>
      <c r="I373">
        <v>2575.83</v>
      </c>
      <c r="J373" s="1" t="s">
        <v>25</v>
      </c>
      <c r="K373" s="1" t="s">
        <v>26</v>
      </c>
      <c r="L373">
        <v>9</v>
      </c>
      <c r="M373" t="s">
        <v>19</v>
      </c>
    </row>
    <row r="374" spans="1:13" ht="15.75" customHeight="1" x14ac:dyDescent="0.35">
      <c r="A374" s="1" t="s">
        <v>70</v>
      </c>
      <c r="B374" t="s">
        <v>1083</v>
      </c>
      <c r="C374" s="1" t="s">
        <v>503</v>
      </c>
      <c r="D374" s="4">
        <v>45022</v>
      </c>
      <c r="E374" s="1" t="s">
        <v>30</v>
      </c>
      <c r="F374" s="1" t="s">
        <v>53</v>
      </c>
      <c r="G374" s="1" t="s">
        <v>61</v>
      </c>
      <c r="H374">
        <v>2481</v>
      </c>
      <c r="I374">
        <v>2575.83</v>
      </c>
      <c r="J374" s="1" t="s">
        <v>25</v>
      </c>
      <c r="K374" s="1" t="s">
        <v>18</v>
      </c>
      <c r="L374" s="1">
        <v>1</v>
      </c>
      <c r="M374" s="1" t="s">
        <v>65</v>
      </c>
    </row>
    <row r="375" spans="1:13" ht="15.75" customHeight="1" x14ac:dyDescent="0.35">
      <c r="A375" s="1" t="s">
        <v>247</v>
      </c>
      <c r="B375" t="s">
        <v>1083</v>
      </c>
      <c r="C375" t="s">
        <v>1084</v>
      </c>
      <c r="D375" s="4">
        <v>45261</v>
      </c>
      <c r="E375" s="1" t="s">
        <v>77</v>
      </c>
      <c r="F375" s="1" t="s">
        <v>93</v>
      </c>
      <c r="G375" s="1" t="s">
        <v>48</v>
      </c>
      <c r="H375">
        <v>2481</v>
      </c>
      <c r="I375">
        <v>2575.83</v>
      </c>
      <c r="J375" s="1" t="s">
        <v>25</v>
      </c>
      <c r="K375" s="1" t="s">
        <v>26</v>
      </c>
      <c r="L375">
        <v>9</v>
      </c>
      <c r="M375" t="s">
        <v>19</v>
      </c>
    </row>
    <row r="376" spans="1:13" ht="15.75" customHeight="1" x14ac:dyDescent="0.35">
      <c r="A376" s="1" t="s">
        <v>66</v>
      </c>
      <c r="B376" t="s">
        <v>1083</v>
      </c>
      <c r="C376" t="s">
        <v>1084</v>
      </c>
      <c r="D376" s="4">
        <v>45170</v>
      </c>
      <c r="E376" s="1" t="s">
        <v>85</v>
      </c>
      <c r="F376" s="1" t="s">
        <v>23</v>
      </c>
      <c r="G376" s="1" t="s">
        <v>41</v>
      </c>
      <c r="H376" s="1">
        <v>2587</v>
      </c>
      <c r="I376" s="1">
        <v>4234.1400000000003</v>
      </c>
      <c r="J376" s="1" t="s">
        <v>17</v>
      </c>
      <c r="K376" s="1" t="s">
        <v>26</v>
      </c>
      <c r="L376">
        <v>9</v>
      </c>
      <c r="M376" t="s">
        <v>65</v>
      </c>
    </row>
    <row r="377" spans="1:13" ht="15.75" customHeight="1" x14ac:dyDescent="0.35">
      <c r="A377" s="1" t="s">
        <v>321</v>
      </c>
      <c r="B377" t="s">
        <v>1083</v>
      </c>
      <c r="C377" s="1" t="s">
        <v>491</v>
      </c>
      <c r="D377" s="4">
        <v>45141</v>
      </c>
      <c r="E377" s="1" t="s">
        <v>92</v>
      </c>
      <c r="F377" s="1" t="s">
        <v>23</v>
      </c>
      <c r="G377" s="1" t="s">
        <v>41</v>
      </c>
      <c r="H377" s="1">
        <v>1493.74</v>
      </c>
      <c r="I377">
        <v>2575.83</v>
      </c>
      <c r="J377" s="1" t="s">
        <v>17</v>
      </c>
      <c r="K377" s="1" t="s">
        <v>26</v>
      </c>
      <c r="L377" s="1">
        <v>38</v>
      </c>
      <c r="M377" s="1" t="s">
        <v>42</v>
      </c>
    </row>
    <row r="378" spans="1:13" ht="15.75" customHeight="1" x14ac:dyDescent="0.35">
      <c r="A378" s="1" t="s">
        <v>58</v>
      </c>
      <c r="B378" t="s">
        <v>1083</v>
      </c>
      <c r="C378" t="s">
        <v>1084</v>
      </c>
      <c r="D378" s="4">
        <v>45284</v>
      </c>
      <c r="E378" s="1" t="s">
        <v>16</v>
      </c>
      <c r="F378" s="1" t="s">
        <v>47</v>
      </c>
      <c r="G378" s="1" t="s">
        <v>54</v>
      </c>
      <c r="H378" s="1">
        <v>1790.57</v>
      </c>
      <c r="I378">
        <v>2575.83</v>
      </c>
      <c r="J378" s="1" t="s">
        <v>42</v>
      </c>
      <c r="K378" s="1" t="s">
        <v>1093</v>
      </c>
      <c r="L378">
        <v>9</v>
      </c>
      <c r="M378" t="s">
        <v>65</v>
      </c>
    </row>
    <row r="379" spans="1:13" ht="15.75" customHeight="1" x14ac:dyDescent="0.35">
      <c r="A379" s="1" t="s">
        <v>108</v>
      </c>
      <c r="B379" s="1" t="s">
        <v>612</v>
      </c>
      <c r="C379" s="1" t="s">
        <v>613</v>
      </c>
      <c r="D379" s="4">
        <v>45241</v>
      </c>
      <c r="E379" s="1" t="s">
        <v>85</v>
      </c>
      <c r="F379" s="1" t="s">
        <v>47</v>
      </c>
      <c r="G379" s="1" t="s">
        <v>54</v>
      </c>
      <c r="H379" s="1">
        <v>3577.11</v>
      </c>
      <c r="I379" s="1">
        <v>2115.86</v>
      </c>
      <c r="J379" s="1" t="s">
        <v>25</v>
      </c>
      <c r="K379" s="1" t="s">
        <v>18</v>
      </c>
      <c r="L379" s="1">
        <v>59</v>
      </c>
      <c r="M379" s="1" t="s">
        <v>65</v>
      </c>
    </row>
    <row r="380" spans="1:13" ht="15.75" customHeight="1" x14ac:dyDescent="0.35">
      <c r="A380" s="1" t="s">
        <v>28</v>
      </c>
      <c r="B380" t="s">
        <v>1083</v>
      </c>
      <c r="C380" s="1" t="s">
        <v>356</v>
      </c>
      <c r="D380" s="4">
        <v>45232</v>
      </c>
      <c r="E380" s="1" t="s">
        <v>85</v>
      </c>
      <c r="F380" t="s">
        <v>1085</v>
      </c>
      <c r="G380" s="1" t="s">
        <v>41</v>
      </c>
      <c r="H380">
        <v>2481</v>
      </c>
      <c r="I380">
        <v>2575.83</v>
      </c>
      <c r="J380" s="1" t="s">
        <v>17</v>
      </c>
      <c r="K380" s="1" t="s">
        <v>18</v>
      </c>
      <c r="L380" s="1">
        <v>19</v>
      </c>
      <c r="M380" s="1" t="s">
        <v>65</v>
      </c>
    </row>
    <row r="381" spans="1:13" ht="15.75" customHeight="1" x14ac:dyDescent="0.35">
      <c r="A381" s="1" t="s">
        <v>277</v>
      </c>
      <c r="B381" t="s">
        <v>1083</v>
      </c>
      <c r="C381" s="1" t="s">
        <v>614</v>
      </c>
      <c r="D381" s="4">
        <v>44936</v>
      </c>
      <c r="E381" s="1" t="s">
        <v>16</v>
      </c>
      <c r="F381" s="1" t="s">
        <v>93</v>
      </c>
      <c r="G381" s="1" t="s">
        <v>61</v>
      </c>
      <c r="H381" s="1">
        <v>212.32</v>
      </c>
      <c r="I381">
        <v>2575.83</v>
      </c>
      <c r="J381" s="1" t="s">
        <v>25</v>
      </c>
      <c r="K381" s="1" t="s">
        <v>26</v>
      </c>
      <c r="L381">
        <v>9</v>
      </c>
      <c r="M381" t="s">
        <v>19</v>
      </c>
    </row>
    <row r="382" spans="1:13" ht="15.75" customHeight="1" x14ac:dyDescent="0.35">
      <c r="A382" s="1" t="s">
        <v>231</v>
      </c>
      <c r="B382" s="1" t="s">
        <v>616</v>
      </c>
      <c r="C382" s="1" t="s">
        <v>161</v>
      </c>
      <c r="D382" s="4">
        <v>45021</v>
      </c>
      <c r="E382" s="1" t="s">
        <v>92</v>
      </c>
      <c r="F382" s="1" t="s">
        <v>23</v>
      </c>
      <c r="G382" s="1" t="s">
        <v>61</v>
      </c>
      <c r="H382">
        <v>2481</v>
      </c>
      <c r="I382">
        <v>2575.83</v>
      </c>
      <c r="J382" s="1" t="s">
        <v>17</v>
      </c>
      <c r="K382" s="1" t="s">
        <v>18</v>
      </c>
      <c r="L382">
        <v>9</v>
      </c>
      <c r="M382" t="s">
        <v>19</v>
      </c>
    </row>
    <row r="383" spans="1:13" ht="15.75" customHeight="1" x14ac:dyDescent="0.35">
      <c r="A383" s="1" t="s">
        <v>108</v>
      </c>
      <c r="B383" s="1" t="s">
        <v>618</v>
      </c>
      <c r="C383" s="1" t="s">
        <v>530</v>
      </c>
      <c r="D383" s="4">
        <v>45014</v>
      </c>
      <c r="E383" s="1" t="s">
        <v>16</v>
      </c>
      <c r="F383" t="s">
        <v>1085</v>
      </c>
      <c r="G383" s="1" t="s">
        <v>61</v>
      </c>
      <c r="H383" s="1">
        <v>2481</v>
      </c>
      <c r="I383">
        <v>2575.83</v>
      </c>
      <c r="J383" s="1" t="s">
        <v>17</v>
      </c>
      <c r="K383" s="1" t="s">
        <v>1093</v>
      </c>
      <c r="L383" s="1">
        <v>43</v>
      </c>
      <c r="M383" s="1" t="s">
        <v>65</v>
      </c>
    </row>
    <row r="384" spans="1:13" ht="15.75" customHeight="1" x14ac:dyDescent="0.35">
      <c r="A384" s="1" t="s">
        <v>28</v>
      </c>
      <c r="B384" t="s">
        <v>1083</v>
      </c>
      <c r="C384" s="1" t="s">
        <v>620</v>
      </c>
      <c r="D384" s="4">
        <v>45135</v>
      </c>
      <c r="E384" s="1" t="s">
        <v>77</v>
      </c>
      <c r="F384" s="1" t="s">
        <v>23</v>
      </c>
      <c r="G384" s="1" t="s">
        <v>54</v>
      </c>
      <c r="H384">
        <v>2481</v>
      </c>
      <c r="I384" s="1">
        <v>2807.8</v>
      </c>
      <c r="J384" s="1" t="s">
        <v>25</v>
      </c>
      <c r="K384" s="1" t="s">
        <v>32</v>
      </c>
      <c r="L384" s="1">
        <v>31</v>
      </c>
      <c r="M384" s="1" t="s">
        <v>65</v>
      </c>
    </row>
    <row r="385" spans="1:13" ht="15.75" customHeight="1" x14ac:dyDescent="0.35">
      <c r="A385" s="1" t="s">
        <v>261</v>
      </c>
      <c r="B385" t="s">
        <v>1083</v>
      </c>
      <c r="C385" t="s">
        <v>1084</v>
      </c>
      <c r="D385" s="4">
        <v>45042</v>
      </c>
      <c r="E385" s="1" t="s">
        <v>77</v>
      </c>
      <c r="F385" s="1" t="s">
        <v>31</v>
      </c>
      <c r="G385" s="1" t="s">
        <v>48</v>
      </c>
      <c r="H385" s="1">
        <v>2481</v>
      </c>
      <c r="I385">
        <v>2575.83</v>
      </c>
      <c r="J385" s="1" t="s">
        <v>17</v>
      </c>
      <c r="K385" s="1" t="s">
        <v>26</v>
      </c>
      <c r="L385">
        <v>9</v>
      </c>
      <c r="M385" t="s">
        <v>19</v>
      </c>
    </row>
    <row r="386" spans="1:13" ht="15.75" customHeight="1" x14ac:dyDescent="0.35">
      <c r="A386" s="1" t="s">
        <v>78</v>
      </c>
      <c r="B386" t="s">
        <v>1083</v>
      </c>
      <c r="C386" s="1" t="s">
        <v>378</v>
      </c>
      <c r="D386" s="4">
        <v>45000</v>
      </c>
      <c r="E386" s="1" t="s">
        <v>16</v>
      </c>
      <c r="F386" s="1" t="s">
        <v>47</v>
      </c>
      <c r="G386" s="1" t="s">
        <v>61</v>
      </c>
      <c r="H386" s="1">
        <v>3720.09</v>
      </c>
      <c r="I386" s="1">
        <v>1850.36</v>
      </c>
      <c r="J386" s="1" t="s">
        <v>42</v>
      </c>
      <c r="K386" s="1" t="s">
        <v>18</v>
      </c>
      <c r="L386">
        <v>9</v>
      </c>
      <c r="M386" t="s">
        <v>19</v>
      </c>
    </row>
    <row r="387" spans="1:13" ht="15.75" customHeight="1" x14ac:dyDescent="0.35">
      <c r="A387" s="1" t="s">
        <v>198</v>
      </c>
      <c r="B387" t="s">
        <v>1083</v>
      </c>
      <c r="C387" t="s">
        <v>1084</v>
      </c>
      <c r="D387" s="4">
        <v>45224</v>
      </c>
      <c r="E387" s="1" t="s">
        <v>85</v>
      </c>
      <c r="F387" t="s">
        <v>1085</v>
      </c>
      <c r="G387" s="1" t="s">
        <v>48</v>
      </c>
      <c r="H387" s="1">
        <v>2481</v>
      </c>
      <c r="I387">
        <v>2575.83</v>
      </c>
      <c r="J387" s="1" t="s">
        <v>42</v>
      </c>
      <c r="K387" s="1" t="s">
        <v>18</v>
      </c>
      <c r="L387">
        <v>9</v>
      </c>
      <c r="M387" t="s">
        <v>19</v>
      </c>
    </row>
    <row r="388" spans="1:13" ht="15.75" customHeight="1" x14ac:dyDescent="0.35">
      <c r="A388" s="1" t="s">
        <v>55</v>
      </c>
      <c r="B388" t="s">
        <v>1083</v>
      </c>
      <c r="C388" s="1" t="s">
        <v>625</v>
      </c>
      <c r="D388" s="4">
        <v>45248</v>
      </c>
      <c r="E388" s="1" t="s">
        <v>16</v>
      </c>
      <c r="F388" s="1" t="s">
        <v>23</v>
      </c>
      <c r="G388" s="1" t="s">
        <v>61</v>
      </c>
      <c r="H388">
        <v>2481</v>
      </c>
      <c r="I388">
        <v>2575.83</v>
      </c>
      <c r="J388" s="1" t="s">
        <v>42</v>
      </c>
      <c r="K388" s="1" t="s">
        <v>18</v>
      </c>
      <c r="L388">
        <v>9</v>
      </c>
      <c r="M388" t="s">
        <v>42</v>
      </c>
    </row>
    <row r="389" spans="1:13" ht="15.75" customHeight="1" x14ac:dyDescent="0.35">
      <c r="A389" s="1" t="s">
        <v>108</v>
      </c>
      <c r="B389" s="1" t="s">
        <v>627</v>
      </c>
      <c r="C389" t="s">
        <v>1084</v>
      </c>
      <c r="D389" s="4">
        <v>45077</v>
      </c>
      <c r="E389" s="1" t="s">
        <v>77</v>
      </c>
      <c r="F389" s="1" t="s">
        <v>53</v>
      </c>
      <c r="G389" s="1" t="s">
        <v>54</v>
      </c>
      <c r="H389" s="1">
        <v>1345.24</v>
      </c>
      <c r="I389" s="1">
        <v>4765.2700000000004</v>
      </c>
      <c r="J389" s="1" t="s">
        <v>25</v>
      </c>
      <c r="K389" s="1" t="s">
        <v>26</v>
      </c>
      <c r="L389">
        <v>9</v>
      </c>
      <c r="M389" t="s">
        <v>19</v>
      </c>
    </row>
    <row r="390" spans="1:13" ht="15.75" customHeight="1" x14ac:dyDescent="0.35">
      <c r="A390" s="1" t="s">
        <v>33</v>
      </c>
      <c r="B390" t="s">
        <v>1083</v>
      </c>
      <c r="C390" s="1" t="s">
        <v>469</v>
      </c>
      <c r="D390" s="4">
        <v>45212</v>
      </c>
      <c r="E390" s="1" t="s">
        <v>16</v>
      </c>
      <c r="F390" s="1" t="s">
        <v>93</v>
      </c>
      <c r="G390" s="1" t="s">
        <v>48</v>
      </c>
      <c r="H390" s="1">
        <v>2481</v>
      </c>
      <c r="I390" s="1">
        <v>2462.9</v>
      </c>
      <c r="J390" s="1" t="s">
        <v>17</v>
      </c>
      <c r="K390" s="1" t="s">
        <v>1093</v>
      </c>
      <c r="L390">
        <v>9</v>
      </c>
      <c r="M390" t="s">
        <v>42</v>
      </c>
    </row>
    <row r="391" spans="1:13" ht="15.75" customHeight="1" x14ac:dyDescent="0.35">
      <c r="A391" s="1" t="s">
        <v>209</v>
      </c>
      <c r="B391" t="s">
        <v>1083</v>
      </c>
      <c r="C391" s="1" t="s">
        <v>39</v>
      </c>
      <c r="D391" s="4">
        <v>44955</v>
      </c>
      <c r="E391" s="1" t="s">
        <v>77</v>
      </c>
      <c r="F391" s="1" t="s">
        <v>47</v>
      </c>
      <c r="G391" s="1" t="s">
        <v>48</v>
      </c>
      <c r="H391">
        <v>2481</v>
      </c>
      <c r="I391" s="1">
        <v>1636.39</v>
      </c>
      <c r="J391" s="1" t="s">
        <v>17</v>
      </c>
      <c r="K391" s="1" t="s">
        <v>26</v>
      </c>
      <c r="L391">
        <v>9</v>
      </c>
      <c r="M391" t="s">
        <v>19</v>
      </c>
    </row>
    <row r="392" spans="1:13" ht="15.75" customHeight="1" x14ac:dyDescent="0.35">
      <c r="A392" s="1" t="s">
        <v>148</v>
      </c>
      <c r="B392" s="1" t="s">
        <v>631</v>
      </c>
      <c r="C392" t="s">
        <v>1084</v>
      </c>
      <c r="D392" s="4">
        <v>44976</v>
      </c>
      <c r="E392" s="1" t="s">
        <v>92</v>
      </c>
      <c r="F392" s="1" t="s">
        <v>53</v>
      </c>
      <c r="G392" s="1" t="s">
        <v>41</v>
      </c>
      <c r="H392">
        <v>2481</v>
      </c>
      <c r="I392">
        <v>2575.83</v>
      </c>
      <c r="J392" s="1" t="s">
        <v>17</v>
      </c>
      <c r="K392" s="1" t="s">
        <v>26</v>
      </c>
      <c r="L392">
        <v>9</v>
      </c>
      <c r="M392" t="s">
        <v>19</v>
      </c>
    </row>
    <row r="393" spans="1:13" ht="15.75" customHeight="1" x14ac:dyDescent="0.35">
      <c r="A393" s="1" t="s">
        <v>192</v>
      </c>
      <c r="B393" t="s">
        <v>1083</v>
      </c>
      <c r="C393" s="1" t="s">
        <v>632</v>
      </c>
      <c r="D393" s="4">
        <v>45093</v>
      </c>
      <c r="E393" s="1" t="s">
        <v>16</v>
      </c>
      <c r="F393" s="1" t="s">
        <v>53</v>
      </c>
      <c r="G393" s="1" t="s">
        <v>54</v>
      </c>
      <c r="H393">
        <v>2481</v>
      </c>
      <c r="I393">
        <v>2575.83</v>
      </c>
      <c r="J393" s="1" t="s">
        <v>17</v>
      </c>
      <c r="K393" s="1" t="s">
        <v>26</v>
      </c>
      <c r="L393">
        <v>9</v>
      </c>
      <c r="M393" t="s">
        <v>42</v>
      </c>
    </row>
    <row r="394" spans="1:13" ht="15.75" customHeight="1" x14ac:dyDescent="0.35">
      <c r="A394" s="1" t="s">
        <v>33</v>
      </c>
      <c r="B394" t="s">
        <v>1083</v>
      </c>
      <c r="C394" t="s">
        <v>1084</v>
      </c>
      <c r="D394" s="4">
        <v>44978</v>
      </c>
      <c r="E394" s="1" t="s">
        <v>92</v>
      </c>
      <c r="F394" s="1" t="s">
        <v>53</v>
      </c>
      <c r="G394" s="1" t="s">
        <v>54</v>
      </c>
      <c r="H394">
        <v>2481</v>
      </c>
      <c r="I394">
        <v>2575.83</v>
      </c>
      <c r="J394" s="1" t="s">
        <v>42</v>
      </c>
      <c r="K394" s="1" t="s">
        <v>1093</v>
      </c>
      <c r="L394">
        <v>9</v>
      </c>
      <c r="M394" t="s">
        <v>19</v>
      </c>
    </row>
    <row r="395" spans="1:13" ht="15.75" customHeight="1" x14ac:dyDescent="0.35">
      <c r="A395" s="1" t="s">
        <v>73</v>
      </c>
      <c r="B395" t="s">
        <v>1083</v>
      </c>
      <c r="C395" s="1" t="s">
        <v>45</v>
      </c>
      <c r="D395" s="4">
        <v>45079</v>
      </c>
      <c r="E395" s="1" t="s">
        <v>30</v>
      </c>
      <c r="F395" t="s">
        <v>1085</v>
      </c>
      <c r="G395" s="1" t="s">
        <v>61</v>
      </c>
      <c r="H395" s="1">
        <v>3602.65</v>
      </c>
      <c r="I395">
        <v>2575.83</v>
      </c>
      <c r="J395" s="1" t="s">
        <v>25</v>
      </c>
      <c r="K395" s="1" t="s">
        <v>57</v>
      </c>
      <c r="L395">
        <v>9</v>
      </c>
      <c r="M395" t="s">
        <v>65</v>
      </c>
    </row>
    <row r="396" spans="1:13" ht="15.75" customHeight="1" x14ac:dyDescent="0.35">
      <c r="A396" s="1" t="s">
        <v>62</v>
      </c>
      <c r="B396" t="s">
        <v>1083</v>
      </c>
      <c r="C396" t="s">
        <v>1084</v>
      </c>
      <c r="D396" s="4">
        <v>45148</v>
      </c>
      <c r="E396" s="1" t="s">
        <v>30</v>
      </c>
      <c r="F396" s="1" t="s">
        <v>31</v>
      </c>
      <c r="G396" s="1" t="s">
        <v>24</v>
      </c>
      <c r="H396" s="1">
        <v>2481</v>
      </c>
      <c r="I396">
        <v>2575.83</v>
      </c>
      <c r="J396" s="1" t="s">
        <v>17</v>
      </c>
      <c r="K396" s="1" t="s">
        <v>26</v>
      </c>
      <c r="L396">
        <v>9</v>
      </c>
      <c r="M396" t="s">
        <v>42</v>
      </c>
    </row>
    <row r="397" spans="1:13" ht="15.75" customHeight="1" x14ac:dyDescent="0.35">
      <c r="A397" s="1" t="s">
        <v>102</v>
      </c>
      <c r="B397" t="s">
        <v>1083</v>
      </c>
      <c r="C397" t="s">
        <v>1084</v>
      </c>
      <c r="D397" s="4">
        <v>45199</v>
      </c>
      <c r="E397" s="1" t="s">
        <v>85</v>
      </c>
      <c r="F397" s="1" t="s">
        <v>53</v>
      </c>
      <c r="G397" s="1" t="s">
        <v>54</v>
      </c>
      <c r="H397">
        <v>2481</v>
      </c>
      <c r="I397" s="1">
        <v>1853.16</v>
      </c>
      <c r="J397" s="1" t="s">
        <v>17</v>
      </c>
      <c r="K397" s="1" t="s">
        <v>18</v>
      </c>
      <c r="L397">
        <v>9</v>
      </c>
      <c r="M397" t="s">
        <v>19</v>
      </c>
    </row>
    <row r="398" spans="1:13" ht="15.75" customHeight="1" x14ac:dyDescent="0.35">
      <c r="A398" s="1" t="s">
        <v>62</v>
      </c>
      <c r="B398" t="s">
        <v>1083</v>
      </c>
      <c r="C398" s="1" t="s">
        <v>636</v>
      </c>
      <c r="D398" s="4">
        <v>45073</v>
      </c>
      <c r="E398" s="1" t="s">
        <v>85</v>
      </c>
      <c r="F398" s="1" t="s">
        <v>31</v>
      </c>
      <c r="G398" t="s">
        <v>1086</v>
      </c>
      <c r="H398">
        <v>2481</v>
      </c>
      <c r="I398" s="1">
        <v>612.11</v>
      </c>
      <c r="J398" s="1" t="s">
        <v>25</v>
      </c>
      <c r="K398" s="1" t="s">
        <v>18</v>
      </c>
      <c r="L398">
        <v>9</v>
      </c>
      <c r="M398" t="s">
        <v>65</v>
      </c>
    </row>
    <row r="399" spans="1:13" ht="15.75" customHeight="1" x14ac:dyDescent="0.35">
      <c r="A399" s="1" t="s">
        <v>117</v>
      </c>
      <c r="B399" t="s">
        <v>1083</v>
      </c>
      <c r="C399" s="1" t="s">
        <v>75</v>
      </c>
      <c r="D399" s="4">
        <v>45030</v>
      </c>
      <c r="E399" s="1" t="s">
        <v>16</v>
      </c>
      <c r="F399" s="1" t="s">
        <v>31</v>
      </c>
      <c r="G399" s="1" t="s">
        <v>41</v>
      </c>
      <c r="H399" s="1">
        <v>3310.42</v>
      </c>
      <c r="I399">
        <v>2575.83</v>
      </c>
      <c r="J399" s="1" t="s">
        <v>25</v>
      </c>
      <c r="K399" s="1" t="s">
        <v>26</v>
      </c>
      <c r="L399" s="1">
        <v>55</v>
      </c>
      <c r="M399" s="1" t="s">
        <v>19</v>
      </c>
    </row>
    <row r="400" spans="1:13" ht="15.75" customHeight="1" x14ac:dyDescent="0.35">
      <c r="A400" s="1" t="s">
        <v>154</v>
      </c>
      <c r="B400" s="1" t="s">
        <v>638</v>
      </c>
      <c r="C400" t="s">
        <v>1084</v>
      </c>
      <c r="D400" s="4">
        <v>45263</v>
      </c>
      <c r="E400" s="1" t="s">
        <v>85</v>
      </c>
      <c r="F400" t="s">
        <v>1085</v>
      </c>
      <c r="G400" s="1" t="s">
        <v>24</v>
      </c>
      <c r="H400" s="1">
        <v>1218.4000000000001</v>
      </c>
      <c r="I400">
        <v>2575.83</v>
      </c>
      <c r="J400" s="1" t="s">
        <v>17</v>
      </c>
      <c r="K400" s="1" t="s">
        <v>32</v>
      </c>
      <c r="L400" s="1">
        <v>31</v>
      </c>
      <c r="M400" s="1" t="s">
        <v>65</v>
      </c>
    </row>
    <row r="401" spans="1:13" ht="15.75" customHeight="1" x14ac:dyDescent="0.35">
      <c r="A401" s="1" t="s">
        <v>154</v>
      </c>
      <c r="B401" t="s">
        <v>1083</v>
      </c>
      <c r="C401" t="s">
        <v>1084</v>
      </c>
      <c r="D401" s="4">
        <v>45047</v>
      </c>
      <c r="E401" s="1" t="s">
        <v>16</v>
      </c>
      <c r="F401" s="1" t="s">
        <v>93</v>
      </c>
      <c r="G401" s="1" t="s">
        <v>24</v>
      </c>
      <c r="H401" s="1">
        <v>2481</v>
      </c>
      <c r="I401">
        <v>2575.83</v>
      </c>
      <c r="J401" s="1" t="s">
        <v>25</v>
      </c>
      <c r="K401" s="1" t="s">
        <v>1093</v>
      </c>
      <c r="L401">
        <v>9</v>
      </c>
      <c r="M401" t="s">
        <v>19</v>
      </c>
    </row>
    <row r="402" spans="1:13" ht="15.75" customHeight="1" x14ac:dyDescent="0.35">
      <c r="A402" s="1" t="s">
        <v>58</v>
      </c>
      <c r="B402" t="s">
        <v>1083</v>
      </c>
      <c r="C402" s="1" t="s">
        <v>458</v>
      </c>
      <c r="D402" s="4">
        <v>45001</v>
      </c>
      <c r="E402" s="1" t="s">
        <v>16</v>
      </c>
      <c r="F402" s="1" t="s">
        <v>31</v>
      </c>
      <c r="G402" s="1" t="s">
        <v>41</v>
      </c>
      <c r="H402" s="1">
        <v>154.32</v>
      </c>
      <c r="I402">
        <v>2575.83</v>
      </c>
      <c r="J402" s="1" t="s">
        <v>25</v>
      </c>
      <c r="K402" s="1" t="s">
        <v>18</v>
      </c>
      <c r="L402">
        <v>9</v>
      </c>
      <c r="M402" t="s">
        <v>65</v>
      </c>
    </row>
    <row r="403" spans="1:13" ht="15.75" customHeight="1" x14ac:dyDescent="0.35">
      <c r="A403" s="1" t="s">
        <v>192</v>
      </c>
      <c r="B403" t="s">
        <v>1083</v>
      </c>
      <c r="C403" s="1" t="s">
        <v>356</v>
      </c>
      <c r="D403" s="4">
        <v>45048</v>
      </c>
      <c r="E403" s="1" t="s">
        <v>16</v>
      </c>
      <c r="F403" s="1" t="s">
        <v>53</v>
      </c>
      <c r="G403" s="1" t="s">
        <v>41</v>
      </c>
      <c r="H403">
        <v>2481</v>
      </c>
      <c r="I403" s="1">
        <v>1091.4100000000001</v>
      </c>
      <c r="J403" s="1" t="s">
        <v>25</v>
      </c>
      <c r="K403" s="1" t="s">
        <v>32</v>
      </c>
      <c r="L403">
        <v>9</v>
      </c>
      <c r="M403" t="s">
        <v>65</v>
      </c>
    </row>
    <row r="404" spans="1:13" ht="15.75" customHeight="1" x14ac:dyDescent="0.35">
      <c r="A404" s="1" t="s">
        <v>179</v>
      </c>
      <c r="B404" t="s">
        <v>1083</v>
      </c>
      <c r="C404" t="s">
        <v>1084</v>
      </c>
      <c r="D404" s="4">
        <v>45097</v>
      </c>
      <c r="E404" s="1" t="s">
        <v>77</v>
      </c>
      <c r="F404" s="1" t="s">
        <v>23</v>
      </c>
      <c r="G404" s="1" t="s">
        <v>24</v>
      </c>
      <c r="H404" s="1">
        <v>3507.49</v>
      </c>
      <c r="I404">
        <v>2575.83</v>
      </c>
      <c r="J404" s="1" t="s">
        <v>17</v>
      </c>
      <c r="K404" s="1" t="s">
        <v>32</v>
      </c>
      <c r="L404">
        <v>9</v>
      </c>
      <c r="M404" t="s">
        <v>19</v>
      </c>
    </row>
    <row r="405" spans="1:13" ht="15.75" customHeight="1" x14ac:dyDescent="0.35">
      <c r="A405" s="1" t="s">
        <v>231</v>
      </c>
      <c r="B405" t="s">
        <v>1083</v>
      </c>
      <c r="C405" s="1" t="s">
        <v>336</v>
      </c>
      <c r="D405" s="4">
        <v>45249</v>
      </c>
      <c r="E405" s="1" t="s">
        <v>16</v>
      </c>
      <c r="F405" s="1" t="s">
        <v>53</v>
      </c>
      <c r="G405" s="1" t="s">
        <v>24</v>
      </c>
      <c r="H405" s="1">
        <v>3160.07</v>
      </c>
      <c r="I405" s="1">
        <v>598.6</v>
      </c>
      <c r="J405" s="1" t="s">
        <v>17</v>
      </c>
      <c r="K405" s="1" t="s">
        <v>18</v>
      </c>
      <c r="L405">
        <v>9</v>
      </c>
      <c r="M405" t="s">
        <v>65</v>
      </c>
    </row>
    <row r="406" spans="1:13" ht="15.75" customHeight="1" x14ac:dyDescent="0.35">
      <c r="A406" s="1" t="s">
        <v>179</v>
      </c>
      <c r="B406" t="s">
        <v>1083</v>
      </c>
      <c r="C406" s="1" t="s">
        <v>642</v>
      </c>
      <c r="D406" s="4">
        <v>45278</v>
      </c>
      <c r="E406" s="1" t="s">
        <v>85</v>
      </c>
      <c r="F406" s="1" t="s">
        <v>31</v>
      </c>
      <c r="G406" s="1" t="s">
        <v>41</v>
      </c>
      <c r="H406">
        <v>2481</v>
      </c>
      <c r="I406">
        <v>2575.83</v>
      </c>
      <c r="J406" s="1" t="s">
        <v>17</v>
      </c>
      <c r="K406" s="1" t="s">
        <v>18</v>
      </c>
      <c r="L406" s="1">
        <v>1</v>
      </c>
      <c r="M406" s="1" t="s">
        <v>42</v>
      </c>
    </row>
    <row r="407" spans="1:13" ht="15.75" customHeight="1" x14ac:dyDescent="0.35">
      <c r="A407" s="1" t="s">
        <v>43</v>
      </c>
      <c r="B407" t="s">
        <v>1083</v>
      </c>
      <c r="C407" s="1" t="s">
        <v>644</v>
      </c>
      <c r="D407" s="4">
        <v>45061</v>
      </c>
      <c r="E407" s="1" t="s">
        <v>85</v>
      </c>
      <c r="F407" s="1" t="s">
        <v>93</v>
      </c>
      <c r="G407" s="1" t="s">
        <v>61</v>
      </c>
      <c r="H407">
        <v>2481</v>
      </c>
      <c r="I407">
        <v>2575.83</v>
      </c>
      <c r="J407" s="1" t="s">
        <v>17</v>
      </c>
      <c r="K407" s="1" t="s">
        <v>57</v>
      </c>
      <c r="L407" s="1">
        <v>7</v>
      </c>
      <c r="M407" s="1" t="s">
        <v>42</v>
      </c>
    </row>
    <row r="408" spans="1:13" ht="15.75" customHeight="1" x14ac:dyDescent="0.35">
      <c r="A408" s="1" t="s">
        <v>62</v>
      </c>
      <c r="B408" t="s">
        <v>1083</v>
      </c>
      <c r="C408" t="s">
        <v>1084</v>
      </c>
      <c r="D408" s="4">
        <v>44987</v>
      </c>
      <c r="E408" s="1" t="s">
        <v>85</v>
      </c>
      <c r="F408" s="1" t="s">
        <v>31</v>
      </c>
      <c r="G408" s="1" t="s">
        <v>41</v>
      </c>
      <c r="H408">
        <v>2481</v>
      </c>
      <c r="I408" s="1">
        <v>2184.98</v>
      </c>
      <c r="J408" s="1" t="s">
        <v>17</v>
      </c>
      <c r="K408" s="1" t="s">
        <v>18</v>
      </c>
      <c r="L408">
        <v>9</v>
      </c>
      <c r="M408" t="s">
        <v>65</v>
      </c>
    </row>
    <row r="409" spans="1:13" ht="15.75" customHeight="1" x14ac:dyDescent="0.35">
      <c r="A409" s="1" t="s">
        <v>70</v>
      </c>
      <c r="B409" t="s">
        <v>1083</v>
      </c>
      <c r="C409" s="1" t="s">
        <v>119</v>
      </c>
      <c r="D409" s="4">
        <v>45047</v>
      </c>
      <c r="E409" s="1" t="s">
        <v>77</v>
      </c>
      <c r="F409" s="1" t="s">
        <v>93</v>
      </c>
      <c r="G409" s="1" t="s">
        <v>41</v>
      </c>
      <c r="H409" s="1">
        <v>2481</v>
      </c>
      <c r="I409">
        <v>2575.83</v>
      </c>
      <c r="J409" s="1" t="s">
        <v>17</v>
      </c>
      <c r="K409" s="1" t="s">
        <v>32</v>
      </c>
      <c r="L409">
        <v>9</v>
      </c>
      <c r="M409" t="s">
        <v>65</v>
      </c>
    </row>
    <row r="410" spans="1:13" ht="15.75" customHeight="1" x14ac:dyDescent="0.35">
      <c r="A410" s="1" t="s">
        <v>137</v>
      </c>
      <c r="B410" t="s">
        <v>1083</v>
      </c>
      <c r="C410" t="s">
        <v>1084</v>
      </c>
      <c r="D410" s="4">
        <v>44964</v>
      </c>
      <c r="E410" s="1" t="s">
        <v>16</v>
      </c>
      <c r="F410" s="1" t="s">
        <v>31</v>
      </c>
      <c r="G410" s="1" t="s">
        <v>24</v>
      </c>
      <c r="H410" s="1">
        <v>2381.12</v>
      </c>
      <c r="I410">
        <v>2575.83</v>
      </c>
      <c r="J410" s="1" t="s">
        <v>17</v>
      </c>
      <c r="K410" s="1" t="s">
        <v>1093</v>
      </c>
      <c r="L410">
        <v>9</v>
      </c>
      <c r="M410" t="s">
        <v>19</v>
      </c>
    </row>
    <row r="411" spans="1:13" ht="15.75" customHeight="1" x14ac:dyDescent="0.35">
      <c r="A411" s="1" t="s">
        <v>277</v>
      </c>
      <c r="B411" s="1" t="s">
        <v>647</v>
      </c>
      <c r="C411" s="1" t="s">
        <v>221</v>
      </c>
      <c r="D411" s="4">
        <v>45013</v>
      </c>
      <c r="E411" s="1" t="s">
        <v>92</v>
      </c>
      <c r="F411" s="1" t="s">
        <v>53</v>
      </c>
      <c r="G411" s="1" t="s">
        <v>24</v>
      </c>
      <c r="H411" s="1">
        <v>2481</v>
      </c>
      <c r="I411" s="1">
        <v>751.89</v>
      </c>
      <c r="J411" s="1" t="s">
        <v>42</v>
      </c>
      <c r="K411" s="1" t="s">
        <v>26</v>
      </c>
      <c r="L411">
        <v>9</v>
      </c>
      <c r="M411" t="s">
        <v>19</v>
      </c>
    </row>
    <row r="412" spans="1:13" ht="15.75" customHeight="1" x14ac:dyDescent="0.35">
      <c r="A412" s="1" t="s">
        <v>148</v>
      </c>
      <c r="B412" t="s">
        <v>1083</v>
      </c>
      <c r="C412" t="s">
        <v>1084</v>
      </c>
      <c r="D412" s="4">
        <v>45062</v>
      </c>
      <c r="E412" s="1" t="s">
        <v>77</v>
      </c>
      <c r="F412" s="1" t="s">
        <v>93</v>
      </c>
      <c r="G412" s="1" t="s">
        <v>41</v>
      </c>
      <c r="H412">
        <v>2481</v>
      </c>
      <c r="I412">
        <v>2575.83</v>
      </c>
      <c r="J412" s="1" t="s">
        <v>25</v>
      </c>
      <c r="K412" s="1" t="s">
        <v>26</v>
      </c>
      <c r="L412" s="1">
        <v>12</v>
      </c>
      <c r="M412" s="1" t="s">
        <v>19</v>
      </c>
    </row>
    <row r="413" spans="1:13" ht="15.75" customHeight="1" x14ac:dyDescent="0.35">
      <c r="A413" s="1" t="s">
        <v>198</v>
      </c>
      <c r="B413" s="1" t="s">
        <v>600</v>
      </c>
      <c r="C413" t="s">
        <v>1084</v>
      </c>
      <c r="D413" s="4">
        <v>45288</v>
      </c>
      <c r="E413" s="1" t="s">
        <v>16</v>
      </c>
      <c r="F413" s="1" t="s">
        <v>53</v>
      </c>
      <c r="G413" s="1" t="s">
        <v>61</v>
      </c>
      <c r="H413" s="1">
        <v>2481</v>
      </c>
      <c r="I413" s="1">
        <v>2315.91</v>
      </c>
      <c r="J413" s="1" t="s">
        <v>17</v>
      </c>
      <c r="K413" s="1" t="s">
        <v>26</v>
      </c>
      <c r="L413" s="1">
        <v>22</v>
      </c>
      <c r="M413" s="1" t="s">
        <v>65</v>
      </c>
    </row>
    <row r="414" spans="1:13" ht="15.75" customHeight="1" x14ac:dyDescent="0.35">
      <c r="A414" s="1" t="s">
        <v>261</v>
      </c>
      <c r="B414" s="1" t="s">
        <v>650</v>
      </c>
      <c r="C414" t="s">
        <v>1084</v>
      </c>
      <c r="D414" s="4">
        <v>45215</v>
      </c>
      <c r="E414" s="1" t="s">
        <v>30</v>
      </c>
      <c r="F414" s="1" t="s">
        <v>23</v>
      </c>
      <c r="G414" s="1" t="s">
        <v>54</v>
      </c>
      <c r="H414" s="1">
        <v>2481</v>
      </c>
      <c r="I414" s="1">
        <v>4606.05</v>
      </c>
      <c r="J414" s="1" t="s">
        <v>25</v>
      </c>
      <c r="K414" s="1" t="s">
        <v>26</v>
      </c>
      <c r="L414">
        <v>9</v>
      </c>
      <c r="M414" t="s">
        <v>19</v>
      </c>
    </row>
    <row r="415" spans="1:13" ht="15.75" customHeight="1" x14ac:dyDescent="0.35">
      <c r="A415" s="1" t="s">
        <v>261</v>
      </c>
      <c r="B415" t="s">
        <v>1083</v>
      </c>
      <c r="C415" t="s">
        <v>1084</v>
      </c>
      <c r="D415" s="4">
        <v>45229</v>
      </c>
      <c r="E415" s="1" t="s">
        <v>85</v>
      </c>
      <c r="F415" s="1" t="s">
        <v>23</v>
      </c>
      <c r="G415" s="1" t="s">
        <v>61</v>
      </c>
      <c r="H415" s="1">
        <v>2481</v>
      </c>
      <c r="I415">
        <v>2575.83</v>
      </c>
      <c r="J415" s="1" t="s">
        <v>17</v>
      </c>
      <c r="K415" s="1" t="s">
        <v>26</v>
      </c>
      <c r="L415" s="1">
        <v>21</v>
      </c>
      <c r="M415" s="1" t="s">
        <v>42</v>
      </c>
    </row>
    <row r="416" spans="1:13" ht="15.75" customHeight="1" x14ac:dyDescent="0.35">
      <c r="A416" s="1" t="s">
        <v>215</v>
      </c>
      <c r="B416" t="s">
        <v>1083</v>
      </c>
      <c r="C416" s="1" t="s">
        <v>183</v>
      </c>
      <c r="D416" s="4">
        <v>44951</v>
      </c>
      <c r="E416" s="1" t="s">
        <v>92</v>
      </c>
      <c r="F416" s="1" t="s">
        <v>23</v>
      </c>
      <c r="G416" t="s">
        <v>1086</v>
      </c>
      <c r="H416" s="1">
        <v>2481</v>
      </c>
      <c r="I416">
        <v>2575.83</v>
      </c>
      <c r="J416" s="1" t="s">
        <v>17</v>
      </c>
      <c r="K416" s="1" t="s">
        <v>18</v>
      </c>
      <c r="L416">
        <v>9</v>
      </c>
      <c r="M416" t="s">
        <v>19</v>
      </c>
    </row>
    <row r="417" spans="1:13" ht="15.75" customHeight="1" x14ac:dyDescent="0.35">
      <c r="A417" s="1" t="s">
        <v>105</v>
      </c>
      <c r="B417" s="1" t="s">
        <v>654</v>
      </c>
      <c r="C417" t="s">
        <v>1084</v>
      </c>
      <c r="D417" s="4">
        <v>45072</v>
      </c>
      <c r="E417" s="1" t="s">
        <v>16</v>
      </c>
      <c r="F417" s="1" t="s">
        <v>31</v>
      </c>
      <c r="G417" s="1" t="s">
        <v>48</v>
      </c>
      <c r="H417">
        <v>2481</v>
      </c>
      <c r="I417">
        <v>2575.83</v>
      </c>
      <c r="J417" s="1" t="s">
        <v>17</v>
      </c>
      <c r="K417" s="1" t="s">
        <v>32</v>
      </c>
      <c r="L417" s="1">
        <v>42</v>
      </c>
      <c r="M417" s="1" t="s">
        <v>19</v>
      </c>
    </row>
    <row r="418" spans="1:13" ht="15.75" customHeight="1" x14ac:dyDescent="0.35">
      <c r="A418" s="1" t="s">
        <v>163</v>
      </c>
      <c r="B418" t="s">
        <v>1083</v>
      </c>
      <c r="C418" t="s">
        <v>1084</v>
      </c>
      <c r="D418" s="4">
        <v>45215</v>
      </c>
      <c r="E418" s="1" t="s">
        <v>77</v>
      </c>
      <c r="F418" s="1" t="s">
        <v>23</v>
      </c>
      <c r="G418" s="1" t="s">
        <v>48</v>
      </c>
      <c r="H418">
        <v>2481</v>
      </c>
      <c r="I418">
        <v>2575.83</v>
      </c>
      <c r="J418" s="1" t="s">
        <v>25</v>
      </c>
      <c r="K418" s="1" t="s">
        <v>26</v>
      </c>
      <c r="L418">
        <v>9</v>
      </c>
      <c r="M418" t="s">
        <v>65</v>
      </c>
    </row>
    <row r="419" spans="1:13" ht="15.75" customHeight="1" x14ac:dyDescent="0.35">
      <c r="A419" s="1" t="s">
        <v>275</v>
      </c>
      <c r="B419" t="s">
        <v>1083</v>
      </c>
      <c r="C419" s="1" t="s">
        <v>135</v>
      </c>
      <c r="D419" s="4">
        <v>45249</v>
      </c>
      <c r="E419" s="1" t="s">
        <v>30</v>
      </c>
      <c r="F419" s="1" t="s">
        <v>23</v>
      </c>
      <c r="G419" s="1" t="s">
        <v>41</v>
      </c>
      <c r="H419" s="1">
        <v>2481</v>
      </c>
      <c r="I419" s="1">
        <v>1536.95</v>
      </c>
      <c r="J419" s="1" t="s">
        <v>42</v>
      </c>
      <c r="K419" s="1" t="s">
        <v>18</v>
      </c>
      <c r="L419">
        <v>9</v>
      </c>
      <c r="M419" t="s">
        <v>19</v>
      </c>
    </row>
    <row r="420" spans="1:13" ht="15.75" customHeight="1" x14ac:dyDescent="0.35">
      <c r="A420" s="1" t="s">
        <v>209</v>
      </c>
      <c r="B420" t="s">
        <v>1083</v>
      </c>
      <c r="C420" s="1" t="s">
        <v>68</v>
      </c>
      <c r="D420" s="4">
        <v>44982</v>
      </c>
      <c r="E420" s="1" t="s">
        <v>77</v>
      </c>
      <c r="F420" s="1" t="s">
        <v>23</v>
      </c>
      <c r="G420" s="1" t="s">
        <v>48</v>
      </c>
      <c r="H420">
        <v>2481</v>
      </c>
      <c r="I420">
        <v>2575.83</v>
      </c>
      <c r="J420" s="1" t="s">
        <v>25</v>
      </c>
      <c r="K420" s="1" t="s">
        <v>57</v>
      </c>
      <c r="L420" s="1">
        <v>1</v>
      </c>
      <c r="M420" s="1" t="s">
        <v>65</v>
      </c>
    </row>
    <row r="421" spans="1:13" ht="15.75" customHeight="1" x14ac:dyDescent="0.35">
      <c r="A421" s="1" t="s">
        <v>102</v>
      </c>
      <c r="B421" t="s">
        <v>1083</v>
      </c>
      <c r="C421" s="1" t="s">
        <v>238</v>
      </c>
      <c r="D421" s="4">
        <v>45287</v>
      </c>
      <c r="E421" s="1" t="s">
        <v>30</v>
      </c>
      <c r="F421" t="s">
        <v>1085</v>
      </c>
      <c r="G421" s="1" t="s">
        <v>48</v>
      </c>
      <c r="H421">
        <v>2481</v>
      </c>
      <c r="I421" s="1">
        <v>1739.61</v>
      </c>
      <c r="J421" s="1" t="s">
        <v>17</v>
      </c>
      <c r="K421" s="1" t="s">
        <v>18</v>
      </c>
      <c r="L421">
        <v>9</v>
      </c>
      <c r="M421" t="s">
        <v>42</v>
      </c>
    </row>
    <row r="422" spans="1:13" ht="15.75" customHeight="1" x14ac:dyDescent="0.35">
      <c r="A422" s="1" t="s">
        <v>247</v>
      </c>
      <c r="B422" s="1" t="s">
        <v>658</v>
      </c>
      <c r="C422" s="1" t="s">
        <v>100</v>
      </c>
      <c r="D422" s="4">
        <v>44929</v>
      </c>
      <c r="E422" s="1" t="s">
        <v>85</v>
      </c>
      <c r="F422" t="s">
        <v>1085</v>
      </c>
      <c r="G422" s="1" t="s">
        <v>48</v>
      </c>
      <c r="H422" s="1">
        <v>2481</v>
      </c>
      <c r="I422">
        <v>2575.83</v>
      </c>
      <c r="J422" s="1" t="s">
        <v>42</v>
      </c>
      <c r="K422" s="1" t="s">
        <v>1093</v>
      </c>
      <c r="L422">
        <v>9</v>
      </c>
      <c r="M422" t="s">
        <v>19</v>
      </c>
    </row>
    <row r="423" spans="1:13" ht="15.75" customHeight="1" x14ac:dyDescent="0.35">
      <c r="A423" s="1" t="s">
        <v>277</v>
      </c>
      <c r="B423" s="1" t="s">
        <v>382</v>
      </c>
      <c r="C423" s="1" t="s">
        <v>395</v>
      </c>
      <c r="D423" s="4">
        <v>44935</v>
      </c>
      <c r="E423" s="1" t="s">
        <v>85</v>
      </c>
      <c r="F423" s="1" t="s">
        <v>53</v>
      </c>
      <c r="G423" t="s">
        <v>1086</v>
      </c>
      <c r="H423" s="1">
        <v>2481</v>
      </c>
      <c r="I423">
        <v>2575.83</v>
      </c>
      <c r="J423" s="1" t="s">
        <v>17</v>
      </c>
      <c r="K423" s="1" t="s">
        <v>26</v>
      </c>
      <c r="L423">
        <v>9</v>
      </c>
      <c r="M423" t="s">
        <v>65</v>
      </c>
    </row>
    <row r="424" spans="1:13" ht="15.75" customHeight="1" x14ac:dyDescent="0.35">
      <c r="A424" s="1" t="s">
        <v>285</v>
      </c>
      <c r="B424" s="1" t="s">
        <v>661</v>
      </c>
      <c r="C424" s="1" t="s">
        <v>425</v>
      </c>
      <c r="D424" s="4">
        <v>45286</v>
      </c>
      <c r="E424" s="1" t="s">
        <v>77</v>
      </c>
      <c r="F424" s="1" t="s">
        <v>23</v>
      </c>
      <c r="G424" s="1" t="s">
        <v>48</v>
      </c>
      <c r="H424">
        <v>2481</v>
      </c>
      <c r="I424">
        <v>2575.83</v>
      </c>
      <c r="J424" s="1" t="s">
        <v>25</v>
      </c>
      <c r="K424" s="1" t="s">
        <v>32</v>
      </c>
      <c r="L424" s="1">
        <v>9</v>
      </c>
      <c r="M424" s="1" t="s">
        <v>65</v>
      </c>
    </row>
    <row r="425" spans="1:13" ht="15.75" customHeight="1" x14ac:dyDescent="0.35">
      <c r="A425" s="1" t="s">
        <v>70</v>
      </c>
      <c r="B425" t="s">
        <v>1083</v>
      </c>
      <c r="C425" t="s">
        <v>1084</v>
      </c>
      <c r="D425" s="4">
        <v>45176</v>
      </c>
      <c r="E425" s="1" t="s">
        <v>30</v>
      </c>
      <c r="F425" s="1" t="s">
        <v>47</v>
      </c>
      <c r="G425" t="s">
        <v>1086</v>
      </c>
      <c r="H425" s="1">
        <v>2481</v>
      </c>
      <c r="I425" s="1">
        <v>1197.93</v>
      </c>
      <c r="J425" s="1" t="s">
        <v>17</v>
      </c>
      <c r="K425" s="1" t="s">
        <v>26</v>
      </c>
      <c r="L425">
        <v>9</v>
      </c>
      <c r="M425" t="s">
        <v>19</v>
      </c>
    </row>
    <row r="426" spans="1:13" ht="15.75" customHeight="1" x14ac:dyDescent="0.35">
      <c r="A426" s="1" t="s">
        <v>20</v>
      </c>
      <c r="B426" t="s">
        <v>1083</v>
      </c>
      <c r="C426" t="s">
        <v>1084</v>
      </c>
      <c r="D426" s="4">
        <v>45180</v>
      </c>
      <c r="E426" s="1" t="s">
        <v>16</v>
      </c>
      <c r="F426" s="1" t="s">
        <v>31</v>
      </c>
      <c r="G426" s="1" t="s">
        <v>48</v>
      </c>
      <c r="H426">
        <v>2481</v>
      </c>
      <c r="I426" s="1">
        <v>1475.65</v>
      </c>
      <c r="J426" s="1" t="s">
        <v>25</v>
      </c>
      <c r="K426" s="1" t="s">
        <v>32</v>
      </c>
      <c r="L426" s="1">
        <v>28</v>
      </c>
      <c r="M426" s="1" t="s">
        <v>42</v>
      </c>
    </row>
    <row r="427" spans="1:13" ht="15.75" customHeight="1" x14ac:dyDescent="0.35">
      <c r="A427" s="1" t="s">
        <v>198</v>
      </c>
      <c r="B427" t="s">
        <v>1083</v>
      </c>
      <c r="C427" t="s">
        <v>1084</v>
      </c>
      <c r="D427" s="4">
        <v>45077</v>
      </c>
      <c r="E427" s="1" t="s">
        <v>77</v>
      </c>
      <c r="F427" t="s">
        <v>1085</v>
      </c>
      <c r="G427" t="s">
        <v>1086</v>
      </c>
      <c r="H427">
        <v>2481</v>
      </c>
      <c r="I427">
        <v>2575.83</v>
      </c>
      <c r="J427" s="1" t="s">
        <v>25</v>
      </c>
      <c r="K427" s="1" t="s">
        <v>1093</v>
      </c>
      <c r="L427" s="1">
        <v>8</v>
      </c>
      <c r="M427" s="1" t="s">
        <v>65</v>
      </c>
    </row>
    <row r="428" spans="1:13" ht="15.75" customHeight="1" x14ac:dyDescent="0.35">
      <c r="A428" s="1" t="s">
        <v>132</v>
      </c>
      <c r="B428" t="s">
        <v>1083</v>
      </c>
      <c r="C428" t="s">
        <v>1084</v>
      </c>
      <c r="D428" s="4">
        <v>45179</v>
      </c>
      <c r="E428" s="1" t="s">
        <v>30</v>
      </c>
      <c r="F428" s="1" t="s">
        <v>23</v>
      </c>
      <c r="G428" s="1" t="s">
        <v>61</v>
      </c>
      <c r="H428">
        <v>2481</v>
      </c>
      <c r="I428" s="1">
        <v>3400.79</v>
      </c>
      <c r="J428" s="1" t="s">
        <v>17</v>
      </c>
      <c r="K428" s="1" t="s">
        <v>26</v>
      </c>
      <c r="L428" s="1">
        <v>51</v>
      </c>
      <c r="M428" s="1" t="s">
        <v>19</v>
      </c>
    </row>
    <row r="429" spans="1:13" ht="15.75" customHeight="1" x14ac:dyDescent="0.35">
      <c r="A429" s="1" t="s">
        <v>62</v>
      </c>
      <c r="B429" t="s">
        <v>1083</v>
      </c>
      <c r="C429" s="1" t="s">
        <v>644</v>
      </c>
      <c r="D429" s="4">
        <v>45041</v>
      </c>
      <c r="E429" s="1" t="s">
        <v>92</v>
      </c>
      <c r="F429" s="1" t="s">
        <v>31</v>
      </c>
      <c r="G429" s="1" t="s">
        <v>61</v>
      </c>
      <c r="H429">
        <v>2481</v>
      </c>
      <c r="I429">
        <v>2575.83</v>
      </c>
      <c r="J429" s="1" t="s">
        <v>17</v>
      </c>
      <c r="K429" s="1" t="s">
        <v>57</v>
      </c>
      <c r="L429" s="1">
        <v>42</v>
      </c>
      <c r="M429" s="1" t="s">
        <v>19</v>
      </c>
    </row>
    <row r="430" spans="1:13" ht="15.75" customHeight="1" x14ac:dyDescent="0.35">
      <c r="A430" s="1" t="s">
        <v>215</v>
      </c>
      <c r="B430" s="1" t="s">
        <v>44</v>
      </c>
      <c r="C430" s="1" t="s">
        <v>479</v>
      </c>
      <c r="D430" s="4">
        <v>45214</v>
      </c>
      <c r="E430" s="1" t="s">
        <v>85</v>
      </c>
      <c r="F430" t="s">
        <v>1085</v>
      </c>
      <c r="G430" s="1" t="s">
        <v>61</v>
      </c>
      <c r="H430">
        <v>2481</v>
      </c>
      <c r="I430">
        <v>2575.83</v>
      </c>
      <c r="J430" s="1" t="s">
        <v>25</v>
      </c>
      <c r="K430" s="1" t="s">
        <v>57</v>
      </c>
      <c r="L430">
        <v>9</v>
      </c>
      <c r="M430" t="s">
        <v>19</v>
      </c>
    </row>
    <row r="431" spans="1:13" ht="15.75" customHeight="1" x14ac:dyDescent="0.35">
      <c r="A431" s="1" t="s">
        <v>50</v>
      </c>
      <c r="B431" t="s">
        <v>1083</v>
      </c>
      <c r="C431" s="1" t="s">
        <v>666</v>
      </c>
      <c r="D431" s="4">
        <v>45030</v>
      </c>
      <c r="E431" s="1" t="s">
        <v>85</v>
      </c>
      <c r="F431" s="1" t="s">
        <v>23</v>
      </c>
      <c r="G431" s="1" t="s">
        <v>24</v>
      </c>
      <c r="H431">
        <v>2481</v>
      </c>
      <c r="I431" s="1">
        <v>1469.45</v>
      </c>
      <c r="J431" s="1" t="s">
        <v>25</v>
      </c>
      <c r="K431" s="1" t="s">
        <v>32</v>
      </c>
      <c r="L431">
        <v>9</v>
      </c>
      <c r="M431" t="s">
        <v>65</v>
      </c>
    </row>
    <row r="432" spans="1:13" ht="15.75" customHeight="1" x14ac:dyDescent="0.35">
      <c r="A432" s="1" t="s">
        <v>242</v>
      </c>
      <c r="B432" t="s">
        <v>1083</v>
      </c>
      <c r="C432" s="1" t="s">
        <v>455</v>
      </c>
      <c r="D432" s="4">
        <v>45198</v>
      </c>
      <c r="E432" s="1" t="s">
        <v>85</v>
      </c>
      <c r="F432" s="1" t="s">
        <v>53</v>
      </c>
      <c r="G432" s="1" t="s">
        <v>48</v>
      </c>
      <c r="H432">
        <v>2481</v>
      </c>
      <c r="I432">
        <v>2575.83</v>
      </c>
      <c r="J432" s="1" t="s">
        <v>17</v>
      </c>
      <c r="K432" s="1" t="s">
        <v>26</v>
      </c>
      <c r="L432">
        <v>9</v>
      </c>
      <c r="M432" t="s">
        <v>19</v>
      </c>
    </row>
    <row r="433" spans="1:13" ht="15.75" customHeight="1" x14ac:dyDescent="0.35">
      <c r="A433" s="1" t="s">
        <v>96</v>
      </c>
      <c r="B433" t="s">
        <v>1083</v>
      </c>
      <c r="C433" s="1" t="s">
        <v>442</v>
      </c>
      <c r="D433" s="4">
        <v>45149</v>
      </c>
      <c r="E433" s="1" t="s">
        <v>16</v>
      </c>
      <c r="F433" t="s">
        <v>1085</v>
      </c>
      <c r="G433" s="1" t="s">
        <v>24</v>
      </c>
      <c r="H433">
        <v>2481</v>
      </c>
      <c r="I433">
        <v>2575.83</v>
      </c>
      <c r="J433" s="1" t="s">
        <v>17</v>
      </c>
      <c r="K433" s="1" t="s">
        <v>32</v>
      </c>
      <c r="L433">
        <v>9</v>
      </c>
      <c r="M433" t="s">
        <v>19</v>
      </c>
    </row>
    <row r="434" spans="1:13" ht="15.75" customHeight="1" x14ac:dyDescent="0.35">
      <c r="A434" s="1" t="s">
        <v>28</v>
      </c>
      <c r="B434" t="s">
        <v>1083</v>
      </c>
      <c r="C434" s="1" t="s">
        <v>530</v>
      </c>
      <c r="D434" s="4">
        <v>45155</v>
      </c>
      <c r="E434" s="1" t="s">
        <v>85</v>
      </c>
      <c r="F434" s="1" t="s">
        <v>47</v>
      </c>
      <c r="G434" s="1" t="s">
        <v>54</v>
      </c>
      <c r="H434" s="1">
        <v>2481</v>
      </c>
      <c r="I434">
        <v>2575.83</v>
      </c>
      <c r="J434" s="1" t="s">
        <v>25</v>
      </c>
      <c r="K434" s="1" t="s">
        <v>18</v>
      </c>
      <c r="L434">
        <v>9</v>
      </c>
      <c r="M434" t="s">
        <v>19</v>
      </c>
    </row>
    <row r="435" spans="1:13" ht="15.75" customHeight="1" x14ac:dyDescent="0.35">
      <c r="A435" s="1" t="s">
        <v>166</v>
      </c>
      <c r="B435" t="s">
        <v>1083</v>
      </c>
      <c r="C435" s="1" t="s">
        <v>447</v>
      </c>
      <c r="D435" s="4">
        <v>45193</v>
      </c>
      <c r="E435" s="1" t="s">
        <v>16</v>
      </c>
      <c r="F435" s="1" t="s">
        <v>47</v>
      </c>
      <c r="G435" s="1" t="s">
        <v>54</v>
      </c>
      <c r="H435">
        <v>2481</v>
      </c>
      <c r="I435">
        <v>2575.83</v>
      </c>
      <c r="J435" s="1" t="s">
        <v>17</v>
      </c>
      <c r="K435" s="1" t="s">
        <v>32</v>
      </c>
      <c r="L435">
        <v>9</v>
      </c>
      <c r="M435" t="s">
        <v>65</v>
      </c>
    </row>
    <row r="436" spans="1:13" ht="15.75" customHeight="1" x14ac:dyDescent="0.35">
      <c r="A436" s="1" t="s">
        <v>163</v>
      </c>
      <c r="B436" t="s">
        <v>1083</v>
      </c>
      <c r="C436" t="s">
        <v>1084</v>
      </c>
      <c r="D436" s="4">
        <v>45248</v>
      </c>
      <c r="E436" s="1" t="s">
        <v>16</v>
      </c>
      <c r="F436" s="1" t="s">
        <v>23</v>
      </c>
      <c r="G436" t="s">
        <v>1086</v>
      </c>
      <c r="H436">
        <v>2481</v>
      </c>
      <c r="I436" s="1">
        <v>2883.55</v>
      </c>
      <c r="J436" s="1" t="s">
        <v>25</v>
      </c>
      <c r="K436" s="1" t="s">
        <v>32</v>
      </c>
      <c r="L436">
        <v>9</v>
      </c>
      <c r="M436" t="s">
        <v>42</v>
      </c>
    </row>
    <row r="437" spans="1:13" ht="15.75" customHeight="1" x14ac:dyDescent="0.35">
      <c r="A437" s="1" t="s">
        <v>209</v>
      </c>
      <c r="B437" t="s">
        <v>1083</v>
      </c>
      <c r="C437" s="1" t="s">
        <v>158</v>
      </c>
      <c r="D437" s="4">
        <v>45072</v>
      </c>
      <c r="E437" s="1" t="s">
        <v>85</v>
      </c>
      <c r="F437" t="s">
        <v>1085</v>
      </c>
      <c r="G437" s="1" t="s">
        <v>54</v>
      </c>
      <c r="H437" s="1">
        <v>2481</v>
      </c>
      <c r="I437" s="1">
        <v>2622.35</v>
      </c>
      <c r="J437" s="1" t="s">
        <v>25</v>
      </c>
      <c r="K437" s="1" t="s">
        <v>32</v>
      </c>
      <c r="L437">
        <v>9</v>
      </c>
      <c r="M437" t="s">
        <v>65</v>
      </c>
    </row>
    <row r="438" spans="1:13" ht="15.75" customHeight="1" x14ac:dyDescent="0.35">
      <c r="A438" s="1" t="s">
        <v>202</v>
      </c>
      <c r="B438" t="s">
        <v>1083</v>
      </c>
      <c r="C438" s="1" t="s">
        <v>574</v>
      </c>
      <c r="D438" s="4">
        <v>45291</v>
      </c>
      <c r="E438" s="1" t="s">
        <v>16</v>
      </c>
      <c r="F438" s="1" t="s">
        <v>23</v>
      </c>
      <c r="G438" s="1" t="s">
        <v>48</v>
      </c>
      <c r="H438">
        <v>2481</v>
      </c>
      <c r="I438">
        <v>2575.83</v>
      </c>
      <c r="J438" s="1" t="s">
        <v>17</v>
      </c>
      <c r="K438" s="1" t="s">
        <v>1093</v>
      </c>
      <c r="L438">
        <v>9</v>
      </c>
      <c r="M438" t="s">
        <v>42</v>
      </c>
    </row>
    <row r="439" spans="1:13" ht="15.75" customHeight="1" x14ac:dyDescent="0.35">
      <c r="A439" s="1" t="s">
        <v>202</v>
      </c>
      <c r="B439" t="s">
        <v>1083</v>
      </c>
      <c r="C439" t="s">
        <v>1084</v>
      </c>
      <c r="D439" s="4">
        <v>45152</v>
      </c>
      <c r="E439" s="1" t="s">
        <v>77</v>
      </c>
      <c r="F439" t="s">
        <v>1085</v>
      </c>
      <c r="G439" s="1" t="s">
        <v>48</v>
      </c>
      <c r="H439">
        <v>2481</v>
      </c>
      <c r="I439">
        <v>2575.83</v>
      </c>
      <c r="J439" s="1" t="s">
        <v>17</v>
      </c>
      <c r="K439" s="1" t="s">
        <v>57</v>
      </c>
      <c r="L439">
        <v>9</v>
      </c>
      <c r="M439" t="s">
        <v>19</v>
      </c>
    </row>
    <row r="440" spans="1:13" ht="15.75" customHeight="1" x14ac:dyDescent="0.35">
      <c r="A440" s="1" t="s">
        <v>321</v>
      </c>
      <c r="B440" t="s">
        <v>1083</v>
      </c>
      <c r="C440" s="1" t="s">
        <v>458</v>
      </c>
      <c r="D440" s="4">
        <v>45007</v>
      </c>
      <c r="E440" s="1" t="s">
        <v>30</v>
      </c>
      <c r="F440" s="1" t="s">
        <v>53</v>
      </c>
      <c r="G440" s="1" t="s">
        <v>61</v>
      </c>
      <c r="H440">
        <v>2481</v>
      </c>
      <c r="I440" s="1">
        <v>249.4</v>
      </c>
      <c r="J440" s="1" t="s">
        <v>25</v>
      </c>
      <c r="K440" s="1" t="s">
        <v>32</v>
      </c>
      <c r="L440">
        <v>9</v>
      </c>
      <c r="M440" t="s">
        <v>19</v>
      </c>
    </row>
    <row r="441" spans="1:13" ht="15.75" customHeight="1" x14ac:dyDescent="0.35">
      <c r="A441" s="1" t="s">
        <v>261</v>
      </c>
      <c r="B441" s="1" t="s">
        <v>674</v>
      </c>
      <c r="C441" s="1" t="s">
        <v>119</v>
      </c>
      <c r="D441" s="4">
        <v>45142</v>
      </c>
      <c r="E441" s="1" t="s">
        <v>92</v>
      </c>
      <c r="F441" s="1" t="s">
        <v>93</v>
      </c>
      <c r="G441" s="1" t="s">
        <v>24</v>
      </c>
      <c r="H441" s="1">
        <v>4104.67</v>
      </c>
      <c r="I441">
        <v>2575.83</v>
      </c>
      <c r="J441" s="1" t="s">
        <v>25</v>
      </c>
      <c r="K441" s="1" t="s">
        <v>26</v>
      </c>
      <c r="L441">
        <v>9</v>
      </c>
      <c r="M441" t="s">
        <v>42</v>
      </c>
    </row>
    <row r="442" spans="1:13" ht="15.75" customHeight="1" x14ac:dyDescent="0.35">
      <c r="A442" s="1" t="s">
        <v>192</v>
      </c>
      <c r="B442" t="s">
        <v>1083</v>
      </c>
      <c r="C442" t="s">
        <v>1084</v>
      </c>
      <c r="D442" s="4">
        <v>45170</v>
      </c>
      <c r="E442" s="1" t="s">
        <v>30</v>
      </c>
      <c r="F442" t="s">
        <v>1085</v>
      </c>
      <c r="G442" s="1" t="s">
        <v>48</v>
      </c>
      <c r="H442" s="1">
        <v>2481</v>
      </c>
      <c r="I442">
        <v>2575.83</v>
      </c>
      <c r="J442" s="1" t="s">
        <v>42</v>
      </c>
      <c r="K442" s="1" t="s">
        <v>26</v>
      </c>
      <c r="L442">
        <v>9</v>
      </c>
      <c r="M442" t="s">
        <v>42</v>
      </c>
    </row>
    <row r="443" spans="1:13" ht="15.75" customHeight="1" x14ac:dyDescent="0.35">
      <c r="A443" s="1" t="s">
        <v>70</v>
      </c>
      <c r="B443" s="1" t="s">
        <v>677</v>
      </c>
      <c r="C443" t="s">
        <v>1084</v>
      </c>
      <c r="D443" s="4">
        <v>44950</v>
      </c>
      <c r="E443" s="1" t="s">
        <v>16</v>
      </c>
      <c r="F443" s="1" t="s">
        <v>31</v>
      </c>
      <c r="G443" t="s">
        <v>1086</v>
      </c>
      <c r="H443" s="1">
        <v>488.22</v>
      </c>
      <c r="I443">
        <v>2575.83</v>
      </c>
      <c r="J443" s="1" t="s">
        <v>42</v>
      </c>
      <c r="K443" s="1" t="s">
        <v>57</v>
      </c>
      <c r="L443" s="1">
        <v>41</v>
      </c>
      <c r="M443" s="1" t="s">
        <v>42</v>
      </c>
    </row>
    <row r="444" spans="1:13" ht="15.75" customHeight="1" x14ac:dyDescent="0.35">
      <c r="A444" s="1" t="s">
        <v>96</v>
      </c>
      <c r="B444" t="s">
        <v>1083</v>
      </c>
      <c r="C444" s="1" t="s">
        <v>174</v>
      </c>
      <c r="D444" s="4">
        <v>45194</v>
      </c>
      <c r="E444" s="1" t="s">
        <v>30</v>
      </c>
      <c r="F444" s="1" t="s">
        <v>23</v>
      </c>
      <c r="G444" s="1" t="s">
        <v>61</v>
      </c>
      <c r="H444">
        <v>2481</v>
      </c>
      <c r="I444">
        <v>2575.83</v>
      </c>
      <c r="J444" s="1" t="s">
        <v>17</v>
      </c>
      <c r="K444" s="1" t="s">
        <v>18</v>
      </c>
      <c r="L444">
        <v>9</v>
      </c>
      <c r="M444" t="s">
        <v>42</v>
      </c>
    </row>
    <row r="445" spans="1:13" ht="15.75" customHeight="1" x14ac:dyDescent="0.35">
      <c r="A445" s="1" t="s">
        <v>215</v>
      </c>
      <c r="B445" t="s">
        <v>1083</v>
      </c>
      <c r="C445" t="s">
        <v>1084</v>
      </c>
      <c r="D445" s="4">
        <v>45228</v>
      </c>
      <c r="E445" s="1" t="s">
        <v>85</v>
      </c>
      <c r="F445" s="1" t="s">
        <v>23</v>
      </c>
      <c r="G445" s="1" t="s">
        <v>41</v>
      </c>
      <c r="H445" s="1">
        <v>2213.2399999999998</v>
      </c>
      <c r="I445">
        <v>2575.83</v>
      </c>
      <c r="J445" s="1" t="s">
        <v>25</v>
      </c>
      <c r="K445" s="1" t="s">
        <v>32</v>
      </c>
      <c r="L445" s="1">
        <v>5</v>
      </c>
      <c r="M445" s="1" t="s">
        <v>19</v>
      </c>
    </row>
    <row r="446" spans="1:13" ht="15.75" customHeight="1" x14ac:dyDescent="0.35">
      <c r="A446" s="1" t="s">
        <v>73</v>
      </c>
      <c r="B446" t="s">
        <v>1083</v>
      </c>
      <c r="C446" s="1" t="s">
        <v>119</v>
      </c>
      <c r="D446" s="4">
        <v>44972</v>
      </c>
      <c r="E446" s="1" t="s">
        <v>77</v>
      </c>
      <c r="F446" t="s">
        <v>1085</v>
      </c>
      <c r="G446" s="1" t="s">
        <v>24</v>
      </c>
      <c r="H446">
        <v>2481</v>
      </c>
      <c r="I446" s="1">
        <v>184.5</v>
      </c>
      <c r="J446" s="1" t="s">
        <v>42</v>
      </c>
      <c r="K446" s="1" t="s">
        <v>1093</v>
      </c>
      <c r="L446">
        <v>9</v>
      </c>
      <c r="M446" t="s">
        <v>65</v>
      </c>
    </row>
    <row r="447" spans="1:13" ht="15.75" customHeight="1" x14ac:dyDescent="0.35">
      <c r="A447" s="1" t="s">
        <v>70</v>
      </c>
      <c r="B447" t="s">
        <v>1083</v>
      </c>
      <c r="C447" s="1" t="s">
        <v>80</v>
      </c>
      <c r="D447" s="4">
        <v>45049</v>
      </c>
      <c r="E447" s="1" t="s">
        <v>30</v>
      </c>
      <c r="F447" s="1" t="s">
        <v>93</v>
      </c>
      <c r="G447" s="1" t="s">
        <v>48</v>
      </c>
      <c r="H447" s="1">
        <v>2481</v>
      </c>
      <c r="I447">
        <v>2575.83</v>
      </c>
      <c r="J447" s="1" t="s">
        <v>25</v>
      </c>
      <c r="K447" s="1" t="s">
        <v>32</v>
      </c>
      <c r="L447">
        <v>9</v>
      </c>
      <c r="M447" t="s">
        <v>65</v>
      </c>
    </row>
    <row r="448" spans="1:13" ht="15.75" customHeight="1" x14ac:dyDescent="0.35">
      <c r="A448" s="1" t="s">
        <v>430</v>
      </c>
      <c r="B448" s="1" t="s">
        <v>273</v>
      </c>
      <c r="C448" s="1" t="s">
        <v>305</v>
      </c>
      <c r="D448" s="4">
        <v>45210</v>
      </c>
      <c r="E448" s="1" t="s">
        <v>16</v>
      </c>
      <c r="F448" s="1" t="s">
        <v>23</v>
      </c>
      <c r="G448" s="1" t="s">
        <v>24</v>
      </c>
      <c r="H448">
        <v>2481</v>
      </c>
      <c r="I448">
        <v>2575.83</v>
      </c>
      <c r="J448" s="1" t="s">
        <v>25</v>
      </c>
      <c r="K448" s="1" t="s">
        <v>26</v>
      </c>
      <c r="L448">
        <v>9</v>
      </c>
      <c r="M448" t="s">
        <v>42</v>
      </c>
    </row>
    <row r="449" spans="1:13" ht="15.75" customHeight="1" x14ac:dyDescent="0.35">
      <c r="A449" s="1" t="s">
        <v>187</v>
      </c>
      <c r="B449" t="s">
        <v>1083</v>
      </c>
      <c r="C449" s="1" t="s">
        <v>174</v>
      </c>
      <c r="D449" s="4">
        <v>45143</v>
      </c>
      <c r="E449" s="1" t="s">
        <v>77</v>
      </c>
      <c r="F449" s="1" t="s">
        <v>23</v>
      </c>
      <c r="G449" s="1" t="s">
        <v>61</v>
      </c>
      <c r="H449">
        <v>2481</v>
      </c>
      <c r="I449" s="1">
        <v>3282.64</v>
      </c>
      <c r="J449" s="1" t="s">
        <v>25</v>
      </c>
      <c r="K449" s="1" t="s">
        <v>26</v>
      </c>
      <c r="L449">
        <v>9</v>
      </c>
      <c r="M449" t="s">
        <v>19</v>
      </c>
    </row>
    <row r="450" spans="1:13" ht="15.75" customHeight="1" x14ac:dyDescent="0.35">
      <c r="A450" s="1" t="s">
        <v>154</v>
      </c>
      <c r="B450" t="s">
        <v>1083</v>
      </c>
      <c r="C450" t="s">
        <v>1084</v>
      </c>
      <c r="D450" s="4">
        <v>45226</v>
      </c>
      <c r="E450" s="1" t="s">
        <v>92</v>
      </c>
      <c r="F450" s="1" t="s">
        <v>23</v>
      </c>
      <c r="G450" s="1" t="s">
        <v>24</v>
      </c>
      <c r="H450" s="1">
        <v>3708.96</v>
      </c>
      <c r="I450">
        <v>2575.83</v>
      </c>
      <c r="J450" s="1" t="s">
        <v>25</v>
      </c>
      <c r="K450" s="1" t="s">
        <v>18</v>
      </c>
      <c r="L450">
        <v>9</v>
      </c>
      <c r="M450" t="s">
        <v>19</v>
      </c>
    </row>
    <row r="451" spans="1:13" ht="15.75" customHeight="1" x14ac:dyDescent="0.35">
      <c r="A451" s="1" t="s">
        <v>62</v>
      </c>
      <c r="B451" t="s">
        <v>1083</v>
      </c>
      <c r="C451" t="s">
        <v>1084</v>
      </c>
      <c r="D451" s="4">
        <v>45102</v>
      </c>
      <c r="E451" s="1" t="s">
        <v>85</v>
      </c>
      <c r="F451" t="s">
        <v>1085</v>
      </c>
      <c r="G451" s="1" t="s">
        <v>48</v>
      </c>
      <c r="H451">
        <v>2481</v>
      </c>
      <c r="I451">
        <v>2575.83</v>
      </c>
      <c r="J451" s="1" t="s">
        <v>17</v>
      </c>
      <c r="K451" s="1" t="s">
        <v>32</v>
      </c>
      <c r="L451">
        <v>9</v>
      </c>
      <c r="M451" t="s">
        <v>65</v>
      </c>
    </row>
    <row r="452" spans="1:13" ht="15.75" customHeight="1" x14ac:dyDescent="0.35">
      <c r="A452" s="1" t="s">
        <v>43</v>
      </c>
      <c r="B452" t="s">
        <v>1083</v>
      </c>
      <c r="C452" s="1" t="s">
        <v>458</v>
      </c>
      <c r="D452" s="4">
        <v>45271</v>
      </c>
      <c r="E452" s="1" t="s">
        <v>30</v>
      </c>
      <c r="F452" t="s">
        <v>1085</v>
      </c>
      <c r="G452" t="s">
        <v>1086</v>
      </c>
      <c r="H452" s="1">
        <v>2470.4299999999998</v>
      </c>
      <c r="I452">
        <v>2575.83</v>
      </c>
      <c r="J452" s="1" t="s">
        <v>25</v>
      </c>
      <c r="K452" s="1" t="s">
        <v>57</v>
      </c>
      <c r="L452">
        <v>9</v>
      </c>
      <c r="M452" t="s">
        <v>65</v>
      </c>
    </row>
    <row r="453" spans="1:13" ht="15.75" customHeight="1" x14ac:dyDescent="0.35">
      <c r="A453" s="1" t="s">
        <v>275</v>
      </c>
      <c r="B453" t="s">
        <v>1083</v>
      </c>
      <c r="C453" t="s">
        <v>1084</v>
      </c>
      <c r="D453" s="4">
        <v>45125</v>
      </c>
      <c r="E453" s="1" t="s">
        <v>16</v>
      </c>
      <c r="F453" s="1" t="s">
        <v>53</v>
      </c>
      <c r="G453" s="1" t="s">
        <v>41</v>
      </c>
      <c r="H453" s="1">
        <v>4684.43</v>
      </c>
      <c r="I453" s="1">
        <v>1146.53</v>
      </c>
      <c r="J453" s="1" t="s">
        <v>42</v>
      </c>
      <c r="K453" s="1" t="s">
        <v>32</v>
      </c>
      <c r="L453" s="1">
        <v>12</v>
      </c>
      <c r="M453" s="1" t="s">
        <v>42</v>
      </c>
    </row>
    <row r="454" spans="1:13" ht="15.75" customHeight="1" x14ac:dyDescent="0.35">
      <c r="A454" s="1" t="s">
        <v>13</v>
      </c>
      <c r="B454" t="s">
        <v>1083</v>
      </c>
      <c r="C454" s="1" t="s">
        <v>581</v>
      </c>
      <c r="D454" s="4">
        <v>45112</v>
      </c>
      <c r="E454" s="1" t="s">
        <v>77</v>
      </c>
      <c r="F454" t="s">
        <v>1085</v>
      </c>
      <c r="G454" t="s">
        <v>1086</v>
      </c>
      <c r="H454">
        <v>2481</v>
      </c>
      <c r="I454">
        <v>2575.83</v>
      </c>
      <c r="J454" s="1" t="s">
        <v>25</v>
      </c>
      <c r="K454" s="1" t="s">
        <v>26</v>
      </c>
      <c r="L454">
        <v>9</v>
      </c>
      <c r="M454" t="s">
        <v>42</v>
      </c>
    </row>
    <row r="455" spans="1:13" ht="15.75" customHeight="1" x14ac:dyDescent="0.35">
      <c r="A455" s="1" t="s">
        <v>163</v>
      </c>
      <c r="B455" s="1" t="s">
        <v>688</v>
      </c>
      <c r="C455" s="1" t="s">
        <v>228</v>
      </c>
      <c r="D455" s="4">
        <v>45271</v>
      </c>
      <c r="E455" s="1" t="s">
        <v>30</v>
      </c>
      <c r="F455" s="1" t="s">
        <v>47</v>
      </c>
      <c r="G455" s="1" t="s">
        <v>24</v>
      </c>
      <c r="H455" s="1">
        <v>373.54</v>
      </c>
      <c r="I455">
        <v>2575.83</v>
      </c>
      <c r="J455" s="1" t="s">
        <v>17</v>
      </c>
      <c r="K455" s="1" t="s">
        <v>57</v>
      </c>
      <c r="L455">
        <v>9</v>
      </c>
      <c r="M455" t="s">
        <v>65</v>
      </c>
    </row>
    <row r="456" spans="1:13" ht="15.75" customHeight="1" x14ac:dyDescent="0.35">
      <c r="A456" s="1" t="s">
        <v>275</v>
      </c>
      <c r="B456" t="s">
        <v>1083</v>
      </c>
      <c r="C456" t="s">
        <v>1084</v>
      </c>
      <c r="D456" s="4">
        <v>45275</v>
      </c>
      <c r="E456" s="1" t="s">
        <v>77</v>
      </c>
      <c r="F456" t="s">
        <v>1085</v>
      </c>
      <c r="G456" t="s">
        <v>1086</v>
      </c>
      <c r="H456">
        <v>2481</v>
      </c>
      <c r="I456">
        <v>2575.83</v>
      </c>
      <c r="J456" s="1" t="s">
        <v>42</v>
      </c>
      <c r="K456" s="1" t="s">
        <v>26</v>
      </c>
      <c r="L456">
        <v>9</v>
      </c>
      <c r="M456" t="s">
        <v>65</v>
      </c>
    </row>
    <row r="457" spans="1:13" ht="15.75" customHeight="1" x14ac:dyDescent="0.35">
      <c r="A457" s="1" t="s">
        <v>117</v>
      </c>
      <c r="B457" t="s">
        <v>1083</v>
      </c>
      <c r="C457" s="1" t="s">
        <v>245</v>
      </c>
      <c r="D457" s="4">
        <v>44951</v>
      </c>
      <c r="E457" s="1" t="s">
        <v>30</v>
      </c>
      <c r="F457" s="1" t="s">
        <v>53</v>
      </c>
      <c r="G457" s="1" t="s">
        <v>41</v>
      </c>
      <c r="H457">
        <v>2481</v>
      </c>
      <c r="I457">
        <v>2575.83</v>
      </c>
      <c r="J457" s="1" t="s">
        <v>25</v>
      </c>
      <c r="K457" s="1" t="s">
        <v>18</v>
      </c>
      <c r="L457">
        <v>9</v>
      </c>
      <c r="M457" t="s">
        <v>19</v>
      </c>
    </row>
    <row r="458" spans="1:13" ht="15.75" customHeight="1" x14ac:dyDescent="0.35">
      <c r="A458" s="1" t="s">
        <v>170</v>
      </c>
      <c r="B458" s="1" t="s">
        <v>689</v>
      </c>
      <c r="C458" t="s">
        <v>1084</v>
      </c>
      <c r="D458" s="4">
        <v>44959</v>
      </c>
      <c r="E458" s="1" t="s">
        <v>16</v>
      </c>
      <c r="F458" s="1" t="s">
        <v>53</v>
      </c>
      <c r="G458" s="1" t="s">
        <v>48</v>
      </c>
      <c r="H458">
        <v>2481</v>
      </c>
      <c r="I458" s="1">
        <v>4210.51</v>
      </c>
      <c r="J458" s="1" t="s">
        <v>25</v>
      </c>
      <c r="K458" s="1" t="s">
        <v>1093</v>
      </c>
      <c r="L458">
        <v>9</v>
      </c>
      <c r="M458" t="s">
        <v>19</v>
      </c>
    </row>
    <row r="459" spans="1:13" ht="15.75" customHeight="1" x14ac:dyDescent="0.35">
      <c r="A459" s="1" t="s">
        <v>114</v>
      </c>
      <c r="B459" s="1" t="s">
        <v>691</v>
      </c>
      <c r="C459" t="s">
        <v>1084</v>
      </c>
      <c r="D459" s="4">
        <v>45155</v>
      </c>
      <c r="E459" s="1" t="s">
        <v>16</v>
      </c>
      <c r="F459" s="1" t="s">
        <v>23</v>
      </c>
      <c r="G459" s="1" t="s">
        <v>61</v>
      </c>
      <c r="H459">
        <v>2481</v>
      </c>
      <c r="I459">
        <v>2575.83</v>
      </c>
      <c r="J459" s="1" t="s">
        <v>25</v>
      </c>
      <c r="K459" s="1" t="s">
        <v>18</v>
      </c>
      <c r="L459">
        <v>9</v>
      </c>
      <c r="M459" t="s">
        <v>19</v>
      </c>
    </row>
    <row r="460" spans="1:13" ht="15.75" customHeight="1" x14ac:dyDescent="0.35">
      <c r="A460" s="1" t="s">
        <v>192</v>
      </c>
      <c r="B460" t="s">
        <v>1083</v>
      </c>
      <c r="C460" s="1" t="s">
        <v>100</v>
      </c>
      <c r="D460" s="4">
        <v>44955</v>
      </c>
      <c r="E460" s="1" t="s">
        <v>16</v>
      </c>
      <c r="F460" s="1" t="s">
        <v>31</v>
      </c>
      <c r="G460" s="1" t="s">
        <v>48</v>
      </c>
      <c r="H460" s="1">
        <v>2481</v>
      </c>
      <c r="I460">
        <v>2575.83</v>
      </c>
      <c r="J460" s="1" t="s">
        <v>17</v>
      </c>
      <c r="K460" s="1" t="s">
        <v>26</v>
      </c>
      <c r="L460">
        <v>9</v>
      </c>
      <c r="M460" t="s">
        <v>65</v>
      </c>
    </row>
    <row r="461" spans="1:13" ht="15.75" customHeight="1" x14ac:dyDescent="0.35">
      <c r="A461" s="1" t="s">
        <v>179</v>
      </c>
      <c r="B461" t="s">
        <v>1083</v>
      </c>
      <c r="C461" s="1" t="s">
        <v>87</v>
      </c>
      <c r="D461" s="4">
        <v>45100</v>
      </c>
      <c r="E461" s="1" t="s">
        <v>77</v>
      </c>
      <c r="F461" s="1" t="s">
        <v>47</v>
      </c>
      <c r="G461" s="1" t="s">
        <v>41</v>
      </c>
      <c r="H461" s="1">
        <v>2959.68</v>
      </c>
      <c r="I461">
        <v>2575.83</v>
      </c>
      <c r="J461" s="1" t="s">
        <v>25</v>
      </c>
      <c r="K461" s="1" t="s">
        <v>57</v>
      </c>
      <c r="L461" s="1">
        <v>50</v>
      </c>
      <c r="M461" s="1" t="s">
        <v>42</v>
      </c>
    </row>
    <row r="462" spans="1:13" ht="15.75" customHeight="1" x14ac:dyDescent="0.35">
      <c r="A462" s="1" t="s">
        <v>277</v>
      </c>
      <c r="B462" t="s">
        <v>1083</v>
      </c>
      <c r="C462" t="s">
        <v>1084</v>
      </c>
      <c r="D462" s="4">
        <v>45173</v>
      </c>
      <c r="E462" s="1" t="s">
        <v>85</v>
      </c>
      <c r="F462" s="1" t="s">
        <v>93</v>
      </c>
      <c r="G462" s="1" t="s">
        <v>24</v>
      </c>
      <c r="H462">
        <v>2481</v>
      </c>
      <c r="I462">
        <v>2575.83</v>
      </c>
      <c r="J462" s="1" t="s">
        <v>17</v>
      </c>
      <c r="K462" s="1" t="s">
        <v>32</v>
      </c>
      <c r="L462">
        <v>9</v>
      </c>
      <c r="M462" t="s">
        <v>42</v>
      </c>
    </row>
    <row r="463" spans="1:13" ht="15.75" customHeight="1" x14ac:dyDescent="0.35">
      <c r="A463" s="1" t="s">
        <v>202</v>
      </c>
      <c r="B463" s="1" t="s">
        <v>694</v>
      </c>
      <c r="C463" t="s">
        <v>1084</v>
      </c>
      <c r="D463" s="4">
        <v>45102</v>
      </c>
      <c r="E463" s="1" t="s">
        <v>16</v>
      </c>
      <c r="F463" s="1" t="s">
        <v>47</v>
      </c>
      <c r="G463" s="1" t="s">
        <v>54</v>
      </c>
      <c r="H463" s="1">
        <v>3305.5</v>
      </c>
      <c r="I463">
        <v>2575.83</v>
      </c>
      <c r="J463" s="1" t="s">
        <v>25</v>
      </c>
      <c r="K463" s="1" t="s">
        <v>1093</v>
      </c>
      <c r="L463" s="1">
        <v>22</v>
      </c>
      <c r="M463" s="1" t="s">
        <v>65</v>
      </c>
    </row>
    <row r="464" spans="1:13" ht="15.75" customHeight="1" x14ac:dyDescent="0.35">
      <c r="A464" s="1" t="s">
        <v>13</v>
      </c>
      <c r="B464" s="1" t="s">
        <v>695</v>
      </c>
      <c r="C464" s="1" t="s">
        <v>696</v>
      </c>
      <c r="D464" s="4">
        <v>45282</v>
      </c>
      <c r="E464" s="1" t="s">
        <v>77</v>
      </c>
      <c r="F464" s="1" t="s">
        <v>47</v>
      </c>
      <c r="G464" t="s">
        <v>1086</v>
      </c>
      <c r="H464">
        <v>2481</v>
      </c>
      <c r="I464">
        <v>2575.83</v>
      </c>
      <c r="J464" s="1" t="s">
        <v>42</v>
      </c>
      <c r="K464" s="1" t="s">
        <v>18</v>
      </c>
      <c r="L464">
        <v>9</v>
      </c>
      <c r="M464" t="s">
        <v>19</v>
      </c>
    </row>
    <row r="465" spans="1:13" ht="15.75" customHeight="1" x14ac:dyDescent="0.35">
      <c r="A465" s="1" t="s">
        <v>117</v>
      </c>
      <c r="B465" s="1" t="s">
        <v>67</v>
      </c>
      <c r="C465" s="1" t="s">
        <v>308</v>
      </c>
      <c r="D465" s="4">
        <v>45165</v>
      </c>
      <c r="E465" s="1" t="s">
        <v>85</v>
      </c>
      <c r="F465" s="1" t="s">
        <v>93</v>
      </c>
      <c r="G465" s="1" t="s">
        <v>48</v>
      </c>
      <c r="H465" s="1">
        <v>2481</v>
      </c>
      <c r="I465" s="1">
        <v>1066.32</v>
      </c>
      <c r="J465" s="1" t="s">
        <v>25</v>
      </c>
      <c r="K465" s="1" t="s">
        <v>32</v>
      </c>
      <c r="L465" s="1">
        <v>9</v>
      </c>
      <c r="M465" s="1" t="s">
        <v>19</v>
      </c>
    </row>
    <row r="466" spans="1:13" ht="15.75" customHeight="1" x14ac:dyDescent="0.35">
      <c r="A466" s="1" t="s">
        <v>105</v>
      </c>
      <c r="B466" s="1" t="s">
        <v>699</v>
      </c>
      <c r="C466" t="s">
        <v>1084</v>
      </c>
      <c r="D466" s="4">
        <v>45250</v>
      </c>
      <c r="E466" s="1" t="s">
        <v>85</v>
      </c>
      <c r="F466" s="1" t="s">
        <v>31</v>
      </c>
      <c r="G466" s="1" t="s">
        <v>61</v>
      </c>
      <c r="H466">
        <v>2481</v>
      </c>
      <c r="I466" s="1">
        <v>1456.3</v>
      </c>
      <c r="J466" s="1" t="s">
        <v>42</v>
      </c>
      <c r="K466" s="1" t="s">
        <v>18</v>
      </c>
      <c r="L466">
        <v>9</v>
      </c>
      <c r="M466" t="s">
        <v>65</v>
      </c>
    </row>
    <row r="467" spans="1:13" ht="15.75" customHeight="1" x14ac:dyDescent="0.35">
      <c r="A467" s="1" t="s">
        <v>102</v>
      </c>
      <c r="B467" s="1" t="s">
        <v>689</v>
      </c>
      <c r="C467" t="s">
        <v>1084</v>
      </c>
      <c r="D467" s="4">
        <v>44978</v>
      </c>
      <c r="E467" s="1" t="s">
        <v>77</v>
      </c>
      <c r="F467" t="s">
        <v>1085</v>
      </c>
      <c r="G467" s="1" t="s">
        <v>61</v>
      </c>
      <c r="H467">
        <v>2481</v>
      </c>
      <c r="I467">
        <v>2575.83</v>
      </c>
      <c r="J467" s="1" t="s">
        <v>42</v>
      </c>
      <c r="K467" s="1" t="s">
        <v>18</v>
      </c>
      <c r="L467">
        <v>9</v>
      </c>
      <c r="M467" t="s">
        <v>42</v>
      </c>
    </row>
    <row r="468" spans="1:13" ht="15.75" customHeight="1" x14ac:dyDescent="0.35">
      <c r="A468" s="1" t="s">
        <v>62</v>
      </c>
      <c r="B468" s="1" t="s">
        <v>372</v>
      </c>
      <c r="C468" s="1" t="s">
        <v>538</v>
      </c>
      <c r="D468" s="4">
        <v>45025</v>
      </c>
      <c r="E468" s="1" t="s">
        <v>77</v>
      </c>
      <c r="F468" t="s">
        <v>1085</v>
      </c>
      <c r="G468" s="1" t="s">
        <v>41</v>
      </c>
      <c r="H468">
        <v>2481</v>
      </c>
      <c r="I468">
        <v>2575.83</v>
      </c>
      <c r="J468" s="1" t="s">
        <v>17</v>
      </c>
      <c r="K468" s="1" t="s">
        <v>18</v>
      </c>
      <c r="L468">
        <v>9</v>
      </c>
      <c r="M468" t="s">
        <v>19</v>
      </c>
    </row>
    <row r="469" spans="1:13" ht="15.75" customHeight="1" x14ac:dyDescent="0.35">
      <c r="A469" s="1" t="s">
        <v>179</v>
      </c>
      <c r="B469" t="s">
        <v>1083</v>
      </c>
      <c r="C469" s="1" t="s">
        <v>455</v>
      </c>
      <c r="D469" s="4">
        <v>44991</v>
      </c>
      <c r="E469" s="1" t="s">
        <v>30</v>
      </c>
      <c r="F469" s="1" t="s">
        <v>53</v>
      </c>
      <c r="G469" s="1" t="s">
        <v>24</v>
      </c>
      <c r="H469" s="1">
        <v>3650.13</v>
      </c>
      <c r="I469">
        <v>2575.83</v>
      </c>
      <c r="J469" s="1" t="s">
        <v>17</v>
      </c>
      <c r="K469" s="1" t="s">
        <v>32</v>
      </c>
      <c r="L469">
        <v>9</v>
      </c>
      <c r="M469" t="s">
        <v>65</v>
      </c>
    </row>
    <row r="470" spans="1:13" ht="15.75" customHeight="1" x14ac:dyDescent="0.35">
      <c r="A470" s="1" t="s">
        <v>102</v>
      </c>
      <c r="B470" t="s">
        <v>1083</v>
      </c>
      <c r="C470" t="s">
        <v>1084</v>
      </c>
      <c r="D470" s="4">
        <v>45064</v>
      </c>
      <c r="E470" s="1" t="s">
        <v>77</v>
      </c>
      <c r="F470" t="s">
        <v>1085</v>
      </c>
      <c r="G470" s="1" t="s">
        <v>54</v>
      </c>
      <c r="H470">
        <v>2481</v>
      </c>
      <c r="I470">
        <v>2575.83</v>
      </c>
      <c r="J470" s="1" t="s">
        <v>17</v>
      </c>
      <c r="K470" s="1" t="s">
        <v>1093</v>
      </c>
      <c r="L470">
        <v>9</v>
      </c>
      <c r="M470" t="s">
        <v>65</v>
      </c>
    </row>
    <row r="471" spans="1:13" ht="15.75" customHeight="1" x14ac:dyDescent="0.35">
      <c r="A471" s="1" t="s">
        <v>33</v>
      </c>
      <c r="B471" s="1" t="s">
        <v>703</v>
      </c>
      <c r="C471" t="s">
        <v>1084</v>
      </c>
      <c r="D471" s="4">
        <v>45208</v>
      </c>
      <c r="E471" s="1" t="s">
        <v>92</v>
      </c>
      <c r="F471" s="1" t="s">
        <v>53</v>
      </c>
      <c r="G471" s="1" t="s">
        <v>54</v>
      </c>
      <c r="H471" s="1">
        <v>1790.3</v>
      </c>
      <c r="I471">
        <v>2575.83</v>
      </c>
      <c r="J471" s="1" t="s">
        <v>42</v>
      </c>
      <c r="K471" s="1" t="s">
        <v>1093</v>
      </c>
      <c r="L471">
        <v>9</v>
      </c>
      <c r="M471" t="s">
        <v>65</v>
      </c>
    </row>
    <row r="472" spans="1:13" ht="15.75" customHeight="1" x14ac:dyDescent="0.35">
      <c r="A472" s="1" t="s">
        <v>70</v>
      </c>
      <c r="B472" t="s">
        <v>1083</v>
      </c>
      <c r="C472" t="s">
        <v>1084</v>
      </c>
      <c r="D472" s="4">
        <v>44939</v>
      </c>
      <c r="E472" s="1" t="s">
        <v>85</v>
      </c>
      <c r="F472" s="1" t="s">
        <v>31</v>
      </c>
      <c r="G472" t="s">
        <v>1086</v>
      </c>
      <c r="H472">
        <v>2481</v>
      </c>
      <c r="I472">
        <v>2575.83</v>
      </c>
      <c r="J472" s="1" t="s">
        <v>17</v>
      </c>
      <c r="K472" s="1" t="s">
        <v>26</v>
      </c>
      <c r="L472">
        <v>9</v>
      </c>
      <c r="M472" t="s">
        <v>65</v>
      </c>
    </row>
    <row r="473" spans="1:13" ht="15.75" customHeight="1" x14ac:dyDescent="0.35">
      <c r="A473" s="1" t="s">
        <v>108</v>
      </c>
      <c r="B473" s="1" t="s">
        <v>704</v>
      </c>
      <c r="C473" s="1" t="s">
        <v>356</v>
      </c>
      <c r="D473" s="4">
        <v>45206</v>
      </c>
      <c r="E473" s="1" t="s">
        <v>16</v>
      </c>
      <c r="F473" s="1" t="s">
        <v>31</v>
      </c>
      <c r="G473" s="1" t="s">
        <v>41</v>
      </c>
      <c r="H473">
        <v>2481</v>
      </c>
      <c r="I473">
        <v>2575.83</v>
      </c>
      <c r="J473" s="1" t="s">
        <v>17</v>
      </c>
      <c r="K473" s="1" t="s">
        <v>57</v>
      </c>
      <c r="L473">
        <v>9</v>
      </c>
      <c r="M473" t="s">
        <v>19</v>
      </c>
    </row>
    <row r="474" spans="1:13" ht="15.75" customHeight="1" x14ac:dyDescent="0.35">
      <c r="A474" s="1" t="s">
        <v>202</v>
      </c>
      <c r="B474" t="s">
        <v>1083</v>
      </c>
      <c r="C474" t="s">
        <v>1084</v>
      </c>
      <c r="D474" s="4">
        <v>45134</v>
      </c>
      <c r="E474" s="1" t="s">
        <v>77</v>
      </c>
      <c r="F474" t="s">
        <v>1085</v>
      </c>
      <c r="G474" s="1" t="s">
        <v>54</v>
      </c>
      <c r="H474" s="1">
        <v>2481</v>
      </c>
      <c r="I474">
        <v>2575.83</v>
      </c>
      <c r="J474" s="1" t="s">
        <v>17</v>
      </c>
      <c r="K474" s="1" t="s">
        <v>1093</v>
      </c>
      <c r="L474">
        <v>9</v>
      </c>
      <c r="M474" t="s">
        <v>42</v>
      </c>
    </row>
    <row r="475" spans="1:13" ht="15.75" customHeight="1" x14ac:dyDescent="0.35">
      <c r="A475" s="1" t="s">
        <v>179</v>
      </c>
      <c r="B475" t="s">
        <v>1083</v>
      </c>
      <c r="C475" t="s">
        <v>1084</v>
      </c>
      <c r="D475" s="4">
        <v>45101</v>
      </c>
      <c r="E475" s="1" t="s">
        <v>77</v>
      </c>
      <c r="F475" t="s">
        <v>1085</v>
      </c>
      <c r="G475" s="1" t="s">
        <v>48</v>
      </c>
      <c r="H475" s="1">
        <v>1087.44</v>
      </c>
      <c r="I475">
        <v>2575.83</v>
      </c>
      <c r="J475" s="1" t="s">
        <v>17</v>
      </c>
      <c r="K475" s="1" t="s">
        <v>32</v>
      </c>
      <c r="L475">
        <v>9</v>
      </c>
      <c r="M475" t="s">
        <v>19</v>
      </c>
    </row>
    <row r="476" spans="1:13" ht="15.75" customHeight="1" x14ac:dyDescent="0.35">
      <c r="A476" s="1" t="s">
        <v>117</v>
      </c>
      <c r="B476" t="s">
        <v>1083</v>
      </c>
      <c r="C476" s="1" t="s">
        <v>696</v>
      </c>
      <c r="D476" s="4">
        <v>45144</v>
      </c>
      <c r="E476" s="1" t="s">
        <v>85</v>
      </c>
      <c r="F476" t="s">
        <v>1085</v>
      </c>
      <c r="G476" s="1" t="s">
        <v>54</v>
      </c>
      <c r="H476" s="1">
        <v>1533.2</v>
      </c>
      <c r="I476" s="1">
        <v>2859.51</v>
      </c>
      <c r="J476" s="1" t="s">
        <v>17</v>
      </c>
      <c r="K476" s="1" t="s">
        <v>18</v>
      </c>
      <c r="L476">
        <v>9</v>
      </c>
      <c r="M476" t="s">
        <v>42</v>
      </c>
    </row>
    <row r="477" spans="1:13" ht="15.75" customHeight="1" x14ac:dyDescent="0.35">
      <c r="A477" s="1" t="s">
        <v>13</v>
      </c>
      <c r="B477" t="s">
        <v>1083</v>
      </c>
      <c r="C477" t="s">
        <v>1084</v>
      </c>
      <c r="D477" s="4">
        <v>45122</v>
      </c>
      <c r="E477" s="1" t="s">
        <v>30</v>
      </c>
      <c r="F477" s="1" t="s">
        <v>53</v>
      </c>
      <c r="G477" s="1" t="s">
        <v>24</v>
      </c>
      <c r="H477" s="1">
        <v>2481</v>
      </c>
      <c r="I477">
        <v>2575.83</v>
      </c>
      <c r="J477" s="1" t="s">
        <v>25</v>
      </c>
      <c r="K477" s="1" t="s">
        <v>18</v>
      </c>
      <c r="L477">
        <v>9</v>
      </c>
      <c r="M477" t="s">
        <v>42</v>
      </c>
    </row>
    <row r="478" spans="1:13" ht="15.75" customHeight="1" x14ac:dyDescent="0.35">
      <c r="A478" s="1" t="s">
        <v>102</v>
      </c>
      <c r="B478" t="s">
        <v>1083</v>
      </c>
      <c r="C478" t="s">
        <v>1084</v>
      </c>
      <c r="D478" s="4">
        <v>44940</v>
      </c>
      <c r="E478" s="1" t="s">
        <v>77</v>
      </c>
      <c r="F478" s="1" t="s">
        <v>31</v>
      </c>
      <c r="G478" s="1" t="s">
        <v>24</v>
      </c>
      <c r="H478" s="1">
        <v>1203.55</v>
      </c>
      <c r="I478">
        <v>2575.83</v>
      </c>
      <c r="J478" s="1" t="s">
        <v>17</v>
      </c>
      <c r="K478" s="1" t="s">
        <v>26</v>
      </c>
      <c r="L478">
        <v>9</v>
      </c>
      <c r="M478" t="s">
        <v>65</v>
      </c>
    </row>
    <row r="479" spans="1:13" ht="15.75" customHeight="1" x14ac:dyDescent="0.35">
      <c r="A479" s="1" t="s">
        <v>78</v>
      </c>
      <c r="B479" s="1" t="s">
        <v>709</v>
      </c>
      <c r="C479" t="s">
        <v>1084</v>
      </c>
      <c r="D479" s="4">
        <v>45171</v>
      </c>
      <c r="E479" s="1" t="s">
        <v>85</v>
      </c>
      <c r="F479" s="1" t="s">
        <v>93</v>
      </c>
      <c r="G479" s="1" t="s">
        <v>41</v>
      </c>
      <c r="H479" s="1">
        <v>2481</v>
      </c>
      <c r="I479">
        <v>2575.83</v>
      </c>
      <c r="J479" s="1" t="s">
        <v>42</v>
      </c>
      <c r="K479" s="1" t="s">
        <v>57</v>
      </c>
      <c r="L479">
        <v>9</v>
      </c>
      <c r="M479" t="s">
        <v>65</v>
      </c>
    </row>
    <row r="480" spans="1:13" ht="15.75" customHeight="1" x14ac:dyDescent="0.35">
      <c r="A480" s="1" t="s">
        <v>38</v>
      </c>
      <c r="B480" s="1" t="s">
        <v>695</v>
      </c>
      <c r="C480" t="s">
        <v>1084</v>
      </c>
      <c r="D480" s="4">
        <v>44959</v>
      </c>
      <c r="E480" s="1" t="s">
        <v>30</v>
      </c>
      <c r="F480" s="1" t="s">
        <v>31</v>
      </c>
      <c r="G480" s="1" t="s">
        <v>54</v>
      </c>
      <c r="H480" s="1">
        <v>2481</v>
      </c>
      <c r="I480">
        <v>2575.83</v>
      </c>
      <c r="J480" s="1" t="s">
        <v>25</v>
      </c>
      <c r="K480" s="1" t="s">
        <v>32</v>
      </c>
      <c r="L480">
        <v>9</v>
      </c>
      <c r="M480" t="s">
        <v>19</v>
      </c>
    </row>
    <row r="481" spans="1:13" ht="15.75" customHeight="1" x14ac:dyDescent="0.35">
      <c r="A481" s="1" t="s">
        <v>321</v>
      </c>
      <c r="B481" t="s">
        <v>1083</v>
      </c>
      <c r="C481" s="1" t="s">
        <v>331</v>
      </c>
      <c r="D481" s="4">
        <v>45018</v>
      </c>
      <c r="E481" s="1" t="s">
        <v>16</v>
      </c>
      <c r="F481" s="1" t="s">
        <v>53</v>
      </c>
      <c r="G481" s="1" t="s">
        <v>48</v>
      </c>
      <c r="H481">
        <v>2481</v>
      </c>
      <c r="I481" s="1">
        <v>3507.68</v>
      </c>
      <c r="J481" s="1" t="s">
        <v>25</v>
      </c>
      <c r="K481" s="1" t="s">
        <v>26</v>
      </c>
      <c r="L481" s="1">
        <v>15</v>
      </c>
      <c r="M481" s="1" t="s">
        <v>19</v>
      </c>
    </row>
    <row r="482" spans="1:13" ht="15.75" customHeight="1" x14ac:dyDescent="0.35">
      <c r="A482" s="1" t="s">
        <v>13</v>
      </c>
      <c r="B482" t="s">
        <v>1083</v>
      </c>
      <c r="C482" s="1" t="s">
        <v>158</v>
      </c>
      <c r="D482" s="4">
        <v>45038</v>
      </c>
      <c r="E482" s="1" t="s">
        <v>85</v>
      </c>
      <c r="F482" s="1" t="s">
        <v>47</v>
      </c>
      <c r="G482" s="1" t="s">
        <v>61</v>
      </c>
      <c r="H482" s="1">
        <v>4976.82</v>
      </c>
      <c r="I482">
        <v>2575.83</v>
      </c>
      <c r="J482" s="1" t="s">
        <v>25</v>
      </c>
      <c r="K482" s="1" t="s">
        <v>1093</v>
      </c>
      <c r="L482">
        <v>9</v>
      </c>
      <c r="M482" t="s">
        <v>65</v>
      </c>
    </row>
    <row r="483" spans="1:13" ht="15.75" customHeight="1" x14ac:dyDescent="0.35">
      <c r="A483" s="1" t="s">
        <v>163</v>
      </c>
      <c r="B483" t="s">
        <v>1083</v>
      </c>
      <c r="C483" s="1" t="s">
        <v>193</v>
      </c>
      <c r="D483" s="4">
        <v>45272</v>
      </c>
      <c r="E483" s="1" t="s">
        <v>77</v>
      </c>
      <c r="F483" s="1" t="s">
        <v>53</v>
      </c>
      <c r="G483" s="1" t="s">
        <v>41</v>
      </c>
      <c r="H483" s="1">
        <v>2481</v>
      </c>
      <c r="I483">
        <v>2575.83</v>
      </c>
      <c r="J483" s="1" t="s">
        <v>25</v>
      </c>
      <c r="K483" s="1" t="s">
        <v>18</v>
      </c>
      <c r="L483">
        <v>9</v>
      </c>
      <c r="M483" t="s">
        <v>65</v>
      </c>
    </row>
    <row r="484" spans="1:13" ht="15.75" customHeight="1" x14ac:dyDescent="0.35">
      <c r="A484" s="1" t="s">
        <v>117</v>
      </c>
      <c r="B484" s="1" t="s">
        <v>714</v>
      </c>
      <c r="C484" s="1" t="s">
        <v>203</v>
      </c>
      <c r="D484" s="4">
        <v>45151</v>
      </c>
      <c r="E484" s="1" t="s">
        <v>85</v>
      </c>
      <c r="F484" s="1" t="s">
        <v>31</v>
      </c>
      <c r="G484" s="1" t="s">
        <v>24</v>
      </c>
      <c r="H484" s="1">
        <v>894.42</v>
      </c>
      <c r="I484" s="1">
        <v>927.32</v>
      </c>
      <c r="J484" s="1" t="s">
        <v>17</v>
      </c>
      <c r="K484" s="1" t="s">
        <v>1093</v>
      </c>
      <c r="L484" s="1">
        <v>10</v>
      </c>
      <c r="M484" s="1" t="s">
        <v>19</v>
      </c>
    </row>
    <row r="485" spans="1:13" ht="15.75" customHeight="1" x14ac:dyDescent="0.35">
      <c r="A485" s="1" t="s">
        <v>275</v>
      </c>
      <c r="B485" s="1" t="s">
        <v>716</v>
      </c>
      <c r="C485" t="s">
        <v>1084</v>
      </c>
      <c r="D485" s="4">
        <v>45018</v>
      </c>
      <c r="E485" s="1" t="s">
        <v>16</v>
      </c>
      <c r="F485" s="1" t="s">
        <v>47</v>
      </c>
      <c r="G485" s="1" t="s">
        <v>24</v>
      </c>
      <c r="H485" s="1">
        <v>2238.19</v>
      </c>
      <c r="I485">
        <v>2575.83</v>
      </c>
      <c r="J485" s="1" t="s">
        <v>25</v>
      </c>
      <c r="K485" s="1" t="s">
        <v>26</v>
      </c>
      <c r="L485" s="1">
        <v>38</v>
      </c>
      <c r="M485" s="1" t="s">
        <v>19</v>
      </c>
    </row>
    <row r="486" spans="1:13" ht="15.75" customHeight="1" x14ac:dyDescent="0.35">
      <c r="A486" s="1" t="s">
        <v>202</v>
      </c>
      <c r="B486" s="1" t="s">
        <v>325</v>
      </c>
      <c r="C486" t="s">
        <v>1084</v>
      </c>
      <c r="D486" s="4">
        <v>45049</v>
      </c>
      <c r="E486" s="1" t="s">
        <v>77</v>
      </c>
      <c r="F486" s="1" t="s">
        <v>23</v>
      </c>
      <c r="G486" s="1" t="s">
        <v>61</v>
      </c>
      <c r="H486" s="1">
        <v>1718.73</v>
      </c>
      <c r="I486" s="1">
        <v>1141.81</v>
      </c>
      <c r="J486" s="1" t="s">
        <v>17</v>
      </c>
      <c r="K486" s="1" t="s">
        <v>18</v>
      </c>
      <c r="L486">
        <v>9</v>
      </c>
      <c r="M486" t="s">
        <v>42</v>
      </c>
    </row>
    <row r="487" spans="1:13" ht="15.75" customHeight="1" x14ac:dyDescent="0.35">
      <c r="A487" s="1" t="s">
        <v>108</v>
      </c>
      <c r="B487" t="s">
        <v>1083</v>
      </c>
      <c r="C487" s="1" t="s">
        <v>39</v>
      </c>
      <c r="D487" s="4">
        <v>45033</v>
      </c>
      <c r="E487" s="1" t="s">
        <v>77</v>
      </c>
      <c r="F487" s="1" t="s">
        <v>23</v>
      </c>
      <c r="G487" s="1" t="s">
        <v>24</v>
      </c>
      <c r="H487">
        <v>2481</v>
      </c>
      <c r="I487">
        <v>2575.83</v>
      </c>
      <c r="J487" s="1" t="s">
        <v>42</v>
      </c>
      <c r="K487" s="1" t="s">
        <v>26</v>
      </c>
      <c r="L487" s="1">
        <v>24</v>
      </c>
      <c r="M487" s="1" t="s">
        <v>65</v>
      </c>
    </row>
    <row r="488" spans="1:13" ht="15.75" customHeight="1" x14ac:dyDescent="0.35">
      <c r="A488" s="1" t="s">
        <v>198</v>
      </c>
      <c r="B488" t="s">
        <v>1083</v>
      </c>
      <c r="C488" t="s">
        <v>1084</v>
      </c>
      <c r="D488" s="4">
        <v>44961</v>
      </c>
      <c r="E488" s="1" t="s">
        <v>92</v>
      </c>
      <c r="F488" s="1" t="s">
        <v>47</v>
      </c>
      <c r="G488" s="1" t="s">
        <v>48</v>
      </c>
      <c r="H488">
        <v>2481</v>
      </c>
      <c r="I488" s="1">
        <v>1297.0999999999999</v>
      </c>
      <c r="J488" s="1" t="s">
        <v>17</v>
      </c>
      <c r="K488" s="1" t="s">
        <v>32</v>
      </c>
      <c r="L488">
        <v>9</v>
      </c>
      <c r="M488" t="s">
        <v>65</v>
      </c>
    </row>
    <row r="489" spans="1:13" ht="15.75" customHeight="1" x14ac:dyDescent="0.35">
      <c r="A489" s="1" t="s">
        <v>275</v>
      </c>
      <c r="B489" t="s">
        <v>1083</v>
      </c>
      <c r="C489" t="s">
        <v>1084</v>
      </c>
      <c r="D489" s="4">
        <v>45252</v>
      </c>
      <c r="E489" s="1" t="s">
        <v>85</v>
      </c>
      <c r="F489" t="s">
        <v>1085</v>
      </c>
      <c r="G489" s="1" t="s">
        <v>48</v>
      </c>
      <c r="H489" s="1">
        <v>2481</v>
      </c>
      <c r="I489">
        <v>2575.83</v>
      </c>
      <c r="J489" s="1" t="s">
        <v>17</v>
      </c>
      <c r="K489" s="1" t="s">
        <v>57</v>
      </c>
      <c r="L489">
        <v>9</v>
      </c>
      <c r="M489" t="s">
        <v>19</v>
      </c>
    </row>
    <row r="490" spans="1:13" ht="15.75" customHeight="1" x14ac:dyDescent="0.35">
      <c r="A490" s="1" t="s">
        <v>198</v>
      </c>
      <c r="B490" t="s">
        <v>1083</v>
      </c>
      <c r="C490" s="1" t="s">
        <v>245</v>
      </c>
      <c r="D490" s="4">
        <v>45085</v>
      </c>
      <c r="E490" s="1" t="s">
        <v>30</v>
      </c>
      <c r="F490" s="1" t="s">
        <v>23</v>
      </c>
      <c r="G490" s="1" t="s">
        <v>61</v>
      </c>
      <c r="H490">
        <v>2481</v>
      </c>
      <c r="I490">
        <v>2575.83</v>
      </c>
      <c r="J490" s="1" t="s">
        <v>17</v>
      </c>
      <c r="K490" s="1" t="s">
        <v>26</v>
      </c>
      <c r="L490">
        <v>9</v>
      </c>
      <c r="M490" t="s">
        <v>42</v>
      </c>
    </row>
    <row r="491" spans="1:13" ht="15.75" customHeight="1" x14ac:dyDescent="0.35">
      <c r="A491" s="1" t="s">
        <v>215</v>
      </c>
      <c r="B491" t="s">
        <v>1083</v>
      </c>
      <c r="C491" t="s">
        <v>1084</v>
      </c>
      <c r="D491" s="4">
        <v>44947</v>
      </c>
      <c r="E491" s="1" t="s">
        <v>85</v>
      </c>
      <c r="F491" s="1" t="s">
        <v>53</v>
      </c>
      <c r="G491" t="s">
        <v>1086</v>
      </c>
      <c r="H491">
        <v>2481</v>
      </c>
      <c r="I491">
        <v>2575.83</v>
      </c>
      <c r="J491" s="1" t="s">
        <v>42</v>
      </c>
      <c r="K491" s="1" t="s">
        <v>18</v>
      </c>
      <c r="L491">
        <v>9</v>
      </c>
      <c r="M491" t="s">
        <v>19</v>
      </c>
    </row>
    <row r="492" spans="1:13" ht="15.75" customHeight="1" x14ac:dyDescent="0.35">
      <c r="A492" s="1" t="s">
        <v>249</v>
      </c>
      <c r="B492" t="s">
        <v>1083</v>
      </c>
      <c r="C492" s="1" t="s">
        <v>592</v>
      </c>
      <c r="D492" s="4">
        <v>45122</v>
      </c>
      <c r="E492" s="1" t="s">
        <v>85</v>
      </c>
      <c r="F492" s="1" t="s">
        <v>53</v>
      </c>
      <c r="G492" t="s">
        <v>1086</v>
      </c>
      <c r="H492" s="1">
        <v>79.91</v>
      </c>
      <c r="I492" s="1">
        <v>4770.62</v>
      </c>
      <c r="J492" s="1" t="s">
        <v>17</v>
      </c>
      <c r="K492" s="1" t="s">
        <v>18</v>
      </c>
      <c r="L492" s="1">
        <v>8</v>
      </c>
      <c r="M492" s="1" t="s">
        <v>65</v>
      </c>
    </row>
    <row r="493" spans="1:13" ht="15.75" customHeight="1" x14ac:dyDescent="0.35">
      <c r="A493" s="1" t="s">
        <v>66</v>
      </c>
      <c r="B493" s="1" t="s">
        <v>720</v>
      </c>
      <c r="C493" s="1" t="s">
        <v>453</v>
      </c>
      <c r="D493" s="4">
        <v>45145</v>
      </c>
      <c r="E493" s="1" t="s">
        <v>16</v>
      </c>
      <c r="F493" s="1" t="s">
        <v>93</v>
      </c>
      <c r="G493" s="1" t="s">
        <v>24</v>
      </c>
      <c r="H493">
        <v>2481</v>
      </c>
      <c r="I493">
        <v>2575.83</v>
      </c>
      <c r="J493" s="1" t="s">
        <v>25</v>
      </c>
      <c r="K493" s="1" t="s">
        <v>18</v>
      </c>
      <c r="L493">
        <v>9</v>
      </c>
      <c r="M493" t="s">
        <v>19</v>
      </c>
    </row>
    <row r="494" spans="1:13" ht="15.75" customHeight="1" x14ac:dyDescent="0.35">
      <c r="A494" s="1" t="s">
        <v>242</v>
      </c>
      <c r="B494" t="s">
        <v>1083</v>
      </c>
      <c r="C494" t="s">
        <v>1084</v>
      </c>
      <c r="D494" s="4">
        <v>45185</v>
      </c>
      <c r="E494" s="1" t="s">
        <v>16</v>
      </c>
      <c r="F494" s="1" t="s">
        <v>53</v>
      </c>
      <c r="G494" s="1" t="s">
        <v>24</v>
      </c>
      <c r="H494" s="1">
        <v>4107.04</v>
      </c>
      <c r="I494">
        <v>2575.83</v>
      </c>
      <c r="J494" s="1" t="s">
        <v>25</v>
      </c>
      <c r="K494" s="1" t="s">
        <v>32</v>
      </c>
      <c r="L494">
        <v>9</v>
      </c>
      <c r="M494" t="s">
        <v>65</v>
      </c>
    </row>
    <row r="495" spans="1:13" ht="15.75" customHeight="1" x14ac:dyDescent="0.35">
      <c r="A495" s="1" t="s">
        <v>20</v>
      </c>
      <c r="B495" s="1" t="s">
        <v>270</v>
      </c>
      <c r="C495" t="s">
        <v>1084</v>
      </c>
      <c r="D495" s="4">
        <v>45083</v>
      </c>
      <c r="E495" s="1" t="s">
        <v>77</v>
      </c>
      <c r="F495" s="1" t="s">
        <v>47</v>
      </c>
      <c r="G495" s="1" t="s">
        <v>54</v>
      </c>
      <c r="H495">
        <v>2481</v>
      </c>
      <c r="I495" s="1">
        <v>3588.57</v>
      </c>
      <c r="J495" s="1" t="s">
        <v>17</v>
      </c>
      <c r="K495" s="1" t="s">
        <v>18</v>
      </c>
      <c r="L495" s="1">
        <v>9</v>
      </c>
      <c r="M495" s="1" t="s">
        <v>42</v>
      </c>
    </row>
    <row r="496" spans="1:13" ht="15.75" customHeight="1" x14ac:dyDescent="0.35">
      <c r="A496" s="1" t="s">
        <v>168</v>
      </c>
      <c r="B496" t="s">
        <v>1083</v>
      </c>
      <c r="C496" t="s">
        <v>1084</v>
      </c>
      <c r="D496" s="4">
        <v>45129</v>
      </c>
      <c r="E496" s="1" t="s">
        <v>77</v>
      </c>
      <c r="F496" s="1" t="s">
        <v>31</v>
      </c>
      <c r="G496" t="s">
        <v>1086</v>
      </c>
      <c r="H496" s="1">
        <v>2481</v>
      </c>
      <c r="I496" s="1">
        <v>4430.75</v>
      </c>
      <c r="J496" s="1" t="s">
        <v>25</v>
      </c>
      <c r="K496" s="1" t="s">
        <v>57</v>
      </c>
      <c r="L496" s="1">
        <v>10</v>
      </c>
      <c r="M496" s="1" t="s">
        <v>65</v>
      </c>
    </row>
    <row r="497" spans="1:13" ht="15.75" customHeight="1" x14ac:dyDescent="0.35">
      <c r="A497" s="1" t="s">
        <v>247</v>
      </c>
      <c r="B497" t="s">
        <v>1083</v>
      </c>
      <c r="C497" t="s">
        <v>1084</v>
      </c>
      <c r="D497" s="4">
        <v>45115</v>
      </c>
      <c r="E497" s="1" t="s">
        <v>16</v>
      </c>
      <c r="F497" t="s">
        <v>1085</v>
      </c>
      <c r="G497" s="1" t="s">
        <v>48</v>
      </c>
      <c r="H497">
        <v>2481</v>
      </c>
      <c r="I497" s="1">
        <v>1249.6500000000001</v>
      </c>
      <c r="J497" s="1" t="s">
        <v>42</v>
      </c>
      <c r="K497" s="1" t="s">
        <v>26</v>
      </c>
      <c r="L497">
        <v>9</v>
      </c>
      <c r="M497" t="s">
        <v>65</v>
      </c>
    </row>
    <row r="498" spans="1:13" ht="15.75" customHeight="1" x14ac:dyDescent="0.35">
      <c r="A498" s="1" t="s">
        <v>247</v>
      </c>
      <c r="B498" t="s">
        <v>1083</v>
      </c>
      <c r="C498" s="1" t="s">
        <v>135</v>
      </c>
      <c r="D498" s="4">
        <v>45235</v>
      </c>
      <c r="E498" s="1" t="s">
        <v>16</v>
      </c>
      <c r="F498" s="1" t="s">
        <v>93</v>
      </c>
      <c r="G498" s="1" t="s">
        <v>61</v>
      </c>
      <c r="H498" s="1">
        <v>2481</v>
      </c>
      <c r="I498">
        <v>2575.83</v>
      </c>
      <c r="J498" s="1" t="s">
        <v>25</v>
      </c>
      <c r="K498" s="1" t="s">
        <v>57</v>
      </c>
      <c r="L498" s="1">
        <v>58</v>
      </c>
      <c r="M498" s="1" t="s">
        <v>65</v>
      </c>
    </row>
    <row r="499" spans="1:13" ht="15.75" customHeight="1" x14ac:dyDescent="0.35">
      <c r="A499" s="1" t="s">
        <v>132</v>
      </c>
      <c r="B499" t="s">
        <v>1083</v>
      </c>
      <c r="C499" t="s">
        <v>1084</v>
      </c>
      <c r="D499" s="4">
        <v>45199</v>
      </c>
      <c r="E499" s="1" t="s">
        <v>30</v>
      </c>
      <c r="F499" s="1" t="s">
        <v>31</v>
      </c>
      <c r="G499" t="s">
        <v>1086</v>
      </c>
      <c r="H499" s="1">
        <v>2087.46</v>
      </c>
      <c r="I499">
        <v>2575.83</v>
      </c>
      <c r="J499" s="1" t="s">
        <v>42</v>
      </c>
      <c r="K499" s="1" t="s">
        <v>18</v>
      </c>
      <c r="L499">
        <v>9</v>
      </c>
      <c r="M499" t="s">
        <v>65</v>
      </c>
    </row>
    <row r="500" spans="1:13" ht="15.75" customHeight="1" x14ac:dyDescent="0.35">
      <c r="A500" s="1" t="s">
        <v>148</v>
      </c>
      <c r="B500" t="s">
        <v>1083</v>
      </c>
      <c r="C500" s="1" t="s">
        <v>414</v>
      </c>
      <c r="D500" s="4">
        <v>45013</v>
      </c>
      <c r="E500" s="1" t="s">
        <v>16</v>
      </c>
      <c r="F500" t="s">
        <v>1085</v>
      </c>
      <c r="G500" s="1" t="s">
        <v>48</v>
      </c>
      <c r="H500">
        <v>2481</v>
      </c>
      <c r="I500" s="1">
        <v>3678.56</v>
      </c>
      <c r="J500" s="1" t="s">
        <v>17</v>
      </c>
      <c r="K500" s="1" t="s">
        <v>32</v>
      </c>
      <c r="L500">
        <v>9</v>
      </c>
      <c r="M500" t="s">
        <v>65</v>
      </c>
    </row>
    <row r="501" spans="1:13" ht="15.75" customHeight="1" x14ac:dyDescent="0.35">
      <c r="A501" s="1" t="s">
        <v>212</v>
      </c>
      <c r="B501" s="1" t="s">
        <v>427</v>
      </c>
      <c r="C501" s="1" t="s">
        <v>613</v>
      </c>
      <c r="D501" s="4">
        <v>45157</v>
      </c>
      <c r="E501" s="1" t="s">
        <v>85</v>
      </c>
      <c r="F501" s="1" t="s">
        <v>23</v>
      </c>
      <c r="G501" t="s">
        <v>1086</v>
      </c>
      <c r="H501">
        <v>2481</v>
      </c>
      <c r="I501">
        <v>2575.83</v>
      </c>
      <c r="J501" s="1" t="s">
        <v>25</v>
      </c>
      <c r="K501" s="1" t="s">
        <v>57</v>
      </c>
      <c r="L501">
        <v>9</v>
      </c>
      <c r="M501" t="s">
        <v>65</v>
      </c>
    </row>
    <row r="502" spans="1:13" ht="15.75" customHeight="1" x14ac:dyDescent="0.35">
      <c r="A502" s="1" t="s">
        <v>96</v>
      </c>
      <c r="B502" s="1" t="s">
        <v>237</v>
      </c>
      <c r="C502" s="1" t="s">
        <v>80</v>
      </c>
      <c r="D502" s="4">
        <v>45068</v>
      </c>
      <c r="E502" s="1" t="s">
        <v>30</v>
      </c>
      <c r="F502" s="1" t="s">
        <v>93</v>
      </c>
      <c r="G502" s="1" t="s">
        <v>48</v>
      </c>
      <c r="H502" s="1">
        <v>2451.71</v>
      </c>
      <c r="I502" s="1">
        <v>352.23</v>
      </c>
      <c r="J502" s="1" t="s">
        <v>17</v>
      </c>
      <c r="K502" s="1" t="s">
        <v>26</v>
      </c>
      <c r="L502" s="1">
        <v>6</v>
      </c>
      <c r="M502" s="1" t="s">
        <v>42</v>
      </c>
    </row>
    <row r="503" spans="1:13" ht="15.75" customHeight="1" x14ac:dyDescent="0.35">
      <c r="A503" s="1" t="s">
        <v>179</v>
      </c>
      <c r="B503" t="s">
        <v>1083</v>
      </c>
      <c r="C503" t="s">
        <v>1084</v>
      </c>
      <c r="D503" s="4">
        <v>45099</v>
      </c>
      <c r="E503" s="1" t="s">
        <v>77</v>
      </c>
      <c r="F503" s="1" t="s">
        <v>31</v>
      </c>
      <c r="G503" s="1" t="s">
        <v>41</v>
      </c>
      <c r="H503">
        <v>2481</v>
      </c>
      <c r="I503">
        <v>2575.83</v>
      </c>
      <c r="J503" s="1" t="s">
        <v>25</v>
      </c>
      <c r="K503" s="1" t="s">
        <v>1093</v>
      </c>
      <c r="L503" s="1">
        <v>39</v>
      </c>
      <c r="M503" s="1" t="s">
        <v>19</v>
      </c>
    </row>
    <row r="504" spans="1:13" ht="15.75" customHeight="1" x14ac:dyDescent="0.35">
      <c r="A504" s="1" t="s">
        <v>114</v>
      </c>
      <c r="B504" s="1" t="s">
        <v>351</v>
      </c>
      <c r="C504" t="s">
        <v>1084</v>
      </c>
      <c r="D504" s="4">
        <v>44998</v>
      </c>
      <c r="E504" s="1" t="s">
        <v>85</v>
      </c>
      <c r="F504" s="1" t="s">
        <v>47</v>
      </c>
      <c r="G504" s="1" t="s">
        <v>41</v>
      </c>
      <c r="H504">
        <v>2481</v>
      </c>
      <c r="I504">
        <v>2575.83</v>
      </c>
      <c r="J504" s="1" t="s">
        <v>25</v>
      </c>
      <c r="K504" s="1" t="s">
        <v>57</v>
      </c>
      <c r="L504">
        <v>9</v>
      </c>
      <c r="M504" t="s">
        <v>65</v>
      </c>
    </row>
    <row r="505" spans="1:13" ht="15.75" customHeight="1" x14ac:dyDescent="0.35">
      <c r="A505" s="1" t="s">
        <v>89</v>
      </c>
      <c r="B505" t="s">
        <v>1083</v>
      </c>
      <c r="C505" t="s">
        <v>1084</v>
      </c>
      <c r="D505" s="4">
        <v>45093</v>
      </c>
      <c r="E505" s="1" t="s">
        <v>85</v>
      </c>
      <c r="F505" s="1" t="s">
        <v>47</v>
      </c>
      <c r="G505" s="1" t="s">
        <v>48</v>
      </c>
      <c r="H505" s="1">
        <v>2030.82</v>
      </c>
      <c r="I505">
        <v>2575.83</v>
      </c>
      <c r="J505" s="1" t="s">
        <v>25</v>
      </c>
      <c r="K505" s="1" t="s">
        <v>1093</v>
      </c>
      <c r="L505">
        <v>9</v>
      </c>
      <c r="M505" t="s">
        <v>65</v>
      </c>
    </row>
    <row r="506" spans="1:13" ht="15.75" customHeight="1" x14ac:dyDescent="0.35">
      <c r="A506" s="1" t="s">
        <v>137</v>
      </c>
      <c r="B506" t="s">
        <v>1083</v>
      </c>
      <c r="C506" s="1" t="s">
        <v>156</v>
      </c>
      <c r="D506" s="4">
        <v>45181</v>
      </c>
      <c r="E506" s="1" t="s">
        <v>85</v>
      </c>
      <c r="F506" t="s">
        <v>1085</v>
      </c>
      <c r="G506" s="1" t="s">
        <v>54</v>
      </c>
      <c r="H506">
        <v>2481</v>
      </c>
      <c r="I506" s="1">
        <v>4487.22</v>
      </c>
      <c r="J506" s="1" t="s">
        <v>25</v>
      </c>
      <c r="K506" s="1" t="s">
        <v>57</v>
      </c>
      <c r="L506" s="1">
        <v>15</v>
      </c>
      <c r="M506" s="1" t="s">
        <v>65</v>
      </c>
    </row>
    <row r="507" spans="1:13" ht="15.75" customHeight="1" x14ac:dyDescent="0.35">
      <c r="A507" s="1" t="s">
        <v>132</v>
      </c>
      <c r="B507" t="s">
        <v>1083</v>
      </c>
      <c r="C507" s="1" t="s">
        <v>592</v>
      </c>
      <c r="D507" s="4">
        <v>44981</v>
      </c>
      <c r="E507" s="1" t="s">
        <v>92</v>
      </c>
      <c r="F507" s="1" t="s">
        <v>53</v>
      </c>
      <c r="G507" s="1" t="s">
        <v>41</v>
      </c>
      <c r="H507" s="1">
        <v>2481</v>
      </c>
      <c r="I507">
        <v>2575.83</v>
      </c>
      <c r="J507" s="1" t="s">
        <v>25</v>
      </c>
      <c r="K507" s="1" t="s">
        <v>18</v>
      </c>
      <c r="L507">
        <v>9</v>
      </c>
      <c r="M507" t="s">
        <v>65</v>
      </c>
    </row>
    <row r="508" spans="1:13" ht="15.75" customHeight="1" x14ac:dyDescent="0.35">
      <c r="A508" s="1" t="s">
        <v>96</v>
      </c>
      <c r="B508" t="s">
        <v>1083</v>
      </c>
      <c r="C508" s="1" t="s">
        <v>581</v>
      </c>
      <c r="D508" s="4">
        <v>45120</v>
      </c>
      <c r="E508" s="1" t="s">
        <v>16</v>
      </c>
      <c r="F508" t="s">
        <v>1085</v>
      </c>
      <c r="G508" t="s">
        <v>1086</v>
      </c>
      <c r="H508" s="1">
        <v>2481</v>
      </c>
      <c r="I508" s="1">
        <v>4051.82</v>
      </c>
      <c r="J508" s="1" t="s">
        <v>42</v>
      </c>
      <c r="K508" s="1" t="s">
        <v>26</v>
      </c>
      <c r="L508" s="1">
        <v>18</v>
      </c>
      <c r="M508" s="1" t="s">
        <v>19</v>
      </c>
    </row>
    <row r="509" spans="1:13" ht="15.75" customHeight="1" x14ac:dyDescent="0.35">
      <c r="A509" s="1" t="s">
        <v>96</v>
      </c>
      <c r="B509" t="s">
        <v>1083</v>
      </c>
      <c r="C509" s="1" t="s">
        <v>463</v>
      </c>
      <c r="D509" s="4">
        <v>44986</v>
      </c>
      <c r="E509" s="1" t="s">
        <v>85</v>
      </c>
      <c r="F509" s="1" t="s">
        <v>31</v>
      </c>
      <c r="G509" s="1" t="s">
        <v>48</v>
      </c>
      <c r="H509">
        <v>2481</v>
      </c>
      <c r="I509">
        <v>2575.83</v>
      </c>
      <c r="J509" s="1" t="s">
        <v>17</v>
      </c>
      <c r="K509" s="1" t="s">
        <v>1093</v>
      </c>
      <c r="L509">
        <v>9</v>
      </c>
      <c r="M509" t="s">
        <v>19</v>
      </c>
    </row>
    <row r="510" spans="1:13" ht="15.75" customHeight="1" x14ac:dyDescent="0.35">
      <c r="A510" s="1" t="s">
        <v>275</v>
      </c>
      <c r="B510" t="s">
        <v>1083</v>
      </c>
      <c r="C510" s="1" t="s">
        <v>378</v>
      </c>
      <c r="D510" s="4">
        <v>44931</v>
      </c>
      <c r="E510" s="1" t="s">
        <v>85</v>
      </c>
      <c r="F510" s="1" t="s">
        <v>53</v>
      </c>
      <c r="G510" s="1" t="s">
        <v>41</v>
      </c>
      <c r="H510">
        <v>2481</v>
      </c>
      <c r="I510">
        <v>2575.83</v>
      </c>
      <c r="J510" s="1" t="s">
        <v>17</v>
      </c>
      <c r="K510" s="1" t="s">
        <v>57</v>
      </c>
      <c r="L510" s="1">
        <v>18</v>
      </c>
      <c r="M510" s="1" t="s">
        <v>19</v>
      </c>
    </row>
    <row r="511" spans="1:13" ht="15.75" customHeight="1" x14ac:dyDescent="0.35">
      <c r="A511" s="1" t="s">
        <v>154</v>
      </c>
      <c r="B511" t="s">
        <v>1083</v>
      </c>
      <c r="C511" s="1" t="s">
        <v>613</v>
      </c>
      <c r="D511" s="4">
        <v>45288</v>
      </c>
      <c r="E511" s="1" t="s">
        <v>16</v>
      </c>
      <c r="F511" s="1" t="s">
        <v>93</v>
      </c>
      <c r="G511" s="1" t="s">
        <v>48</v>
      </c>
      <c r="H511" s="1">
        <v>1492.9</v>
      </c>
      <c r="I511">
        <v>2575.83</v>
      </c>
      <c r="J511" s="1" t="s">
        <v>17</v>
      </c>
      <c r="K511" s="1" t="s">
        <v>18</v>
      </c>
      <c r="L511">
        <v>9</v>
      </c>
      <c r="M511" t="s">
        <v>65</v>
      </c>
    </row>
    <row r="512" spans="1:13" ht="15.75" customHeight="1" x14ac:dyDescent="0.35">
      <c r="A512" s="1" t="s">
        <v>321</v>
      </c>
      <c r="B512" s="1" t="s">
        <v>733</v>
      </c>
      <c r="C512" s="1" t="s">
        <v>509</v>
      </c>
      <c r="D512" s="4">
        <v>45080</v>
      </c>
      <c r="E512" s="1" t="s">
        <v>85</v>
      </c>
      <c r="F512" s="1" t="s">
        <v>93</v>
      </c>
      <c r="G512" s="1" t="s">
        <v>61</v>
      </c>
      <c r="H512" s="1">
        <v>2481</v>
      </c>
      <c r="I512">
        <v>2575.83</v>
      </c>
      <c r="J512" s="1" t="s">
        <v>25</v>
      </c>
      <c r="K512" s="1" t="s">
        <v>1093</v>
      </c>
      <c r="L512">
        <v>9</v>
      </c>
      <c r="M512" t="s">
        <v>19</v>
      </c>
    </row>
    <row r="513" spans="1:13" ht="15.75" customHeight="1" x14ac:dyDescent="0.35">
      <c r="A513" s="1" t="s">
        <v>261</v>
      </c>
      <c r="B513" s="1" t="s">
        <v>735</v>
      </c>
      <c r="C513" t="s">
        <v>1084</v>
      </c>
      <c r="D513" s="4">
        <v>45092</v>
      </c>
      <c r="E513" s="1" t="s">
        <v>85</v>
      </c>
      <c r="F513" s="1" t="s">
        <v>23</v>
      </c>
      <c r="G513" t="s">
        <v>1086</v>
      </c>
      <c r="H513">
        <v>2481</v>
      </c>
      <c r="I513">
        <v>2575.83</v>
      </c>
      <c r="J513" s="1" t="s">
        <v>25</v>
      </c>
      <c r="K513" s="1" t="s">
        <v>32</v>
      </c>
      <c r="L513" s="1">
        <v>57</v>
      </c>
      <c r="M513" s="1" t="s">
        <v>65</v>
      </c>
    </row>
    <row r="514" spans="1:13" ht="15.75" customHeight="1" x14ac:dyDescent="0.35">
      <c r="A514" s="1" t="s">
        <v>187</v>
      </c>
      <c r="B514" s="1" t="s">
        <v>737</v>
      </c>
      <c r="C514" s="1" t="s">
        <v>278</v>
      </c>
      <c r="D514" s="4">
        <v>44979</v>
      </c>
      <c r="E514" s="1" t="s">
        <v>85</v>
      </c>
      <c r="F514" s="1" t="s">
        <v>93</v>
      </c>
      <c r="G514" s="1" t="s">
        <v>48</v>
      </c>
      <c r="H514">
        <v>2481</v>
      </c>
      <c r="I514" s="1">
        <v>4633.63</v>
      </c>
      <c r="J514" s="1" t="s">
        <v>42</v>
      </c>
      <c r="K514" s="1" t="s">
        <v>1093</v>
      </c>
      <c r="L514" s="1">
        <v>11</v>
      </c>
      <c r="M514" s="1" t="s">
        <v>19</v>
      </c>
    </row>
    <row r="515" spans="1:13" ht="15.75" customHeight="1" x14ac:dyDescent="0.35">
      <c r="A515" s="1" t="s">
        <v>163</v>
      </c>
      <c r="B515" t="s">
        <v>1083</v>
      </c>
      <c r="C515" t="s">
        <v>1084</v>
      </c>
      <c r="D515" s="4">
        <v>45003</v>
      </c>
      <c r="E515" s="1" t="s">
        <v>16</v>
      </c>
      <c r="F515" s="1" t="s">
        <v>23</v>
      </c>
      <c r="G515" s="1" t="s">
        <v>24</v>
      </c>
      <c r="H515">
        <v>2481</v>
      </c>
      <c r="I515">
        <v>2575.83</v>
      </c>
      <c r="J515" s="1" t="s">
        <v>25</v>
      </c>
      <c r="K515" s="1" t="s">
        <v>1093</v>
      </c>
      <c r="L515">
        <v>9</v>
      </c>
      <c r="M515" t="s">
        <v>65</v>
      </c>
    </row>
    <row r="516" spans="1:13" ht="15.75" customHeight="1" x14ac:dyDescent="0.35">
      <c r="A516" s="1" t="s">
        <v>38</v>
      </c>
      <c r="B516" t="s">
        <v>1083</v>
      </c>
      <c r="C516" t="s">
        <v>1084</v>
      </c>
      <c r="D516" s="4">
        <v>44932</v>
      </c>
      <c r="E516" s="1" t="s">
        <v>16</v>
      </c>
      <c r="F516" s="1" t="s">
        <v>53</v>
      </c>
      <c r="G516" t="s">
        <v>1086</v>
      </c>
      <c r="H516">
        <v>2481</v>
      </c>
      <c r="I516">
        <v>2575.83</v>
      </c>
      <c r="J516" s="1" t="s">
        <v>17</v>
      </c>
      <c r="K516" s="1" t="s">
        <v>1093</v>
      </c>
      <c r="L516">
        <v>9</v>
      </c>
      <c r="M516" t="s">
        <v>19</v>
      </c>
    </row>
    <row r="517" spans="1:13" ht="15.75" customHeight="1" x14ac:dyDescent="0.35">
      <c r="A517" s="1" t="s">
        <v>179</v>
      </c>
      <c r="B517" s="1" t="s">
        <v>347</v>
      </c>
      <c r="C517" t="s">
        <v>1084</v>
      </c>
      <c r="D517" s="4">
        <v>45286</v>
      </c>
      <c r="E517" s="1" t="s">
        <v>30</v>
      </c>
      <c r="F517" s="1" t="s">
        <v>93</v>
      </c>
      <c r="G517" s="1" t="s">
        <v>61</v>
      </c>
      <c r="H517">
        <v>2481</v>
      </c>
      <c r="I517">
        <v>2575.83</v>
      </c>
      <c r="J517" s="1" t="s">
        <v>25</v>
      </c>
      <c r="K517" s="1" t="s">
        <v>1093</v>
      </c>
      <c r="L517">
        <v>9</v>
      </c>
      <c r="M517" t="s">
        <v>42</v>
      </c>
    </row>
    <row r="518" spans="1:13" ht="15.75" customHeight="1" x14ac:dyDescent="0.35">
      <c r="A518" s="1" t="s">
        <v>117</v>
      </c>
      <c r="B518" t="s">
        <v>1083</v>
      </c>
      <c r="C518" s="1" t="s">
        <v>221</v>
      </c>
      <c r="D518" s="4">
        <v>45033</v>
      </c>
      <c r="E518" s="1" t="s">
        <v>85</v>
      </c>
      <c r="F518" s="1" t="s">
        <v>47</v>
      </c>
      <c r="G518" t="s">
        <v>1086</v>
      </c>
      <c r="H518" s="1">
        <v>2481</v>
      </c>
      <c r="I518" s="1">
        <v>4012.54</v>
      </c>
      <c r="J518" s="1" t="s">
        <v>25</v>
      </c>
      <c r="K518" s="1" t="s">
        <v>18</v>
      </c>
      <c r="L518" s="1">
        <v>36</v>
      </c>
      <c r="M518" s="1" t="s">
        <v>65</v>
      </c>
    </row>
    <row r="519" spans="1:13" ht="15.75" customHeight="1" x14ac:dyDescent="0.35">
      <c r="A519" s="1" t="s">
        <v>96</v>
      </c>
      <c r="B519" t="s">
        <v>1083</v>
      </c>
      <c r="C519" s="1" t="s">
        <v>63</v>
      </c>
      <c r="D519" s="4">
        <v>44990</v>
      </c>
      <c r="E519" s="1" t="s">
        <v>92</v>
      </c>
      <c r="F519" s="1" t="s">
        <v>47</v>
      </c>
      <c r="G519" s="1" t="s">
        <v>24</v>
      </c>
      <c r="H519" s="1">
        <v>2144.1</v>
      </c>
      <c r="I519" s="1">
        <v>1279.27</v>
      </c>
      <c r="J519" s="1" t="s">
        <v>17</v>
      </c>
      <c r="K519" s="1" t="s">
        <v>32</v>
      </c>
      <c r="L519">
        <v>9</v>
      </c>
      <c r="M519" t="s">
        <v>65</v>
      </c>
    </row>
    <row r="520" spans="1:13" ht="15.75" customHeight="1" x14ac:dyDescent="0.35">
      <c r="A520" s="1" t="s">
        <v>277</v>
      </c>
      <c r="B520" t="s">
        <v>1083</v>
      </c>
      <c r="C520" t="s">
        <v>1084</v>
      </c>
      <c r="D520" s="4">
        <v>45237</v>
      </c>
      <c r="E520" s="1" t="s">
        <v>30</v>
      </c>
      <c r="F520" s="1" t="s">
        <v>93</v>
      </c>
      <c r="G520" t="s">
        <v>1086</v>
      </c>
      <c r="H520">
        <v>2481</v>
      </c>
      <c r="I520" s="1">
        <v>231.83</v>
      </c>
      <c r="J520" s="1" t="s">
        <v>42</v>
      </c>
      <c r="K520" s="1" t="s">
        <v>18</v>
      </c>
      <c r="L520">
        <v>9</v>
      </c>
      <c r="M520" t="s">
        <v>42</v>
      </c>
    </row>
    <row r="521" spans="1:13" ht="15.75" customHeight="1" x14ac:dyDescent="0.35">
      <c r="A521" s="1" t="s">
        <v>187</v>
      </c>
      <c r="B521" t="s">
        <v>1083</v>
      </c>
      <c r="C521" s="1" t="s">
        <v>97</v>
      </c>
      <c r="D521" s="4">
        <v>44965</v>
      </c>
      <c r="E521" s="1" t="s">
        <v>92</v>
      </c>
      <c r="F521" s="1" t="s">
        <v>31</v>
      </c>
      <c r="G521" s="1" t="s">
        <v>48</v>
      </c>
      <c r="H521" s="1">
        <v>2481</v>
      </c>
      <c r="I521">
        <v>2575.83</v>
      </c>
      <c r="J521" s="1" t="s">
        <v>25</v>
      </c>
      <c r="K521" s="1" t="s">
        <v>18</v>
      </c>
      <c r="L521" s="1">
        <v>34</v>
      </c>
      <c r="M521" s="1" t="s">
        <v>19</v>
      </c>
    </row>
    <row r="522" spans="1:13" ht="15.75" customHeight="1" x14ac:dyDescent="0.35">
      <c r="A522" s="1" t="s">
        <v>13</v>
      </c>
      <c r="B522" t="s">
        <v>1083</v>
      </c>
      <c r="C522" s="1" t="s">
        <v>308</v>
      </c>
      <c r="D522" s="4">
        <v>45215</v>
      </c>
      <c r="E522" s="1" t="s">
        <v>16</v>
      </c>
      <c r="F522" s="1" t="s">
        <v>47</v>
      </c>
      <c r="G522" s="1" t="s">
        <v>54</v>
      </c>
      <c r="H522">
        <v>2481</v>
      </c>
      <c r="I522">
        <v>2575.83</v>
      </c>
      <c r="J522" s="1" t="s">
        <v>25</v>
      </c>
      <c r="K522" s="1" t="s">
        <v>26</v>
      </c>
      <c r="L522" s="1">
        <v>38</v>
      </c>
      <c r="M522" s="1" t="s">
        <v>19</v>
      </c>
    </row>
    <row r="523" spans="1:13" ht="15.75" customHeight="1" x14ac:dyDescent="0.35">
      <c r="A523" s="1" t="s">
        <v>38</v>
      </c>
      <c r="B523" t="s">
        <v>1083</v>
      </c>
      <c r="C523" t="s">
        <v>1084</v>
      </c>
      <c r="D523" s="4">
        <v>44960</v>
      </c>
      <c r="E523" s="1" t="s">
        <v>92</v>
      </c>
      <c r="F523" s="1" t="s">
        <v>31</v>
      </c>
      <c r="G523" s="1" t="s">
        <v>41</v>
      </c>
      <c r="H523">
        <v>2481</v>
      </c>
      <c r="I523">
        <v>2575.83</v>
      </c>
      <c r="J523" s="1" t="s">
        <v>17</v>
      </c>
      <c r="K523" s="1" t="s">
        <v>1093</v>
      </c>
      <c r="L523" s="1">
        <v>60</v>
      </c>
      <c r="M523" s="1" t="s">
        <v>19</v>
      </c>
    </row>
    <row r="524" spans="1:13" ht="15.75" customHeight="1" x14ac:dyDescent="0.35">
      <c r="A524" s="1" t="s">
        <v>102</v>
      </c>
      <c r="B524" t="s">
        <v>1083</v>
      </c>
      <c r="C524" t="s">
        <v>1084</v>
      </c>
      <c r="D524" s="4">
        <v>45105</v>
      </c>
      <c r="E524" s="1" t="s">
        <v>30</v>
      </c>
      <c r="F524" s="1" t="s">
        <v>31</v>
      </c>
      <c r="G524" s="1" t="s">
        <v>54</v>
      </c>
      <c r="H524" s="1">
        <v>1391.72</v>
      </c>
      <c r="I524">
        <v>2575.83</v>
      </c>
      <c r="J524" s="1" t="s">
        <v>17</v>
      </c>
      <c r="K524" s="1" t="s">
        <v>32</v>
      </c>
      <c r="L524">
        <v>9</v>
      </c>
      <c r="M524" t="s">
        <v>42</v>
      </c>
    </row>
    <row r="525" spans="1:13" ht="15.75" customHeight="1" x14ac:dyDescent="0.35">
      <c r="A525" s="1" t="s">
        <v>20</v>
      </c>
      <c r="B525" t="s">
        <v>1083</v>
      </c>
      <c r="C525" s="1" t="s">
        <v>642</v>
      </c>
      <c r="D525" s="4">
        <v>45278</v>
      </c>
      <c r="E525" s="1" t="s">
        <v>16</v>
      </c>
      <c r="F525" s="1" t="s">
        <v>93</v>
      </c>
      <c r="G525" t="s">
        <v>1086</v>
      </c>
      <c r="H525">
        <v>2481</v>
      </c>
      <c r="I525">
        <v>2575.83</v>
      </c>
      <c r="J525" s="1" t="s">
        <v>42</v>
      </c>
      <c r="K525" s="1" t="s">
        <v>18</v>
      </c>
      <c r="L525">
        <v>9</v>
      </c>
      <c r="M525" t="s">
        <v>65</v>
      </c>
    </row>
    <row r="526" spans="1:13" ht="15.75" customHeight="1" x14ac:dyDescent="0.35">
      <c r="A526" s="1" t="s">
        <v>137</v>
      </c>
      <c r="B526" s="1" t="s">
        <v>44</v>
      </c>
      <c r="C526" t="s">
        <v>1084</v>
      </c>
      <c r="D526" s="4">
        <v>45184</v>
      </c>
      <c r="E526" s="1" t="s">
        <v>77</v>
      </c>
      <c r="F526" s="1" t="s">
        <v>47</v>
      </c>
      <c r="G526" t="s">
        <v>1086</v>
      </c>
      <c r="H526">
        <v>2481</v>
      </c>
      <c r="I526" s="1">
        <v>3196.39</v>
      </c>
      <c r="J526" s="1" t="s">
        <v>42</v>
      </c>
      <c r="K526" s="1" t="s">
        <v>1093</v>
      </c>
      <c r="L526">
        <v>9</v>
      </c>
      <c r="M526" t="s">
        <v>19</v>
      </c>
    </row>
    <row r="527" spans="1:13" ht="15.75" customHeight="1" x14ac:dyDescent="0.35">
      <c r="A527" s="1" t="s">
        <v>13</v>
      </c>
      <c r="B527" s="1" t="s">
        <v>745</v>
      </c>
      <c r="C527" s="1" t="s">
        <v>183</v>
      </c>
      <c r="D527" s="4">
        <v>44974</v>
      </c>
      <c r="E527" s="1" t="s">
        <v>16</v>
      </c>
      <c r="F527" t="s">
        <v>1085</v>
      </c>
      <c r="G527" s="1" t="s">
        <v>41</v>
      </c>
      <c r="H527" s="1">
        <v>2793.09</v>
      </c>
      <c r="I527">
        <v>2575.83</v>
      </c>
      <c r="J527" s="1" t="s">
        <v>17</v>
      </c>
      <c r="K527" s="1" t="s">
        <v>18</v>
      </c>
      <c r="L527">
        <v>9</v>
      </c>
      <c r="M527" t="s">
        <v>42</v>
      </c>
    </row>
    <row r="528" spans="1:13" ht="15.75" customHeight="1" x14ac:dyDescent="0.35">
      <c r="A528" s="1" t="s">
        <v>275</v>
      </c>
      <c r="B528" t="s">
        <v>1083</v>
      </c>
      <c r="C528" s="1" t="s">
        <v>592</v>
      </c>
      <c r="D528" s="4">
        <v>45134</v>
      </c>
      <c r="E528" s="1" t="s">
        <v>85</v>
      </c>
      <c r="F528" t="s">
        <v>1085</v>
      </c>
      <c r="G528" s="1" t="s">
        <v>61</v>
      </c>
      <c r="H528">
        <v>2481</v>
      </c>
      <c r="I528">
        <v>2575.83</v>
      </c>
      <c r="J528" s="1" t="s">
        <v>17</v>
      </c>
      <c r="K528" s="1" t="s">
        <v>57</v>
      </c>
      <c r="L528">
        <v>9</v>
      </c>
      <c r="M528" t="s">
        <v>65</v>
      </c>
    </row>
    <row r="529" spans="1:13" ht="15.75" customHeight="1" x14ac:dyDescent="0.35">
      <c r="A529" s="1" t="s">
        <v>132</v>
      </c>
      <c r="B529" t="s">
        <v>1083</v>
      </c>
      <c r="C529" s="1" t="s">
        <v>581</v>
      </c>
      <c r="D529" s="4">
        <v>44995</v>
      </c>
      <c r="E529" s="1" t="s">
        <v>92</v>
      </c>
      <c r="F529" s="1" t="s">
        <v>23</v>
      </c>
      <c r="G529" s="1" t="s">
        <v>48</v>
      </c>
      <c r="H529">
        <v>2481</v>
      </c>
      <c r="I529">
        <v>2575.83</v>
      </c>
      <c r="J529" s="1" t="s">
        <v>17</v>
      </c>
      <c r="K529" s="1" t="s">
        <v>57</v>
      </c>
      <c r="L529" s="1">
        <v>54</v>
      </c>
      <c r="M529" s="1" t="s">
        <v>19</v>
      </c>
    </row>
    <row r="530" spans="1:13" ht="15.75" customHeight="1" x14ac:dyDescent="0.35">
      <c r="A530" s="1" t="s">
        <v>192</v>
      </c>
      <c r="B530" t="s">
        <v>1083</v>
      </c>
      <c r="C530" s="1" t="s">
        <v>45</v>
      </c>
      <c r="D530" s="4">
        <v>45250</v>
      </c>
      <c r="E530" s="1" t="s">
        <v>85</v>
      </c>
      <c r="F530" s="1" t="s">
        <v>31</v>
      </c>
      <c r="G530" t="s">
        <v>1086</v>
      </c>
      <c r="H530" s="1">
        <v>2481</v>
      </c>
      <c r="I530">
        <v>2575.83</v>
      </c>
      <c r="J530" s="1" t="s">
        <v>25</v>
      </c>
      <c r="K530" s="1" t="s">
        <v>32</v>
      </c>
      <c r="L530">
        <v>9</v>
      </c>
      <c r="M530" t="s">
        <v>65</v>
      </c>
    </row>
    <row r="531" spans="1:13" ht="15.75" customHeight="1" x14ac:dyDescent="0.35">
      <c r="A531" s="1" t="s">
        <v>114</v>
      </c>
      <c r="B531" t="s">
        <v>1083</v>
      </c>
      <c r="C531" s="1" t="s">
        <v>479</v>
      </c>
      <c r="D531" s="4">
        <v>45022</v>
      </c>
      <c r="E531" s="1" t="s">
        <v>16</v>
      </c>
      <c r="F531" s="1" t="s">
        <v>23</v>
      </c>
      <c r="G531" s="1" t="s">
        <v>48</v>
      </c>
      <c r="H531">
        <v>2481</v>
      </c>
      <c r="I531">
        <v>2575.83</v>
      </c>
      <c r="J531" s="1" t="s">
        <v>25</v>
      </c>
      <c r="K531" s="1" t="s">
        <v>18</v>
      </c>
      <c r="L531">
        <v>9</v>
      </c>
      <c r="M531" t="s">
        <v>19</v>
      </c>
    </row>
    <row r="532" spans="1:13" ht="15.75" customHeight="1" x14ac:dyDescent="0.35">
      <c r="A532" s="1" t="s">
        <v>198</v>
      </c>
      <c r="B532" t="s">
        <v>1083</v>
      </c>
      <c r="C532" t="s">
        <v>1084</v>
      </c>
      <c r="D532" s="4">
        <v>45020</v>
      </c>
      <c r="E532" s="1" t="s">
        <v>85</v>
      </c>
      <c r="F532" s="1" t="s">
        <v>31</v>
      </c>
      <c r="G532" s="1" t="s">
        <v>61</v>
      </c>
      <c r="H532" s="1">
        <v>2481</v>
      </c>
      <c r="I532">
        <v>2575.83</v>
      </c>
      <c r="J532" s="1" t="s">
        <v>25</v>
      </c>
      <c r="K532" s="1" t="s">
        <v>26</v>
      </c>
      <c r="L532">
        <v>9</v>
      </c>
      <c r="M532" t="s">
        <v>65</v>
      </c>
    </row>
    <row r="533" spans="1:13" ht="15.75" customHeight="1" x14ac:dyDescent="0.35">
      <c r="A533" s="1" t="s">
        <v>55</v>
      </c>
      <c r="B533" t="s">
        <v>1083</v>
      </c>
      <c r="C533" s="1" t="s">
        <v>238</v>
      </c>
      <c r="D533" s="4">
        <v>45129</v>
      </c>
      <c r="E533" s="1" t="s">
        <v>85</v>
      </c>
      <c r="F533" t="s">
        <v>1085</v>
      </c>
      <c r="G533" s="1" t="s">
        <v>24</v>
      </c>
      <c r="H533">
        <v>2481</v>
      </c>
      <c r="I533">
        <v>2575.83</v>
      </c>
      <c r="J533" s="1" t="s">
        <v>17</v>
      </c>
      <c r="K533" s="1" t="s">
        <v>1093</v>
      </c>
      <c r="L533">
        <v>9</v>
      </c>
      <c r="M533" t="s">
        <v>65</v>
      </c>
    </row>
    <row r="534" spans="1:13" ht="15.75" customHeight="1" x14ac:dyDescent="0.35">
      <c r="A534" s="1" t="s">
        <v>58</v>
      </c>
      <c r="B534" t="s">
        <v>1083</v>
      </c>
      <c r="C534" t="s">
        <v>1084</v>
      </c>
      <c r="D534" s="4">
        <v>44994</v>
      </c>
      <c r="E534" s="1" t="s">
        <v>85</v>
      </c>
      <c r="F534" s="1" t="s">
        <v>93</v>
      </c>
      <c r="G534" s="1" t="s">
        <v>41</v>
      </c>
      <c r="H534">
        <v>2481</v>
      </c>
      <c r="I534">
        <v>2575.83</v>
      </c>
      <c r="J534" s="1" t="s">
        <v>25</v>
      </c>
      <c r="K534" s="1" t="s">
        <v>57</v>
      </c>
      <c r="L534" s="1">
        <v>47</v>
      </c>
      <c r="M534" s="1" t="s">
        <v>65</v>
      </c>
    </row>
    <row r="535" spans="1:13" ht="15.75" customHeight="1" x14ac:dyDescent="0.35">
      <c r="A535" s="1" t="s">
        <v>285</v>
      </c>
      <c r="B535" t="s">
        <v>1083</v>
      </c>
      <c r="C535" s="1" t="s">
        <v>486</v>
      </c>
      <c r="D535" s="4">
        <v>45146</v>
      </c>
      <c r="E535" s="1" t="s">
        <v>16</v>
      </c>
      <c r="F535" s="1" t="s">
        <v>47</v>
      </c>
      <c r="G535" s="1" t="s">
        <v>24</v>
      </c>
      <c r="H535">
        <v>2481</v>
      </c>
      <c r="I535" s="1">
        <v>4971.57</v>
      </c>
      <c r="J535" s="1" t="s">
        <v>25</v>
      </c>
      <c r="K535" s="1" t="s">
        <v>18</v>
      </c>
      <c r="L535">
        <v>9</v>
      </c>
      <c r="M535" t="s">
        <v>19</v>
      </c>
    </row>
    <row r="536" spans="1:13" ht="15.75" customHeight="1" x14ac:dyDescent="0.35">
      <c r="A536" s="1" t="s">
        <v>321</v>
      </c>
      <c r="B536" t="s">
        <v>1083</v>
      </c>
      <c r="C536" s="1" t="s">
        <v>263</v>
      </c>
      <c r="D536" s="4">
        <v>45249</v>
      </c>
      <c r="E536" s="1" t="s">
        <v>85</v>
      </c>
      <c r="F536" s="1" t="s">
        <v>93</v>
      </c>
      <c r="G536" s="1" t="s">
        <v>61</v>
      </c>
      <c r="H536">
        <v>2481</v>
      </c>
      <c r="I536" s="1">
        <v>4952.47</v>
      </c>
      <c r="J536" s="1" t="s">
        <v>25</v>
      </c>
      <c r="K536" s="1" t="s">
        <v>26</v>
      </c>
      <c r="L536" s="1">
        <v>39</v>
      </c>
      <c r="M536" s="1" t="s">
        <v>19</v>
      </c>
    </row>
    <row r="537" spans="1:13" ht="15.75" customHeight="1" x14ac:dyDescent="0.35">
      <c r="A537" s="1" t="s">
        <v>82</v>
      </c>
      <c r="B537" t="s">
        <v>1083</v>
      </c>
      <c r="C537" t="s">
        <v>1084</v>
      </c>
      <c r="D537" s="4">
        <v>45285</v>
      </c>
      <c r="E537" s="1" t="s">
        <v>92</v>
      </c>
      <c r="F537" s="1" t="s">
        <v>53</v>
      </c>
      <c r="G537" s="1" t="s">
        <v>48</v>
      </c>
      <c r="H537" s="1">
        <v>353.68</v>
      </c>
      <c r="I537">
        <v>2575.83</v>
      </c>
      <c r="J537" s="1" t="s">
        <v>42</v>
      </c>
      <c r="K537" s="1" t="s">
        <v>32</v>
      </c>
      <c r="L537">
        <v>9</v>
      </c>
      <c r="M537" t="s">
        <v>65</v>
      </c>
    </row>
    <row r="538" spans="1:13" ht="15.75" customHeight="1" x14ac:dyDescent="0.35">
      <c r="A538" s="1" t="s">
        <v>170</v>
      </c>
      <c r="B538" s="1" t="s">
        <v>299</v>
      </c>
      <c r="C538" s="1" t="s">
        <v>200</v>
      </c>
      <c r="D538" s="4">
        <v>45265</v>
      </c>
      <c r="E538" s="1" t="s">
        <v>92</v>
      </c>
      <c r="F538" s="1" t="s">
        <v>93</v>
      </c>
      <c r="G538" s="1" t="s">
        <v>41</v>
      </c>
      <c r="H538" s="1">
        <v>2386.69</v>
      </c>
      <c r="I538">
        <v>2575.83</v>
      </c>
      <c r="J538" s="1" t="s">
        <v>25</v>
      </c>
      <c r="K538" s="1" t="s">
        <v>32</v>
      </c>
      <c r="L538">
        <v>9</v>
      </c>
      <c r="M538" t="s">
        <v>19</v>
      </c>
    </row>
    <row r="539" spans="1:13" ht="15.75" customHeight="1" x14ac:dyDescent="0.35">
      <c r="A539" s="1" t="s">
        <v>108</v>
      </c>
      <c r="B539" s="1" t="s">
        <v>462</v>
      </c>
      <c r="C539" s="1" t="s">
        <v>135</v>
      </c>
      <c r="D539" s="4">
        <v>45112</v>
      </c>
      <c r="E539" s="1" t="s">
        <v>85</v>
      </c>
      <c r="F539" s="1" t="s">
        <v>47</v>
      </c>
      <c r="G539" s="1" t="s">
        <v>54</v>
      </c>
      <c r="H539">
        <v>2481</v>
      </c>
      <c r="I539">
        <v>2575.83</v>
      </c>
      <c r="J539" s="1" t="s">
        <v>25</v>
      </c>
      <c r="K539" s="1" t="s">
        <v>26</v>
      </c>
      <c r="L539">
        <v>9</v>
      </c>
      <c r="M539" t="s">
        <v>42</v>
      </c>
    </row>
    <row r="540" spans="1:13" ht="15.75" customHeight="1" x14ac:dyDescent="0.35">
      <c r="A540" s="1" t="s">
        <v>55</v>
      </c>
      <c r="B540" t="s">
        <v>1083</v>
      </c>
      <c r="C540" s="1" t="s">
        <v>130</v>
      </c>
      <c r="D540" s="4">
        <v>45025</v>
      </c>
      <c r="E540" s="1" t="s">
        <v>16</v>
      </c>
      <c r="F540" s="1" t="s">
        <v>47</v>
      </c>
      <c r="G540" s="1" t="s">
        <v>54</v>
      </c>
      <c r="H540" s="1">
        <v>2481</v>
      </c>
      <c r="I540" s="1">
        <v>4948.74</v>
      </c>
      <c r="J540" s="1" t="s">
        <v>17</v>
      </c>
      <c r="K540" s="1" t="s">
        <v>18</v>
      </c>
      <c r="L540" s="1">
        <v>2</v>
      </c>
      <c r="M540" s="1" t="s">
        <v>65</v>
      </c>
    </row>
    <row r="541" spans="1:13" ht="15.75" customHeight="1" x14ac:dyDescent="0.35">
      <c r="A541" s="1" t="s">
        <v>70</v>
      </c>
      <c r="B541" t="s">
        <v>1083</v>
      </c>
      <c r="C541" t="s">
        <v>1084</v>
      </c>
      <c r="D541" s="4">
        <v>45249</v>
      </c>
      <c r="E541" s="1" t="s">
        <v>16</v>
      </c>
      <c r="F541" s="1" t="s">
        <v>53</v>
      </c>
      <c r="G541" s="1" t="s">
        <v>61</v>
      </c>
      <c r="H541" s="1">
        <v>2439.96</v>
      </c>
      <c r="I541">
        <v>2575.83</v>
      </c>
      <c r="J541" s="1" t="s">
        <v>17</v>
      </c>
      <c r="K541" s="1" t="s">
        <v>32</v>
      </c>
      <c r="L541">
        <v>9</v>
      </c>
      <c r="M541" t="s">
        <v>19</v>
      </c>
    </row>
    <row r="542" spans="1:13" ht="15.75" customHeight="1" x14ac:dyDescent="0.35">
      <c r="A542" s="1" t="s">
        <v>179</v>
      </c>
      <c r="B542" s="1" t="s">
        <v>753</v>
      </c>
      <c r="C542" t="s">
        <v>1084</v>
      </c>
      <c r="D542" s="4">
        <v>45199</v>
      </c>
      <c r="E542" s="1" t="s">
        <v>16</v>
      </c>
      <c r="F542" s="1" t="s">
        <v>93</v>
      </c>
      <c r="G542" s="1" t="s">
        <v>48</v>
      </c>
      <c r="H542" s="1">
        <v>2481</v>
      </c>
      <c r="I542">
        <v>2575.83</v>
      </c>
      <c r="J542" s="1" t="s">
        <v>17</v>
      </c>
      <c r="K542" s="1" t="s">
        <v>18</v>
      </c>
      <c r="L542" s="1">
        <v>9</v>
      </c>
      <c r="M542" s="1" t="s">
        <v>42</v>
      </c>
    </row>
    <row r="543" spans="1:13" ht="15.75" customHeight="1" x14ac:dyDescent="0.35">
      <c r="A543" s="1" t="s">
        <v>187</v>
      </c>
      <c r="B543" t="s">
        <v>1083</v>
      </c>
      <c r="C543" t="s">
        <v>1084</v>
      </c>
      <c r="D543" s="4">
        <v>45289</v>
      </c>
      <c r="E543" s="1" t="s">
        <v>92</v>
      </c>
      <c r="F543" s="1" t="s">
        <v>93</v>
      </c>
      <c r="G543" s="1" t="s">
        <v>41</v>
      </c>
      <c r="H543" s="1">
        <v>3555.86</v>
      </c>
      <c r="I543" s="1">
        <v>896.99</v>
      </c>
      <c r="J543" s="1" t="s">
        <v>17</v>
      </c>
      <c r="K543" s="1" t="s">
        <v>18</v>
      </c>
      <c r="L543" s="1">
        <v>18</v>
      </c>
      <c r="M543" s="1" t="s">
        <v>65</v>
      </c>
    </row>
    <row r="544" spans="1:13" ht="15.75" customHeight="1" x14ac:dyDescent="0.35">
      <c r="A544" s="1" t="s">
        <v>38</v>
      </c>
      <c r="B544" t="s">
        <v>1083</v>
      </c>
      <c r="C544" s="1" t="s">
        <v>416</v>
      </c>
      <c r="D544" s="4">
        <v>45034</v>
      </c>
      <c r="E544" s="1" t="s">
        <v>16</v>
      </c>
      <c r="F544" s="1" t="s">
        <v>31</v>
      </c>
      <c r="G544" t="s">
        <v>1086</v>
      </c>
      <c r="H544">
        <v>2481</v>
      </c>
      <c r="I544">
        <v>2575.83</v>
      </c>
      <c r="J544" s="1" t="s">
        <v>17</v>
      </c>
      <c r="K544" s="1" t="s">
        <v>32</v>
      </c>
      <c r="L544" s="1">
        <v>46</v>
      </c>
      <c r="M544" s="1" t="s">
        <v>65</v>
      </c>
    </row>
    <row r="545" spans="1:13" ht="15.75" customHeight="1" x14ac:dyDescent="0.35">
      <c r="A545" s="1" t="s">
        <v>110</v>
      </c>
      <c r="B545" t="s">
        <v>1083</v>
      </c>
      <c r="C545" s="1" t="s">
        <v>83</v>
      </c>
      <c r="D545" s="4">
        <v>45109</v>
      </c>
      <c r="E545" s="1" t="s">
        <v>92</v>
      </c>
      <c r="F545" s="1" t="s">
        <v>23</v>
      </c>
      <c r="G545" s="1" t="s">
        <v>54</v>
      </c>
      <c r="H545" s="1">
        <v>3303.72</v>
      </c>
      <c r="I545">
        <v>2575.83</v>
      </c>
      <c r="J545" s="1" t="s">
        <v>25</v>
      </c>
      <c r="K545" s="1" t="s">
        <v>32</v>
      </c>
      <c r="L545">
        <v>9</v>
      </c>
      <c r="M545" t="s">
        <v>42</v>
      </c>
    </row>
    <row r="546" spans="1:13" ht="15.75" customHeight="1" x14ac:dyDescent="0.35">
      <c r="A546" s="1" t="s">
        <v>20</v>
      </c>
      <c r="B546" t="s">
        <v>1083</v>
      </c>
      <c r="C546" t="s">
        <v>1084</v>
      </c>
      <c r="D546" s="4">
        <v>45224</v>
      </c>
      <c r="E546" s="1" t="s">
        <v>85</v>
      </c>
      <c r="F546" s="1" t="s">
        <v>53</v>
      </c>
      <c r="G546" s="1" t="s">
        <v>24</v>
      </c>
      <c r="H546" s="1">
        <v>2481</v>
      </c>
      <c r="I546">
        <v>2575.83</v>
      </c>
      <c r="J546" s="1" t="s">
        <v>25</v>
      </c>
      <c r="K546" s="1" t="s">
        <v>1093</v>
      </c>
      <c r="L546">
        <v>9</v>
      </c>
      <c r="M546" t="s">
        <v>65</v>
      </c>
    </row>
    <row r="547" spans="1:13" ht="15.75" customHeight="1" x14ac:dyDescent="0.35">
      <c r="A547" s="1" t="s">
        <v>102</v>
      </c>
      <c r="B547" t="s">
        <v>1083</v>
      </c>
      <c r="C547" s="1" t="s">
        <v>486</v>
      </c>
      <c r="D547" s="4">
        <v>45071</v>
      </c>
      <c r="E547" s="1" t="s">
        <v>85</v>
      </c>
      <c r="F547" s="1" t="s">
        <v>93</v>
      </c>
      <c r="G547" s="1" t="s">
        <v>48</v>
      </c>
      <c r="H547" s="1">
        <v>3452.47</v>
      </c>
      <c r="I547">
        <v>2575.83</v>
      </c>
      <c r="J547" s="1" t="s">
        <v>17</v>
      </c>
      <c r="K547" s="1" t="s">
        <v>1093</v>
      </c>
      <c r="L547">
        <v>9</v>
      </c>
      <c r="M547" t="s">
        <v>65</v>
      </c>
    </row>
    <row r="548" spans="1:13" ht="15.75" customHeight="1" x14ac:dyDescent="0.35">
      <c r="A548" s="1" t="s">
        <v>108</v>
      </c>
      <c r="B548" t="s">
        <v>1083</v>
      </c>
      <c r="C548" s="1" t="s">
        <v>422</v>
      </c>
      <c r="D548" s="4">
        <v>44978</v>
      </c>
      <c r="E548" s="1" t="s">
        <v>16</v>
      </c>
      <c r="F548" s="1" t="s">
        <v>23</v>
      </c>
      <c r="G548" s="1" t="s">
        <v>61</v>
      </c>
      <c r="H548" s="1">
        <v>3829.06</v>
      </c>
      <c r="I548" s="1">
        <v>704.29</v>
      </c>
      <c r="J548" s="1" t="s">
        <v>42</v>
      </c>
      <c r="K548" s="1" t="s">
        <v>18</v>
      </c>
      <c r="L548">
        <v>9</v>
      </c>
      <c r="M548" t="s">
        <v>42</v>
      </c>
    </row>
    <row r="549" spans="1:13" ht="15.75" customHeight="1" x14ac:dyDescent="0.35">
      <c r="A549" s="1" t="s">
        <v>89</v>
      </c>
      <c r="B549" s="1" t="s">
        <v>758</v>
      </c>
      <c r="C549" t="s">
        <v>1084</v>
      </c>
      <c r="D549" s="4">
        <v>45289</v>
      </c>
      <c r="E549" s="1" t="s">
        <v>77</v>
      </c>
      <c r="F549" s="1" t="s">
        <v>47</v>
      </c>
      <c r="G549" s="1" t="s">
        <v>48</v>
      </c>
      <c r="H549">
        <v>2481</v>
      </c>
      <c r="I549" s="1">
        <v>2420.6</v>
      </c>
      <c r="J549" s="1" t="s">
        <v>25</v>
      </c>
      <c r="K549" s="1" t="s">
        <v>57</v>
      </c>
      <c r="L549">
        <v>9</v>
      </c>
      <c r="M549" t="s">
        <v>42</v>
      </c>
    </row>
    <row r="550" spans="1:13" ht="15.75" customHeight="1" x14ac:dyDescent="0.35">
      <c r="A550" s="1" t="s">
        <v>55</v>
      </c>
      <c r="B550" s="1" t="s">
        <v>760</v>
      </c>
      <c r="C550" t="s">
        <v>1084</v>
      </c>
      <c r="D550" s="4">
        <v>44979</v>
      </c>
      <c r="E550" s="1" t="s">
        <v>16</v>
      </c>
      <c r="F550" s="1" t="s">
        <v>93</v>
      </c>
      <c r="G550" s="1" t="s">
        <v>61</v>
      </c>
      <c r="H550">
        <v>2481</v>
      </c>
      <c r="I550">
        <v>2575.83</v>
      </c>
      <c r="J550" s="1" t="s">
        <v>17</v>
      </c>
      <c r="K550" s="1" t="s">
        <v>1093</v>
      </c>
      <c r="L550">
        <v>9</v>
      </c>
      <c r="M550" t="s">
        <v>19</v>
      </c>
    </row>
    <row r="551" spans="1:13" ht="15.75" customHeight="1" x14ac:dyDescent="0.35">
      <c r="A551" s="1" t="s">
        <v>117</v>
      </c>
      <c r="B551" s="1" t="s">
        <v>761</v>
      </c>
      <c r="C551" s="1" t="s">
        <v>581</v>
      </c>
      <c r="D551" s="4">
        <v>44966</v>
      </c>
      <c r="E551" s="1" t="s">
        <v>92</v>
      </c>
      <c r="F551" s="1" t="s">
        <v>23</v>
      </c>
      <c r="G551" s="1" t="s">
        <v>41</v>
      </c>
      <c r="H551" s="1">
        <v>4620.43</v>
      </c>
      <c r="I551" s="1">
        <v>3042.31</v>
      </c>
      <c r="J551" s="1" t="s">
        <v>25</v>
      </c>
      <c r="K551" s="1" t="s">
        <v>57</v>
      </c>
      <c r="L551">
        <v>9</v>
      </c>
      <c r="M551" t="s">
        <v>65</v>
      </c>
    </row>
    <row r="552" spans="1:13" ht="15.75" customHeight="1" x14ac:dyDescent="0.35">
      <c r="A552" s="1" t="s">
        <v>275</v>
      </c>
      <c r="B552" s="1" t="s">
        <v>763</v>
      </c>
      <c r="C552" t="s">
        <v>1084</v>
      </c>
      <c r="D552" s="4">
        <v>45246</v>
      </c>
      <c r="E552" s="1" t="s">
        <v>92</v>
      </c>
      <c r="F552" s="1" t="s">
        <v>53</v>
      </c>
      <c r="G552" t="s">
        <v>1086</v>
      </c>
      <c r="H552" s="1">
        <v>1877.11</v>
      </c>
      <c r="I552" s="1">
        <v>3954.84</v>
      </c>
      <c r="J552" s="1" t="s">
        <v>17</v>
      </c>
      <c r="K552" s="1" t="s">
        <v>32</v>
      </c>
      <c r="L552">
        <v>9</v>
      </c>
      <c r="M552" t="s">
        <v>65</v>
      </c>
    </row>
    <row r="553" spans="1:13" ht="15.75" customHeight="1" x14ac:dyDescent="0.35">
      <c r="A553" s="1" t="s">
        <v>168</v>
      </c>
      <c r="B553" s="1" t="s">
        <v>765</v>
      </c>
      <c r="C553" t="s">
        <v>1084</v>
      </c>
      <c r="D553" s="4">
        <v>45001</v>
      </c>
      <c r="E553" s="1" t="s">
        <v>85</v>
      </c>
      <c r="F553" s="1" t="s">
        <v>93</v>
      </c>
      <c r="G553" s="1" t="s">
        <v>48</v>
      </c>
      <c r="H553" s="1">
        <v>2481</v>
      </c>
      <c r="I553">
        <v>2575.83</v>
      </c>
      <c r="J553" s="1" t="s">
        <v>17</v>
      </c>
      <c r="K553" s="1" t="s">
        <v>32</v>
      </c>
      <c r="L553">
        <v>9</v>
      </c>
      <c r="M553" t="s">
        <v>65</v>
      </c>
    </row>
    <row r="554" spans="1:13" ht="15.75" customHeight="1" x14ac:dyDescent="0.35">
      <c r="A554" s="1" t="s">
        <v>33</v>
      </c>
      <c r="B554" t="s">
        <v>1083</v>
      </c>
      <c r="C554" t="s">
        <v>1084</v>
      </c>
      <c r="D554" s="4">
        <v>45201</v>
      </c>
      <c r="E554" s="1" t="s">
        <v>16</v>
      </c>
      <c r="F554" s="1" t="s">
        <v>47</v>
      </c>
      <c r="G554" t="s">
        <v>1086</v>
      </c>
      <c r="H554">
        <v>2481</v>
      </c>
      <c r="I554" s="1">
        <v>3530.31</v>
      </c>
      <c r="J554" s="1" t="s">
        <v>42</v>
      </c>
      <c r="K554" s="1" t="s">
        <v>26</v>
      </c>
      <c r="L554" s="1">
        <v>13</v>
      </c>
      <c r="M554" s="1" t="s">
        <v>19</v>
      </c>
    </row>
    <row r="555" spans="1:13" ht="15.75" customHeight="1" x14ac:dyDescent="0.35">
      <c r="A555" s="1" t="s">
        <v>20</v>
      </c>
      <c r="B555" s="1" t="s">
        <v>767</v>
      </c>
      <c r="C555" s="1" t="s">
        <v>425</v>
      </c>
      <c r="D555" s="4">
        <v>45111</v>
      </c>
      <c r="E555" s="1" t="s">
        <v>77</v>
      </c>
      <c r="F555" s="1" t="s">
        <v>93</v>
      </c>
      <c r="G555" s="1" t="s">
        <v>54</v>
      </c>
      <c r="H555">
        <v>2481</v>
      </c>
      <c r="I555" s="1">
        <v>1093.1500000000001</v>
      </c>
      <c r="J555" s="1" t="s">
        <v>25</v>
      </c>
      <c r="K555" s="1" t="s">
        <v>18</v>
      </c>
      <c r="L555">
        <v>9</v>
      </c>
      <c r="M555" t="s">
        <v>65</v>
      </c>
    </row>
    <row r="556" spans="1:13" ht="15.75" customHeight="1" x14ac:dyDescent="0.35">
      <c r="A556" s="1" t="s">
        <v>33</v>
      </c>
      <c r="B556" s="1" t="s">
        <v>769</v>
      </c>
      <c r="C556" t="s">
        <v>1084</v>
      </c>
      <c r="D556" s="4">
        <v>45117</v>
      </c>
      <c r="E556" s="1" t="s">
        <v>16</v>
      </c>
      <c r="F556" s="1" t="s">
        <v>47</v>
      </c>
      <c r="G556" s="1" t="s">
        <v>61</v>
      </c>
      <c r="H556">
        <v>2481</v>
      </c>
      <c r="I556">
        <v>2575.83</v>
      </c>
      <c r="J556" s="1" t="s">
        <v>17</v>
      </c>
      <c r="K556" s="1" t="s">
        <v>26</v>
      </c>
      <c r="L556" s="1">
        <v>15</v>
      </c>
      <c r="M556" s="1" t="s">
        <v>19</v>
      </c>
    </row>
    <row r="557" spans="1:13" ht="15.75" customHeight="1" x14ac:dyDescent="0.35">
      <c r="A557" s="1" t="s">
        <v>209</v>
      </c>
      <c r="B557" s="1" t="s">
        <v>771</v>
      </c>
      <c r="C557" s="1" t="s">
        <v>245</v>
      </c>
      <c r="D557" s="4">
        <v>45197</v>
      </c>
      <c r="E557" s="1" t="s">
        <v>92</v>
      </c>
      <c r="F557" s="1" t="s">
        <v>53</v>
      </c>
      <c r="G557" s="1" t="s">
        <v>48</v>
      </c>
      <c r="H557" s="1">
        <v>3626.66</v>
      </c>
      <c r="I557" s="1">
        <v>1469.51</v>
      </c>
      <c r="J557" s="1" t="s">
        <v>25</v>
      </c>
      <c r="K557" s="1" t="s">
        <v>26</v>
      </c>
      <c r="L557" s="1">
        <v>38</v>
      </c>
      <c r="M557" s="1" t="s">
        <v>42</v>
      </c>
    </row>
    <row r="558" spans="1:13" ht="15.75" customHeight="1" x14ac:dyDescent="0.35">
      <c r="A558" s="1" t="s">
        <v>132</v>
      </c>
      <c r="B558" t="s">
        <v>1083</v>
      </c>
      <c r="C558" t="s">
        <v>1084</v>
      </c>
      <c r="D558" s="4">
        <v>45059</v>
      </c>
      <c r="E558" s="1" t="s">
        <v>30</v>
      </c>
      <c r="F558" s="1" t="s">
        <v>31</v>
      </c>
      <c r="G558" t="s">
        <v>1086</v>
      </c>
      <c r="H558">
        <v>2481</v>
      </c>
      <c r="I558">
        <v>2575.83</v>
      </c>
      <c r="J558" s="1" t="s">
        <v>25</v>
      </c>
      <c r="K558" s="1" t="s">
        <v>18</v>
      </c>
      <c r="L558" s="1">
        <v>47</v>
      </c>
      <c r="M558" s="1" t="s">
        <v>65</v>
      </c>
    </row>
    <row r="559" spans="1:13" ht="15.75" customHeight="1" x14ac:dyDescent="0.35">
      <c r="A559" s="1" t="s">
        <v>110</v>
      </c>
      <c r="B559" s="1" t="s">
        <v>774</v>
      </c>
      <c r="C559" s="1" t="s">
        <v>331</v>
      </c>
      <c r="D559" s="4">
        <v>44966</v>
      </c>
      <c r="E559" s="1" t="s">
        <v>77</v>
      </c>
      <c r="F559" s="1" t="s">
        <v>53</v>
      </c>
      <c r="G559" s="1" t="s">
        <v>41</v>
      </c>
      <c r="H559" s="1">
        <v>2481</v>
      </c>
      <c r="I559">
        <v>2575.83</v>
      </c>
      <c r="J559" s="1" t="s">
        <v>25</v>
      </c>
      <c r="K559" s="1" t="s">
        <v>18</v>
      </c>
      <c r="L559" s="1">
        <v>17</v>
      </c>
      <c r="M559" s="1" t="s">
        <v>19</v>
      </c>
    </row>
    <row r="560" spans="1:13" ht="15.75" customHeight="1" x14ac:dyDescent="0.35">
      <c r="A560" s="1" t="s">
        <v>430</v>
      </c>
      <c r="B560" t="s">
        <v>1083</v>
      </c>
      <c r="C560" t="s">
        <v>1084</v>
      </c>
      <c r="D560" s="4">
        <v>44941</v>
      </c>
      <c r="E560" s="1" t="s">
        <v>30</v>
      </c>
      <c r="F560" s="1" t="s">
        <v>23</v>
      </c>
      <c r="G560" s="1" t="s">
        <v>61</v>
      </c>
      <c r="H560">
        <v>2481</v>
      </c>
      <c r="I560" s="1">
        <v>979.33</v>
      </c>
      <c r="J560" s="1" t="s">
        <v>25</v>
      </c>
      <c r="K560" s="1" t="s">
        <v>18</v>
      </c>
      <c r="L560" s="1">
        <v>17</v>
      </c>
      <c r="M560" s="1" t="s">
        <v>42</v>
      </c>
    </row>
    <row r="561" spans="1:13" ht="15.75" customHeight="1" x14ac:dyDescent="0.35">
      <c r="A561" s="1" t="s">
        <v>209</v>
      </c>
      <c r="B561" t="s">
        <v>1083</v>
      </c>
      <c r="C561" s="1" t="s">
        <v>642</v>
      </c>
      <c r="D561" s="4">
        <v>45088</v>
      </c>
      <c r="E561" s="1" t="s">
        <v>16</v>
      </c>
      <c r="F561" s="1" t="s">
        <v>31</v>
      </c>
      <c r="G561" s="1" t="s">
        <v>41</v>
      </c>
      <c r="H561">
        <v>2481</v>
      </c>
      <c r="I561">
        <v>2575.83</v>
      </c>
      <c r="J561" s="1" t="s">
        <v>42</v>
      </c>
      <c r="K561" s="1" t="s">
        <v>18</v>
      </c>
      <c r="L561">
        <v>9</v>
      </c>
      <c r="M561" t="s">
        <v>19</v>
      </c>
    </row>
    <row r="562" spans="1:13" ht="15.75" customHeight="1" x14ac:dyDescent="0.35">
      <c r="A562" s="1" t="s">
        <v>114</v>
      </c>
      <c r="B562" t="s">
        <v>1083</v>
      </c>
      <c r="C562" s="1" t="s">
        <v>613</v>
      </c>
      <c r="D562" s="4">
        <v>44939</v>
      </c>
      <c r="E562" s="1" t="s">
        <v>85</v>
      </c>
      <c r="F562" s="1" t="s">
        <v>53</v>
      </c>
      <c r="G562" s="1" t="s">
        <v>48</v>
      </c>
      <c r="H562">
        <v>2481</v>
      </c>
      <c r="I562">
        <v>2575.83</v>
      </c>
      <c r="J562" s="1" t="s">
        <v>25</v>
      </c>
      <c r="K562" s="1" t="s">
        <v>26</v>
      </c>
      <c r="L562">
        <v>9</v>
      </c>
      <c r="M562" t="s">
        <v>19</v>
      </c>
    </row>
    <row r="563" spans="1:13" ht="15.75" customHeight="1" x14ac:dyDescent="0.35">
      <c r="A563" s="1" t="s">
        <v>137</v>
      </c>
      <c r="B563" s="1" t="s">
        <v>778</v>
      </c>
      <c r="C563" s="1" t="s">
        <v>135</v>
      </c>
      <c r="D563" s="4">
        <v>45191</v>
      </c>
      <c r="E563" s="1" t="s">
        <v>30</v>
      </c>
      <c r="F563" t="s">
        <v>1085</v>
      </c>
      <c r="G563" s="1" t="s">
        <v>54</v>
      </c>
      <c r="H563" s="1">
        <v>2481</v>
      </c>
      <c r="I563">
        <v>2575.83</v>
      </c>
      <c r="J563" s="1" t="s">
        <v>42</v>
      </c>
      <c r="K563" s="1" t="s">
        <v>32</v>
      </c>
      <c r="L563">
        <v>9</v>
      </c>
      <c r="M563" t="s">
        <v>19</v>
      </c>
    </row>
    <row r="564" spans="1:13" ht="15.75" customHeight="1" x14ac:dyDescent="0.35">
      <c r="A564" s="1" t="s">
        <v>137</v>
      </c>
      <c r="B564" t="s">
        <v>1083</v>
      </c>
      <c r="C564" s="1" t="s">
        <v>447</v>
      </c>
      <c r="D564" s="4">
        <v>45033</v>
      </c>
      <c r="E564" s="1" t="s">
        <v>85</v>
      </c>
      <c r="F564" s="1" t="s">
        <v>47</v>
      </c>
      <c r="G564" t="s">
        <v>1086</v>
      </c>
      <c r="H564" s="1">
        <v>4972.3</v>
      </c>
      <c r="I564">
        <v>2575.83</v>
      </c>
      <c r="J564" s="1" t="s">
        <v>17</v>
      </c>
      <c r="K564" s="1" t="s">
        <v>26</v>
      </c>
      <c r="L564" s="1">
        <v>31</v>
      </c>
      <c r="M564" s="1" t="s">
        <v>65</v>
      </c>
    </row>
    <row r="565" spans="1:13" ht="15.75" customHeight="1" x14ac:dyDescent="0.35">
      <c r="A565" s="1" t="s">
        <v>58</v>
      </c>
      <c r="B565" t="s">
        <v>1083</v>
      </c>
      <c r="C565" s="1" t="s">
        <v>491</v>
      </c>
      <c r="D565" s="4">
        <v>45222</v>
      </c>
      <c r="E565" s="1" t="s">
        <v>16</v>
      </c>
      <c r="F565" s="1" t="s">
        <v>23</v>
      </c>
      <c r="G565" s="1" t="s">
        <v>24</v>
      </c>
      <c r="H565">
        <v>2481</v>
      </c>
      <c r="I565">
        <v>2575.83</v>
      </c>
      <c r="J565" s="1" t="s">
        <v>25</v>
      </c>
      <c r="K565" s="1" t="s">
        <v>18</v>
      </c>
      <c r="L565" s="1">
        <v>60</v>
      </c>
      <c r="M565" s="1" t="s">
        <v>42</v>
      </c>
    </row>
    <row r="566" spans="1:13" ht="15.75" customHeight="1" x14ac:dyDescent="0.35">
      <c r="A566" s="1" t="s">
        <v>117</v>
      </c>
      <c r="B566" t="s">
        <v>1083</v>
      </c>
      <c r="C566" t="s">
        <v>1084</v>
      </c>
      <c r="D566" s="4">
        <v>45136</v>
      </c>
      <c r="E566" s="1" t="s">
        <v>77</v>
      </c>
      <c r="F566" s="1" t="s">
        <v>31</v>
      </c>
      <c r="G566" s="1" t="s">
        <v>54</v>
      </c>
      <c r="H566">
        <v>2481</v>
      </c>
      <c r="I566">
        <v>2575.83</v>
      </c>
      <c r="J566" s="1" t="s">
        <v>17</v>
      </c>
      <c r="K566" s="1" t="s">
        <v>1093</v>
      </c>
      <c r="L566">
        <v>9</v>
      </c>
      <c r="M566" t="s">
        <v>19</v>
      </c>
    </row>
    <row r="567" spans="1:13" ht="15.75" customHeight="1" x14ac:dyDescent="0.35">
      <c r="A567" s="1" t="s">
        <v>110</v>
      </c>
      <c r="B567" s="1" t="s">
        <v>578</v>
      </c>
      <c r="C567" s="1" t="s">
        <v>278</v>
      </c>
      <c r="D567" s="4">
        <v>45285</v>
      </c>
      <c r="E567" s="1" t="s">
        <v>85</v>
      </c>
      <c r="F567" s="1" t="s">
        <v>23</v>
      </c>
      <c r="G567" s="1" t="s">
        <v>41</v>
      </c>
      <c r="H567" s="1">
        <v>2481</v>
      </c>
      <c r="I567" s="1">
        <v>4276.45</v>
      </c>
      <c r="J567" s="1" t="s">
        <v>25</v>
      </c>
      <c r="K567" s="1" t="s">
        <v>1093</v>
      </c>
      <c r="L567" s="1">
        <v>42</v>
      </c>
      <c r="M567" s="1" t="s">
        <v>19</v>
      </c>
    </row>
    <row r="568" spans="1:13" ht="15.75" customHeight="1" x14ac:dyDescent="0.35">
      <c r="A568" s="1" t="s">
        <v>173</v>
      </c>
      <c r="B568" t="s">
        <v>1083</v>
      </c>
      <c r="C568" t="s">
        <v>1084</v>
      </c>
      <c r="D568" s="4">
        <v>45019</v>
      </c>
      <c r="E568" s="1" t="s">
        <v>16</v>
      </c>
      <c r="F568" s="1" t="s">
        <v>53</v>
      </c>
      <c r="G568" s="1" t="s">
        <v>48</v>
      </c>
      <c r="H568" s="1">
        <v>1037.3800000000001</v>
      </c>
      <c r="I568">
        <v>2575.83</v>
      </c>
      <c r="J568" s="1" t="s">
        <v>25</v>
      </c>
      <c r="K568" s="1" t="s">
        <v>18</v>
      </c>
      <c r="L568">
        <v>9</v>
      </c>
      <c r="M568" t="s">
        <v>65</v>
      </c>
    </row>
    <row r="569" spans="1:13" ht="15.75" customHeight="1" x14ac:dyDescent="0.35">
      <c r="A569" s="1" t="s">
        <v>55</v>
      </c>
      <c r="B569" t="s">
        <v>1083</v>
      </c>
      <c r="C569" s="1" t="s">
        <v>469</v>
      </c>
      <c r="D569" s="4">
        <v>45167</v>
      </c>
      <c r="E569" s="1" t="s">
        <v>92</v>
      </c>
      <c r="F569" s="1" t="s">
        <v>47</v>
      </c>
      <c r="G569" s="1" t="s">
        <v>61</v>
      </c>
      <c r="H569" s="1">
        <v>4939.66</v>
      </c>
      <c r="I569">
        <v>2575.83</v>
      </c>
      <c r="J569" s="1" t="s">
        <v>25</v>
      </c>
      <c r="K569" s="1" t="s">
        <v>1093</v>
      </c>
      <c r="L569" s="1">
        <v>13</v>
      </c>
      <c r="M569" s="1" t="s">
        <v>65</v>
      </c>
    </row>
    <row r="570" spans="1:13" ht="15.75" customHeight="1" x14ac:dyDescent="0.35">
      <c r="A570" s="1" t="s">
        <v>105</v>
      </c>
      <c r="B570" t="s">
        <v>1083</v>
      </c>
      <c r="C570" t="s">
        <v>1084</v>
      </c>
      <c r="D570" s="4">
        <v>45056</v>
      </c>
      <c r="E570" s="1" t="s">
        <v>85</v>
      </c>
      <c r="F570" s="1" t="s">
        <v>23</v>
      </c>
      <c r="G570" s="1" t="s">
        <v>41</v>
      </c>
      <c r="H570" s="1">
        <v>2481</v>
      </c>
      <c r="I570">
        <v>2575.83</v>
      </c>
      <c r="J570" s="1" t="s">
        <v>17</v>
      </c>
      <c r="K570" s="1" t="s">
        <v>32</v>
      </c>
      <c r="L570" s="1">
        <v>11</v>
      </c>
      <c r="M570" s="1" t="s">
        <v>19</v>
      </c>
    </row>
    <row r="571" spans="1:13" ht="15.75" customHeight="1" x14ac:dyDescent="0.35">
      <c r="A571" s="1" t="s">
        <v>62</v>
      </c>
      <c r="B571" t="s">
        <v>1083</v>
      </c>
      <c r="C571" s="1" t="s">
        <v>632</v>
      </c>
      <c r="D571" s="4">
        <v>45141</v>
      </c>
      <c r="E571" s="1" t="s">
        <v>30</v>
      </c>
      <c r="F571" t="s">
        <v>1085</v>
      </c>
      <c r="G571" s="1" t="s">
        <v>24</v>
      </c>
      <c r="H571">
        <v>2481</v>
      </c>
      <c r="I571">
        <v>2575.83</v>
      </c>
      <c r="J571" s="1" t="s">
        <v>25</v>
      </c>
      <c r="K571" s="1" t="s">
        <v>26</v>
      </c>
      <c r="L571">
        <v>9</v>
      </c>
      <c r="M571" t="s">
        <v>65</v>
      </c>
    </row>
    <row r="572" spans="1:13" ht="15.75" customHeight="1" x14ac:dyDescent="0.35">
      <c r="A572" s="1" t="s">
        <v>430</v>
      </c>
      <c r="B572" t="s">
        <v>1083</v>
      </c>
      <c r="C572" s="1" t="s">
        <v>221</v>
      </c>
      <c r="D572" s="4">
        <v>45092</v>
      </c>
      <c r="E572" s="1" t="s">
        <v>85</v>
      </c>
      <c r="F572" s="1" t="s">
        <v>53</v>
      </c>
      <c r="G572" s="1" t="s">
        <v>24</v>
      </c>
      <c r="H572" s="1">
        <v>2522.2600000000002</v>
      </c>
      <c r="I572">
        <v>2575.83</v>
      </c>
      <c r="J572" s="1" t="s">
        <v>25</v>
      </c>
      <c r="K572" s="1" t="s">
        <v>32</v>
      </c>
      <c r="L572">
        <v>9</v>
      </c>
      <c r="M572" t="s">
        <v>19</v>
      </c>
    </row>
    <row r="573" spans="1:13" ht="15.75" customHeight="1" x14ac:dyDescent="0.35">
      <c r="A573" s="1" t="s">
        <v>215</v>
      </c>
      <c r="B573" t="s">
        <v>1083</v>
      </c>
      <c r="C573" s="1" t="s">
        <v>232</v>
      </c>
      <c r="D573" s="4">
        <v>45038</v>
      </c>
      <c r="E573" s="1" t="s">
        <v>16</v>
      </c>
      <c r="F573" s="1" t="s">
        <v>47</v>
      </c>
      <c r="G573" s="1" t="s">
        <v>24</v>
      </c>
      <c r="H573">
        <v>2481</v>
      </c>
      <c r="I573" s="1">
        <v>1088.33</v>
      </c>
      <c r="J573" s="1" t="s">
        <v>17</v>
      </c>
      <c r="K573" s="1" t="s">
        <v>26</v>
      </c>
      <c r="L573">
        <v>9</v>
      </c>
      <c r="M573" t="s">
        <v>19</v>
      </c>
    </row>
    <row r="574" spans="1:13" ht="15.75" customHeight="1" x14ac:dyDescent="0.35">
      <c r="A574" s="1" t="s">
        <v>192</v>
      </c>
      <c r="B574" t="s">
        <v>1083</v>
      </c>
      <c r="C574" t="s">
        <v>1084</v>
      </c>
      <c r="D574" s="4">
        <v>45160</v>
      </c>
      <c r="E574" s="1" t="s">
        <v>92</v>
      </c>
      <c r="F574" s="1" t="s">
        <v>31</v>
      </c>
      <c r="G574" s="1" t="s">
        <v>54</v>
      </c>
      <c r="H574" s="1">
        <v>2157.9499999999998</v>
      </c>
      <c r="I574">
        <v>2575.83</v>
      </c>
      <c r="J574" s="1" t="s">
        <v>25</v>
      </c>
      <c r="K574" s="1" t="s">
        <v>32</v>
      </c>
      <c r="L574">
        <v>9</v>
      </c>
      <c r="M574" t="s">
        <v>42</v>
      </c>
    </row>
    <row r="575" spans="1:13" ht="15.75" customHeight="1" x14ac:dyDescent="0.35">
      <c r="A575" s="1" t="s">
        <v>132</v>
      </c>
      <c r="B575" t="s">
        <v>1083</v>
      </c>
      <c r="C575" t="s">
        <v>1084</v>
      </c>
      <c r="D575" s="4">
        <v>45279</v>
      </c>
      <c r="E575" s="1" t="s">
        <v>16</v>
      </c>
      <c r="F575" s="1" t="s">
        <v>31</v>
      </c>
      <c r="G575" t="s">
        <v>1086</v>
      </c>
      <c r="H575" s="1">
        <v>3120.86</v>
      </c>
      <c r="I575" s="1">
        <v>4039.4</v>
      </c>
      <c r="J575" s="1" t="s">
        <v>25</v>
      </c>
      <c r="K575" s="1" t="s">
        <v>26</v>
      </c>
      <c r="L575">
        <v>9</v>
      </c>
      <c r="M575" t="s">
        <v>19</v>
      </c>
    </row>
    <row r="576" spans="1:13" ht="15.75" customHeight="1" x14ac:dyDescent="0.35">
      <c r="A576" s="1" t="s">
        <v>117</v>
      </c>
      <c r="B576" t="s">
        <v>1083</v>
      </c>
      <c r="C576" s="1" t="s">
        <v>174</v>
      </c>
      <c r="D576" s="4">
        <v>45184</v>
      </c>
      <c r="E576" s="1" t="s">
        <v>85</v>
      </c>
      <c r="F576" s="1" t="s">
        <v>23</v>
      </c>
      <c r="G576" t="s">
        <v>1086</v>
      </c>
      <c r="H576">
        <v>2481</v>
      </c>
      <c r="I576">
        <v>2575.83</v>
      </c>
      <c r="J576" s="1" t="s">
        <v>17</v>
      </c>
      <c r="K576" s="1" t="s">
        <v>1093</v>
      </c>
      <c r="L576" s="1">
        <v>7</v>
      </c>
      <c r="M576" s="1" t="s">
        <v>65</v>
      </c>
    </row>
    <row r="577" spans="1:13" ht="15.75" customHeight="1" x14ac:dyDescent="0.35">
      <c r="A577" s="1" t="s">
        <v>55</v>
      </c>
      <c r="B577" t="s">
        <v>1083</v>
      </c>
      <c r="C577" t="s">
        <v>1084</v>
      </c>
      <c r="D577" s="4">
        <v>45041</v>
      </c>
      <c r="E577" s="1" t="s">
        <v>92</v>
      </c>
      <c r="F577" s="1" t="s">
        <v>31</v>
      </c>
      <c r="G577" t="s">
        <v>1086</v>
      </c>
      <c r="H577">
        <v>2481</v>
      </c>
      <c r="I577">
        <v>2575.83</v>
      </c>
      <c r="J577" s="1" t="s">
        <v>25</v>
      </c>
      <c r="K577" s="1" t="s">
        <v>26</v>
      </c>
      <c r="L577" s="1">
        <v>1</v>
      </c>
      <c r="M577" s="1" t="s">
        <v>19</v>
      </c>
    </row>
    <row r="578" spans="1:13" ht="15.75" customHeight="1" x14ac:dyDescent="0.35">
      <c r="A578" s="1" t="s">
        <v>302</v>
      </c>
      <c r="B578" t="s">
        <v>1083</v>
      </c>
      <c r="C578" t="s">
        <v>1084</v>
      </c>
      <c r="D578" s="4">
        <v>45014</v>
      </c>
      <c r="E578" s="1" t="s">
        <v>30</v>
      </c>
      <c r="F578" s="1" t="s">
        <v>53</v>
      </c>
      <c r="G578" s="1" t="s">
        <v>24</v>
      </c>
      <c r="H578" s="1">
        <v>3100.53</v>
      </c>
      <c r="I578">
        <v>2575.83</v>
      </c>
      <c r="J578" s="1" t="s">
        <v>25</v>
      </c>
      <c r="K578" s="1" t="s">
        <v>18</v>
      </c>
      <c r="L578">
        <v>9</v>
      </c>
      <c r="M578" t="s">
        <v>65</v>
      </c>
    </row>
    <row r="579" spans="1:13" ht="15.75" customHeight="1" x14ac:dyDescent="0.35">
      <c r="A579" s="1" t="s">
        <v>168</v>
      </c>
      <c r="B579" t="s">
        <v>1083</v>
      </c>
      <c r="C579" s="1" t="s">
        <v>258</v>
      </c>
      <c r="D579" s="4">
        <v>44977</v>
      </c>
      <c r="E579" s="1" t="s">
        <v>85</v>
      </c>
      <c r="F579" s="1" t="s">
        <v>93</v>
      </c>
      <c r="G579" s="1" t="s">
        <v>54</v>
      </c>
      <c r="H579" s="1">
        <v>2481</v>
      </c>
      <c r="I579">
        <v>2575.83</v>
      </c>
      <c r="J579" s="1" t="s">
        <v>42</v>
      </c>
      <c r="K579" s="1" t="s">
        <v>57</v>
      </c>
      <c r="L579">
        <v>9</v>
      </c>
      <c r="M579" t="s">
        <v>65</v>
      </c>
    </row>
    <row r="580" spans="1:13" ht="15.75" customHeight="1" x14ac:dyDescent="0.35">
      <c r="A580" s="1" t="s">
        <v>96</v>
      </c>
      <c r="B580" s="1" t="s">
        <v>115</v>
      </c>
      <c r="C580" s="1" t="s">
        <v>100</v>
      </c>
      <c r="D580" s="4">
        <v>45248</v>
      </c>
      <c r="E580" s="1" t="s">
        <v>30</v>
      </c>
      <c r="F580" t="s">
        <v>1085</v>
      </c>
      <c r="G580" s="1" t="s">
        <v>54</v>
      </c>
      <c r="H580" s="1">
        <v>2481</v>
      </c>
      <c r="I580">
        <v>2575.83</v>
      </c>
      <c r="J580" s="1" t="s">
        <v>17</v>
      </c>
      <c r="K580" s="1" t="s">
        <v>1093</v>
      </c>
      <c r="L580">
        <v>9</v>
      </c>
      <c r="M580" t="s">
        <v>19</v>
      </c>
    </row>
    <row r="581" spans="1:13" ht="15.75" customHeight="1" x14ac:dyDescent="0.35">
      <c r="A581" s="1" t="s">
        <v>102</v>
      </c>
      <c r="B581" t="s">
        <v>1083</v>
      </c>
      <c r="C581" t="s">
        <v>1084</v>
      </c>
      <c r="D581" s="4">
        <v>45052</v>
      </c>
      <c r="E581" s="1" t="s">
        <v>85</v>
      </c>
      <c r="F581" s="1" t="s">
        <v>53</v>
      </c>
      <c r="G581" s="1" t="s">
        <v>41</v>
      </c>
      <c r="H581" s="1">
        <v>3313.33</v>
      </c>
      <c r="I581">
        <v>2575.83</v>
      </c>
      <c r="J581" s="1" t="s">
        <v>25</v>
      </c>
      <c r="K581" s="1" t="s">
        <v>57</v>
      </c>
      <c r="L581" s="1">
        <v>55</v>
      </c>
      <c r="M581" s="1" t="s">
        <v>19</v>
      </c>
    </row>
    <row r="582" spans="1:13" ht="15.75" customHeight="1" x14ac:dyDescent="0.35">
      <c r="A582" s="1" t="s">
        <v>173</v>
      </c>
      <c r="B582" s="1" t="s">
        <v>506</v>
      </c>
      <c r="C582" s="1" t="s">
        <v>479</v>
      </c>
      <c r="D582" s="4">
        <v>45071</v>
      </c>
      <c r="E582" s="1" t="s">
        <v>16</v>
      </c>
      <c r="F582" s="1" t="s">
        <v>53</v>
      </c>
      <c r="G582" s="1" t="s">
        <v>41</v>
      </c>
      <c r="H582" s="1">
        <v>2481</v>
      </c>
      <c r="I582" s="1">
        <v>548.33000000000004</v>
      </c>
      <c r="J582" s="1" t="s">
        <v>25</v>
      </c>
      <c r="K582" s="1" t="s">
        <v>26</v>
      </c>
      <c r="L582">
        <v>9</v>
      </c>
      <c r="M582" t="s">
        <v>19</v>
      </c>
    </row>
    <row r="583" spans="1:13" ht="15.75" customHeight="1" x14ac:dyDescent="0.35">
      <c r="A583" s="1" t="s">
        <v>187</v>
      </c>
      <c r="B583" t="s">
        <v>1083</v>
      </c>
      <c r="C583" t="s">
        <v>1084</v>
      </c>
      <c r="D583" s="4">
        <v>45251</v>
      </c>
      <c r="E583" s="1" t="s">
        <v>92</v>
      </c>
      <c r="F583" s="1" t="s">
        <v>23</v>
      </c>
      <c r="G583" s="1" t="s">
        <v>24</v>
      </c>
      <c r="H583" s="1">
        <v>3315.35</v>
      </c>
      <c r="I583">
        <v>2575.83</v>
      </c>
      <c r="J583" s="1" t="s">
        <v>42</v>
      </c>
      <c r="K583" s="1" t="s">
        <v>1093</v>
      </c>
      <c r="L583">
        <v>9</v>
      </c>
      <c r="M583" t="s">
        <v>42</v>
      </c>
    </row>
    <row r="584" spans="1:13" ht="15.75" customHeight="1" x14ac:dyDescent="0.35">
      <c r="A584" s="1" t="s">
        <v>89</v>
      </c>
      <c r="B584" t="s">
        <v>1083</v>
      </c>
      <c r="C584" t="s">
        <v>1084</v>
      </c>
      <c r="D584" s="4">
        <v>44989</v>
      </c>
      <c r="E584" s="1" t="s">
        <v>30</v>
      </c>
      <c r="F584" s="1" t="s">
        <v>23</v>
      </c>
      <c r="G584" s="1" t="s">
        <v>54</v>
      </c>
      <c r="H584">
        <v>2481</v>
      </c>
      <c r="I584" s="1">
        <v>4341.03</v>
      </c>
      <c r="J584" s="1" t="s">
        <v>17</v>
      </c>
      <c r="K584" s="1" t="s">
        <v>26</v>
      </c>
      <c r="L584" s="1">
        <v>20</v>
      </c>
      <c r="M584" s="1" t="s">
        <v>65</v>
      </c>
    </row>
    <row r="585" spans="1:13" ht="15.75" customHeight="1" x14ac:dyDescent="0.35">
      <c r="A585" s="1" t="s">
        <v>96</v>
      </c>
      <c r="B585" t="s">
        <v>1083</v>
      </c>
      <c r="C585" t="s">
        <v>1084</v>
      </c>
      <c r="D585" s="4">
        <v>45067</v>
      </c>
      <c r="E585" s="1" t="s">
        <v>92</v>
      </c>
      <c r="F585" t="s">
        <v>1085</v>
      </c>
      <c r="G585" s="1" t="s">
        <v>54</v>
      </c>
      <c r="H585" s="1">
        <v>2481</v>
      </c>
      <c r="I585">
        <v>2575.83</v>
      </c>
      <c r="J585" s="1" t="s">
        <v>17</v>
      </c>
      <c r="K585" s="1" t="s">
        <v>32</v>
      </c>
      <c r="L585" s="1">
        <v>11</v>
      </c>
      <c r="M585" s="1" t="s">
        <v>19</v>
      </c>
    </row>
    <row r="586" spans="1:13" ht="15.75" customHeight="1" x14ac:dyDescent="0.35">
      <c r="A586" s="1" t="s">
        <v>78</v>
      </c>
      <c r="B586" t="s">
        <v>1083</v>
      </c>
      <c r="C586" t="s">
        <v>1084</v>
      </c>
      <c r="D586" s="4">
        <v>45032</v>
      </c>
      <c r="E586" s="1" t="s">
        <v>77</v>
      </c>
      <c r="F586" s="1" t="s">
        <v>53</v>
      </c>
      <c r="G586" s="1" t="s">
        <v>54</v>
      </c>
      <c r="H586" s="1">
        <v>3748.04</v>
      </c>
      <c r="I586">
        <v>2575.83</v>
      </c>
      <c r="J586" s="1" t="s">
        <v>17</v>
      </c>
      <c r="K586" s="1" t="s">
        <v>57</v>
      </c>
      <c r="L586">
        <v>9</v>
      </c>
      <c r="M586" t="s">
        <v>19</v>
      </c>
    </row>
    <row r="587" spans="1:13" ht="15.75" customHeight="1" x14ac:dyDescent="0.35">
      <c r="A587" s="1" t="s">
        <v>215</v>
      </c>
      <c r="B587" s="1" t="s">
        <v>394</v>
      </c>
      <c r="C587" t="s">
        <v>1084</v>
      </c>
      <c r="D587" s="4">
        <v>45077</v>
      </c>
      <c r="E587" s="1" t="s">
        <v>85</v>
      </c>
      <c r="F587" t="s">
        <v>1085</v>
      </c>
      <c r="G587" s="1" t="s">
        <v>54</v>
      </c>
      <c r="H587" s="1">
        <v>1793.65</v>
      </c>
      <c r="I587">
        <v>2575.83</v>
      </c>
      <c r="J587" s="1" t="s">
        <v>25</v>
      </c>
      <c r="K587" s="1" t="s">
        <v>18</v>
      </c>
      <c r="L587" s="1">
        <v>22</v>
      </c>
      <c r="M587" s="1" t="s">
        <v>19</v>
      </c>
    </row>
    <row r="588" spans="1:13" ht="15.75" customHeight="1" x14ac:dyDescent="0.35">
      <c r="A588" s="1" t="s">
        <v>187</v>
      </c>
      <c r="B588" t="s">
        <v>1083</v>
      </c>
      <c r="C588" s="1" t="s">
        <v>373</v>
      </c>
      <c r="D588" s="4">
        <v>44989</v>
      </c>
      <c r="E588" s="1" t="s">
        <v>16</v>
      </c>
      <c r="F588" s="1" t="s">
        <v>23</v>
      </c>
      <c r="G588" t="s">
        <v>1086</v>
      </c>
      <c r="H588">
        <v>2481</v>
      </c>
      <c r="I588">
        <v>2575.83</v>
      </c>
      <c r="J588" s="1" t="s">
        <v>25</v>
      </c>
      <c r="K588" s="1" t="s">
        <v>1093</v>
      </c>
      <c r="L588">
        <v>9</v>
      </c>
      <c r="M588" t="s">
        <v>65</v>
      </c>
    </row>
    <row r="589" spans="1:13" ht="15.75" customHeight="1" x14ac:dyDescent="0.35">
      <c r="A589" s="1" t="s">
        <v>302</v>
      </c>
      <c r="B589" s="1" t="s">
        <v>612</v>
      </c>
      <c r="C589" t="s">
        <v>1084</v>
      </c>
      <c r="D589" s="4">
        <v>44965</v>
      </c>
      <c r="E589" s="1" t="s">
        <v>16</v>
      </c>
      <c r="F589" s="1" t="s">
        <v>53</v>
      </c>
      <c r="G589" t="s">
        <v>1086</v>
      </c>
      <c r="H589">
        <v>2481</v>
      </c>
      <c r="I589" s="1">
        <v>1030.8399999999999</v>
      </c>
      <c r="J589" s="1" t="s">
        <v>25</v>
      </c>
      <c r="K589" s="1" t="s">
        <v>1093</v>
      </c>
      <c r="L589">
        <v>9</v>
      </c>
      <c r="M589" t="s">
        <v>65</v>
      </c>
    </row>
    <row r="590" spans="1:13" ht="15.75" customHeight="1" x14ac:dyDescent="0.35">
      <c r="A590" s="1" t="s">
        <v>55</v>
      </c>
      <c r="B590" t="s">
        <v>1083</v>
      </c>
      <c r="C590" t="s">
        <v>1084</v>
      </c>
      <c r="D590" s="4">
        <v>45048</v>
      </c>
      <c r="E590" s="1" t="s">
        <v>16</v>
      </c>
      <c r="F590" s="1" t="s">
        <v>31</v>
      </c>
      <c r="G590" s="1" t="s">
        <v>61</v>
      </c>
      <c r="H590" s="1">
        <v>3236.15</v>
      </c>
      <c r="I590">
        <v>2575.83</v>
      </c>
      <c r="J590" s="1" t="s">
        <v>17</v>
      </c>
      <c r="K590" s="1" t="s">
        <v>1093</v>
      </c>
      <c r="L590">
        <v>9</v>
      </c>
      <c r="M590" t="s">
        <v>42</v>
      </c>
    </row>
    <row r="591" spans="1:13" ht="15.75" customHeight="1" x14ac:dyDescent="0.35">
      <c r="A591" s="1" t="s">
        <v>166</v>
      </c>
      <c r="B591" t="s">
        <v>1083</v>
      </c>
      <c r="C591" s="1" t="s">
        <v>792</v>
      </c>
      <c r="D591" s="4">
        <v>45139</v>
      </c>
      <c r="E591" s="1" t="s">
        <v>92</v>
      </c>
      <c r="F591" s="1" t="s">
        <v>31</v>
      </c>
      <c r="G591" s="1" t="s">
        <v>41</v>
      </c>
      <c r="H591" s="1">
        <v>3780.78</v>
      </c>
      <c r="I591">
        <v>2575.83</v>
      </c>
      <c r="J591" s="1" t="s">
        <v>25</v>
      </c>
      <c r="K591" s="1" t="s">
        <v>57</v>
      </c>
      <c r="L591">
        <v>9</v>
      </c>
      <c r="M591" t="s">
        <v>19</v>
      </c>
    </row>
    <row r="592" spans="1:13" ht="15.75" customHeight="1" x14ac:dyDescent="0.35">
      <c r="A592" s="1" t="s">
        <v>321</v>
      </c>
      <c r="B592" t="s">
        <v>1083</v>
      </c>
      <c r="C592" s="1" t="s">
        <v>336</v>
      </c>
      <c r="D592" s="4">
        <v>45118</v>
      </c>
      <c r="E592" s="1" t="s">
        <v>85</v>
      </c>
      <c r="F592" s="1" t="s">
        <v>23</v>
      </c>
      <c r="G592" s="1" t="s">
        <v>61</v>
      </c>
      <c r="H592" s="1">
        <v>2481</v>
      </c>
      <c r="I592" s="1">
        <v>1170.3900000000001</v>
      </c>
      <c r="J592" s="1" t="s">
        <v>17</v>
      </c>
      <c r="K592" s="1" t="s">
        <v>32</v>
      </c>
      <c r="L592">
        <v>9</v>
      </c>
      <c r="M592" t="s">
        <v>19</v>
      </c>
    </row>
    <row r="593" spans="1:13" ht="15.75" customHeight="1" x14ac:dyDescent="0.35">
      <c r="A593" s="1" t="s">
        <v>321</v>
      </c>
      <c r="B593" t="s">
        <v>1083</v>
      </c>
      <c r="C593" s="1" t="s">
        <v>238</v>
      </c>
      <c r="D593" s="4">
        <v>45082</v>
      </c>
      <c r="E593" s="1" t="s">
        <v>92</v>
      </c>
      <c r="F593" t="s">
        <v>1085</v>
      </c>
      <c r="G593" s="1" t="s">
        <v>54</v>
      </c>
      <c r="H593">
        <v>2481</v>
      </c>
      <c r="I593" s="1">
        <v>3508.39</v>
      </c>
      <c r="J593" s="1" t="s">
        <v>17</v>
      </c>
      <c r="K593" s="1" t="s">
        <v>1093</v>
      </c>
      <c r="L593" s="1">
        <v>7</v>
      </c>
      <c r="M593" s="1" t="s">
        <v>19</v>
      </c>
    </row>
    <row r="594" spans="1:13" ht="15.75" customHeight="1" x14ac:dyDescent="0.35">
      <c r="A594" s="1" t="s">
        <v>50</v>
      </c>
      <c r="B594" t="s">
        <v>1083</v>
      </c>
      <c r="C594" t="s">
        <v>1084</v>
      </c>
      <c r="D594" s="4">
        <v>45194</v>
      </c>
      <c r="E594" s="1" t="s">
        <v>85</v>
      </c>
      <c r="F594" s="1" t="s">
        <v>47</v>
      </c>
      <c r="G594" s="1" t="s">
        <v>48</v>
      </c>
      <c r="H594">
        <v>2481</v>
      </c>
      <c r="I594">
        <v>2575.83</v>
      </c>
      <c r="J594" s="1" t="s">
        <v>17</v>
      </c>
      <c r="K594" s="1" t="s">
        <v>26</v>
      </c>
      <c r="L594">
        <v>9</v>
      </c>
      <c r="M594" t="s">
        <v>19</v>
      </c>
    </row>
    <row r="595" spans="1:13" ht="15.75" customHeight="1" x14ac:dyDescent="0.35">
      <c r="A595" s="1" t="s">
        <v>28</v>
      </c>
      <c r="B595" s="1" t="s">
        <v>796</v>
      </c>
      <c r="C595" s="1" t="s">
        <v>378</v>
      </c>
      <c r="D595" s="4">
        <v>44966</v>
      </c>
      <c r="E595" s="1" t="s">
        <v>16</v>
      </c>
      <c r="F595" s="1" t="s">
        <v>93</v>
      </c>
      <c r="G595" s="1" t="s">
        <v>61</v>
      </c>
      <c r="H595" s="1">
        <v>2481</v>
      </c>
      <c r="I595" s="1">
        <v>980.19</v>
      </c>
      <c r="J595" s="1" t="s">
        <v>42</v>
      </c>
      <c r="K595" s="1" t="s">
        <v>18</v>
      </c>
      <c r="L595">
        <v>9</v>
      </c>
      <c r="M595" t="s">
        <v>42</v>
      </c>
    </row>
    <row r="596" spans="1:13" ht="15.75" customHeight="1" x14ac:dyDescent="0.35">
      <c r="A596" s="1" t="s">
        <v>163</v>
      </c>
      <c r="B596" t="s">
        <v>1083</v>
      </c>
      <c r="C596" t="s">
        <v>1084</v>
      </c>
      <c r="D596" s="4">
        <v>45262</v>
      </c>
      <c r="E596" s="1" t="s">
        <v>85</v>
      </c>
      <c r="F596" s="1" t="s">
        <v>93</v>
      </c>
      <c r="G596" s="1" t="s">
        <v>41</v>
      </c>
      <c r="H596">
        <v>2481</v>
      </c>
      <c r="I596" s="1">
        <v>3911.1</v>
      </c>
      <c r="J596" s="1" t="s">
        <v>25</v>
      </c>
      <c r="K596" s="1" t="s">
        <v>32</v>
      </c>
      <c r="L596" s="1">
        <v>27</v>
      </c>
      <c r="M596" s="1" t="s">
        <v>19</v>
      </c>
    </row>
    <row r="597" spans="1:13" ht="15.75" customHeight="1" x14ac:dyDescent="0.35">
      <c r="A597" s="1" t="s">
        <v>209</v>
      </c>
      <c r="B597" s="1" t="s">
        <v>799</v>
      </c>
      <c r="C597" t="s">
        <v>1084</v>
      </c>
      <c r="D597" s="4">
        <v>44981</v>
      </c>
      <c r="E597" s="1" t="s">
        <v>77</v>
      </c>
      <c r="F597" s="1" t="s">
        <v>93</v>
      </c>
      <c r="G597" s="1" t="s">
        <v>41</v>
      </c>
      <c r="H597" s="1">
        <v>2481</v>
      </c>
      <c r="I597" s="1">
        <v>1792.19</v>
      </c>
      <c r="J597" s="1" t="s">
        <v>17</v>
      </c>
      <c r="K597" s="1" t="s">
        <v>26</v>
      </c>
      <c r="L597">
        <v>9</v>
      </c>
      <c r="M597" t="s">
        <v>65</v>
      </c>
    </row>
    <row r="598" spans="1:13" ht="15.75" customHeight="1" x14ac:dyDescent="0.35">
      <c r="A598" s="1" t="s">
        <v>50</v>
      </c>
      <c r="B598" t="s">
        <v>1083</v>
      </c>
      <c r="C598" t="s">
        <v>1084</v>
      </c>
      <c r="D598" s="4">
        <v>45152</v>
      </c>
      <c r="E598" s="1" t="s">
        <v>16</v>
      </c>
      <c r="F598" s="1" t="s">
        <v>23</v>
      </c>
      <c r="G598" t="s">
        <v>1086</v>
      </c>
      <c r="H598">
        <v>2481</v>
      </c>
      <c r="I598">
        <v>2575.83</v>
      </c>
      <c r="J598" s="1" t="s">
        <v>17</v>
      </c>
      <c r="K598" s="1" t="s">
        <v>57</v>
      </c>
      <c r="L598">
        <v>9</v>
      </c>
      <c r="M598" t="s">
        <v>42</v>
      </c>
    </row>
    <row r="599" spans="1:13" ht="15.75" customHeight="1" x14ac:dyDescent="0.35">
      <c r="A599" s="1" t="s">
        <v>117</v>
      </c>
      <c r="B599" t="s">
        <v>1083</v>
      </c>
      <c r="C599" s="1" t="s">
        <v>479</v>
      </c>
      <c r="D599" s="4">
        <v>45257</v>
      </c>
      <c r="E599" s="1" t="s">
        <v>16</v>
      </c>
      <c r="F599" s="1" t="s">
        <v>23</v>
      </c>
      <c r="G599" s="1" t="s">
        <v>61</v>
      </c>
      <c r="H599" s="1">
        <v>2897.39</v>
      </c>
      <c r="I599">
        <v>2575.83</v>
      </c>
      <c r="J599" s="1" t="s">
        <v>17</v>
      </c>
      <c r="K599" s="1" t="s">
        <v>57</v>
      </c>
      <c r="L599">
        <v>9</v>
      </c>
      <c r="M599" t="s">
        <v>65</v>
      </c>
    </row>
    <row r="600" spans="1:13" ht="15.75" customHeight="1" x14ac:dyDescent="0.35">
      <c r="A600" s="1" t="s">
        <v>78</v>
      </c>
      <c r="B600" s="1" t="s">
        <v>801</v>
      </c>
      <c r="C600" t="s">
        <v>1084</v>
      </c>
      <c r="D600" s="4">
        <v>45180</v>
      </c>
      <c r="E600" s="1" t="s">
        <v>92</v>
      </c>
      <c r="F600" t="s">
        <v>1085</v>
      </c>
      <c r="G600" s="1" t="s">
        <v>41</v>
      </c>
      <c r="H600" s="1">
        <v>3543.97</v>
      </c>
      <c r="I600">
        <v>2575.83</v>
      </c>
      <c r="J600" s="1" t="s">
        <v>17</v>
      </c>
      <c r="K600" s="1" t="s">
        <v>1093</v>
      </c>
      <c r="L600">
        <v>9</v>
      </c>
      <c r="M600" t="s">
        <v>65</v>
      </c>
    </row>
    <row r="601" spans="1:13" ht="15.75" customHeight="1" x14ac:dyDescent="0.35">
      <c r="A601" s="1" t="s">
        <v>132</v>
      </c>
      <c r="B601" t="s">
        <v>1083</v>
      </c>
      <c r="C601" s="1" t="s">
        <v>636</v>
      </c>
      <c r="D601" s="4">
        <v>45022</v>
      </c>
      <c r="E601" s="1" t="s">
        <v>16</v>
      </c>
      <c r="F601" t="s">
        <v>1085</v>
      </c>
      <c r="G601" s="1" t="s">
        <v>48</v>
      </c>
      <c r="H601">
        <v>2481</v>
      </c>
      <c r="I601" s="1">
        <v>4873.1400000000003</v>
      </c>
      <c r="J601" s="1" t="s">
        <v>17</v>
      </c>
      <c r="K601" s="1" t="s">
        <v>26</v>
      </c>
      <c r="L601">
        <v>9</v>
      </c>
      <c r="M601" t="s">
        <v>65</v>
      </c>
    </row>
    <row r="602" spans="1:13" ht="15.75" customHeight="1" x14ac:dyDescent="0.35">
      <c r="A602" s="1" t="s">
        <v>66</v>
      </c>
      <c r="B602" t="s">
        <v>1083</v>
      </c>
      <c r="C602" t="s">
        <v>1084</v>
      </c>
      <c r="D602" s="4">
        <v>44935</v>
      </c>
      <c r="E602" s="1" t="s">
        <v>16</v>
      </c>
      <c r="F602" s="1" t="s">
        <v>31</v>
      </c>
      <c r="G602" s="1" t="s">
        <v>24</v>
      </c>
      <c r="H602">
        <v>2481</v>
      </c>
      <c r="I602" s="1">
        <v>3887.52</v>
      </c>
      <c r="J602" s="1" t="s">
        <v>42</v>
      </c>
      <c r="K602" s="1" t="s">
        <v>32</v>
      </c>
      <c r="L602">
        <v>9</v>
      </c>
      <c r="M602" t="s">
        <v>19</v>
      </c>
    </row>
    <row r="603" spans="1:13" ht="15.75" customHeight="1" x14ac:dyDescent="0.35">
      <c r="A603" s="1" t="s">
        <v>73</v>
      </c>
      <c r="B603" t="s">
        <v>1083</v>
      </c>
      <c r="C603" t="s">
        <v>1084</v>
      </c>
      <c r="D603" s="4">
        <v>45161</v>
      </c>
      <c r="E603" s="1" t="s">
        <v>92</v>
      </c>
      <c r="F603" t="s">
        <v>1085</v>
      </c>
      <c r="G603" s="1" t="s">
        <v>41</v>
      </c>
      <c r="H603" s="1">
        <v>2481</v>
      </c>
      <c r="I603">
        <v>2575.83</v>
      </c>
      <c r="J603" s="1" t="s">
        <v>17</v>
      </c>
      <c r="K603" s="1" t="s">
        <v>26</v>
      </c>
      <c r="L603">
        <v>9</v>
      </c>
      <c r="M603" t="s">
        <v>65</v>
      </c>
    </row>
    <row r="604" spans="1:13" ht="15.75" customHeight="1" x14ac:dyDescent="0.35">
      <c r="A604" s="1" t="s">
        <v>249</v>
      </c>
      <c r="B604" t="s">
        <v>1083</v>
      </c>
      <c r="C604" s="1" t="s">
        <v>625</v>
      </c>
      <c r="D604" s="4">
        <v>45222</v>
      </c>
      <c r="E604" s="1" t="s">
        <v>92</v>
      </c>
      <c r="F604" s="1" t="s">
        <v>93</v>
      </c>
      <c r="G604" t="s">
        <v>1086</v>
      </c>
      <c r="H604" s="1">
        <v>491.91</v>
      </c>
      <c r="I604">
        <v>2575.83</v>
      </c>
      <c r="J604" s="1" t="s">
        <v>17</v>
      </c>
      <c r="K604" s="1" t="s">
        <v>1093</v>
      </c>
      <c r="L604">
        <v>9</v>
      </c>
      <c r="M604" t="s">
        <v>65</v>
      </c>
    </row>
    <row r="605" spans="1:13" ht="15.75" customHeight="1" x14ac:dyDescent="0.35">
      <c r="A605" s="1" t="s">
        <v>247</v>
      </c>
      <c r="B605" t="s">
        <v>1083</v>
      </c>
      <c r="C605" t="s">
        <v>1084</v>
      </c>
      <c r="D605" s="4">
        <v>45140</v>
      </c>
      <c r="E605" s="1" t="s">
        <v>85</v>
      </c>
      <c r="F605" s="1" t="s">
        <v>23</v>
      </c>
      <c r="G605" s="1" t="s">
        <v>54</v>
      </c>
      <c r="H605" s="1">
        <v>2624.38</v>
      </c>
      <c r="I605">
        <v>2575.83</v>
      </c>
      <c r="J605" s="1" t="s">
        <v>17</v>
      </c>
      <c r="K605" s="1" t="s">
        <v>32</v>
      </c>
      <c r="L605" s="1">
        <v>18</v>
      </c>
      <c r="M605" s="1" t="s">
        <v>19</v>
      </c>
    </row>
    <row r="606" spans="1:13" ht="15.75" customHeight="1" x14ac:dyDescent="0.35">
      <c r="A606" s="1" t="s">
        <v>117</v>
      </c>
      <c r="B606" s="1" t="s">
        <v>805</v>
      </c>
      <c r="C606" s="1" t="s">
        <v>503</v>
      </c>
      <c r="D606" s="4">
        <v>45246</v>
      </c>
      <c r="E606" s="1" t="s">
        <v>16</v>
      </c>
      <c r="F606" s="1" t="s">
        <v>93</v>
      </c>
      <c r="G606" s="1" t="s">
        <v>41</v>
      </c>
      <c r="H606">
        <v>2481</v>
      </c>
      <c r="I606" s="1">
        <v>127.18</v>
      </c>
      <c r="J606" s="1" t="s">
        <v>17</v>
      </c>
      <c r="K606" s="1" t="s">
        <v>32</v>
      </c>
      <c r="L606">
        <v>9</v>
      </c>
      <c r="M606" t="s">
        <v>19</v>
      </c>
    </row>
    <row r="607" spans="1:13" ht="15.75" customHeight="1" x14ac:dyDescent="0.35">
      <c r="A607" s="1" t="s">
        <v>82</v>
      </c>
      <c r="B607" t="s">
        <v>1083</v>
      </c>
      <c r="C607" t="s">
        <v>1084</v>
      </c>
      <c r="D607" s="4">
        <v>45107</v>
      </c>
      <c r="E607" s="1" t="s">
        <v>92</v>
      </c>
      <c r="F607" s="1" t="s">
        <v>93</v>
      </c>
      <c r="G607" s="1" t="s">
        <v>41</v>
      </c>
      <c r="H607">
        <v>2481</v>
      </c>
      <c r="I607">
        <v>2575.83</v>
      </c>
      <c r="J607" s="1" t="s">
        <v>42</v>
      </c>
      <c r="K607" s="1" t="s">
        <v>18</v>
      </c>
      <c r="L607" s="1">
        <v>46</v>
      </c>
      <c r="M607" s="1" t="s">
        <v>65</v>
      </c>
    </row>
    <row r="608" spans="1:13" ht="15.75" customHeight="1" x14ac:dyDescent="0.35">
      <c r="A608" s="1" t="s">
        <v>66</v>
      </c>
      <c r="B608" t="s">
        <v>1083</v>
      </c>
      <c r="C608" s="1" t="s">
        <v>581</v>
      </c>
      <c r="D608" s="4">
        <v>45054</v>
      </c>
      <c r="E608" s="1" t="s">
        <v>16</v>
      </c>
      <c r="F608" s="1" t="s">
        <v>53</v>
      </c>
      <c r="G608" s="1" t="s">
        <v>48</v>
      </c>
      <c r="H608">
        <v>2481</v>
      </c>
      <c r="I608">
        <v>2575.83</v>
      </c>
      <c r="J608" s="1" t="s">
        <v>42</v>
      </c>
      <c r="K608" s="1" t="s">
        <v>18</v>
      </c>
      <c r="L608">
        <v>9</v>
      </c>
      <c r="M608" t="s">
        <v>19</v>
      </c>
    </row>
    <row r="609" spans="1:13" ht="15.75" customHeight="1" x14ac:dyDescent="0.35">
      <c r="A609" s="1" t="s">
        <v>66</v>
      </c>
      <c r="B609" t="s">
        <v>1083</v>
      </c>
      <c r="C609" s="1" t="s">
        <v>224</v>
      </c>
      <c r="D609" s="4">
        <v>45140</v>
      </c>
      <c r="E609" s="1" t="s">
        <v>85</v>
      </c>
      <c r="F609" s="1" t="s">
        <v>31</v>
      </c>
      <c r="G609" s="1" t="s">
        <v>41</v>
      </c>
      <c r="H609" s="1">
        <v>2481</v>
      </c>
      <c r="I609">
        <v>2575.83</v>
      </c>
      <c r="J609" s="1" t="s">
        <v>25</v>
      </c>
      <c r="K609" s="1" t="s">
        <v>26</v>
      </c>
      <c r="L609">
        <v>9</v>
      </c>
      <c r="M609" t="s">
        <v>65</v>
      </c>
    </row>
    <row r="610" spans="1:13" ht="15.75" customHeight="1" x14ac:dyDescent="0.35">
      <c r="A610" s="1" t="s">
        <v>321</v>
      </c>
      <c r="B610" t="s">
        <v>1083</v>
      </c>
      <c r="C610" t="s">
        <v>1084</v>
      </c>
      <c r="D610" s="4">
        <v>45108</v>
      </c>
      <c r="E610" s="1" t="s">
        <v>77</v>
      </c>
      <c r="F610" s="1" t="s">
        <v>53</v>
      </c>
      <c r="G610" s="1" t="s">
        <v>48</v>
      </c>
      <c r="H610" s="1">
        <v>186.98</v>
      </c>
      <c r="I610">
        <v>2575.83</v>
      </c>
      <c r="J610" s="1" t="s">
        <v>25</v>
      </c>
      <c r="K610" s="1" t="s">
        <v>18</v>
      </c>
      <c r="L610">
        <v>9</v>
      </c>
      <c r="M610" t="s">
        <v>65</v>
      </c>
    </row>
    <row r="611" spans="1:13" ht="15.75" customHeight="1" x14ac:dyDescent="0.35">
      <c r="A611" s="1" t="s">
        <v>66</v>
      </c>
      <c r="B611" t="s">
        <v>1083</v>
      </c>
      <c r="C611" t="s">
        <v>1084</v>
      </c>
      <c r="D611" s="4">
        <v>45128</v>
      </c>
      <c r="E611" s="1" t="s">
        <v>16</v>
      </c>
      <c r="F611" s="1" t="s">
        <v>23</v>
      </c>
      <c r="G611" s="1" t="s">
        <v>48</v>
      </c>
      <c r="H611" s="1">
        <v>2481</v>
      </c>
      <c r="I611" s="1">
        <v>4204.03</v>
      </c>
      <c r="J611" s="1" t="s">
        <v>25</v>
      </c>
      <c r="K611" s="1" t="s">
        <v>32</v>
      </c>
      <c r="L611">
        <v>9</v>
      </c>
      <c r="M611" t="s">
        <v>19</v>
      </c>
    </row>
    <row r="612" spans="1:13" ht="15.75" customHeight="1" x14ac:dyDescent="0.35">
      <c r="A612" s="1" t="s">
        <v>114</v>
      </c>
      <c r="B612" s="1" t="s">
        <v>86</v>
      </c>
      <c r="C612" t="s">
        <v>1084</v>
      </c>
      <c r="D612" s="4">
        <v>45280</v>
      </c>
      <c r="E612" s="1" t="s">
        <v>16</v>
      </c>
      <c r="F612" s="1" t="s">
        <v>47</v>
      </c>
      <c r="G612" t="s">
        <v>1086</v>
      </c>
      <c r="H612" s="1">
        <v>2578.56</v>
      </c>
      <c r="I612">
        <v>2575.83</v>
      </c>
      <c r="J612" s="1" t="s">
        <v>17</v>
      </c>
      <c r="K612" s="1" t="s">
        <v>57</v>
      </c>
      <c r="L612">
        <v>9</v>
      </c>
      <c r="M612" t="s">
        <v>65</v>
      </c>
    </row>
    <row r="613" spans="1:13" ht="15.75" customHeight="1" x14ac:dyDescent="0.35">
      <c r="A613" s="1" t="s">
        <v>198</v>
      </c>
      <c r="B613" t="s">
        <v>1083</v>
      </c>
      <c r="C613" t="s">
        <v>1084</v>
      </c>
      <c r="D613" s="4">
        <v>45086</v>
      </c>
      <c r="E613" s="1" t="s">
        <v>30</v>
      </c>
      <c r="F613" t="s">
        <v>1085</v>
      </c>
      <c r="G613" s="1" t="s">
        <v>24</v>
      </c>
      <c r="H613">
        <v>2481</v>
      </c>
      <c r="I613" s="1">
        <v>3038.76</v>
      </c>
      <c r="J613" s="1" t="s">
        <v>17</v>
      </c>
      <c r="K613" s="1" t="s">
        <v>26</v>
      </c>
      <c r="L613" s="1">
        <v>15</v>
      </c>
      <c r="M613" s="1" t="s">
        <v>19</v>
      </c>
    </row>
    <row r="614" spans="1:13" ht="15.75" customHeight="1" x14ac:dyDescent="0.35">
      <c r="A614" s="1" t="s">
        <v>285</v>
      </c>
      <c r="B614" t="s">
        <v>1083</v>
      </c>
      <c r="C614" t="s">
        <v>1084</v>
      </c>
      <c r="D614" s="4">
        <v>44989</v>
      </c>
      <c r="E614" s="1" t="s">
        <v>77</v>
      </c>
      <c r="F614" s="1" t="s">
        <v>93</v>
      </c>
      <c r="G614" s="1" t="s">
        <v>24</v>
      </c>
      <c r="H614">
        <v>2481</v>
      </c>
      <c r="I614">
        <v>2575.83</v>
      </c>
      <c r="J614" s="1" t="s">
        <v>25</v>
      </c>
      <c r="K614" s="1" t="s">
        <v>57</v>
      </c>
      <c r="L614">
        <v>9</v>
      </c>
      <c r="M614" t="s">
        <v>65</v>
      </c>
    </row>
    <row r="615" spans="1:13" ht="15.75" customHeight="1" x14ac:dyDescent="0.35">
      <c r="A615" s="1" t="s">
        <v>13</v>
      </c>
      <c r="B615" s="1" t="s">
        <v>811</v>
      </c>
      <c r="C615" s="1" t="s">
        <v>119</v>
      </c>
      <c r="D615" s="4">
        <v>45285</v>
      </c>
      <c r="E615" s="1" t="s">
        <v>85</v>
      </c>
      <c r="F615" s="1" t="s">
        <v>53</v>
      </c>
      <c r="G615" s="1" t="s">
        <v>48</v>
      </c>
      <c r="H615" s="1">
        <v>1485.68</v>
      </c>
      <c r="I615">
        <v>2575.83</v>
      </c>
      <c r="J615" s="1" t="s">
        <v>42</v>
      </c>
      <c r="K615" s="1" t="s">
        <v>32</v>
      </c>
      <c r="L615">
        <v>9</v>
      </c>
      <c r="M615" t="s">
        <v>19</v>
      </c>
    </row>
    <row r="616" spans="1:13" ht="15.75" customHeight="1" x14ac:dyDescent="0.35">
      <c r="A616" s="1" t="s">
        <v>173</v>
      </c>
      <c r="B616" t="s">
        <v>1083</v>
      </c>
      <c r="C616" s="1" t="s">
        <v>119</v>
      </c>
      <c r="D616" s="4">
        <v>44988</v>
      </c>
      <c r="E616" s="1" t="s">
        <v>77</v>
      </c>
      <c r="F616" s="1" t="s">
        <v>23</v>
      </c>
      <c r="G616" s="1" t="s">
        <v>54</v>
      </c>
      <c r="H616" s="1">
        <v>2481</v>
      </c>
      <c r="I616">
        <v>2575.83</v>
      </c>
      <c r="J616" s="1" t="s">
        <v>17</v>
      </c>
      <c r="K616" s="1" t="s">
        <v>1093</v>
      </c>
      <c r="L616">
        <v>9</v>
      </c>
      <c r="M616" t="s">
        <v>65</v>
      </c>
    </row>
    <row r="617" spans="1:13" ht="15.75" customHeight="1" x14ac:dyDescent="0.35">
      <c r="A617" s="1" t="s">
        <v>38</v>
      </c>
      <c r="B617" s="1" t="s">
        <v>758</v>
      </c>
      <c r="C617" s="1" t="s">
        <v>518</v>
      </c>
      <c r="D617" s="4">
        <v>45288</v>
      </c>
      <c r="E617" s="1" t="s">
        <v>30</v>
      </c>
      <c r="F617" s="1" t="s">
        <v>23</v>
      </c>
      <c r="G617" s="1" t="s">
        <v>24</v>
      </c>
      <c r="H617">
        <v>2481</v>
      </c>
      <c r="I617" s="1">
        <v>2324.4299999999998</v>
      </c>
      <c r="J617" s="1" t="s">
        <v>42</v>
      </c>
      <c r="K617" s="1" t="s">
        <v>32</v>
      </c>
      <c r="L617">
        <v>9</v>
      </c>
      <c r="M617" t="s">
        <v>19</v>
      </c>
    </row>
    <row r="618" spans="1:13" ht="15.75" customHeight="1" x14ac:dyDescent="0.35">
      <c r="A618" s="1" t="s">
        <v>43</v>
      </c>
      <c r="B618" t="s">
        <v>1083</v>
      </c>
      <c r="C618" s="1" t="s">
        <v>458</v>
      </c>
      <c r="D618" s="4">
        <v>45186</v>
      </c>
      <c r="E618" s="1" t="s">
        <v>30</v>
      </c>
      <c r="F618" s="1" t="s">
        <v>31</v>
      </c>
      <c r="G618" s="1" t="s">
        <v>24</v>
      </c>
      <c r="H618">
        <v>2481</v>
      </c>
      <c r="I618">
        <v>2575.83</v>
      </c>
      <c r="J618" s="1" t="s">
        <v>25</v>
      </c>
      <c r="K618" s="1" t="s">
        <v>26</v>
      </c>
      <c r="L618">
        <v>9</v>
      </c>
      <c r="M618" t="s">
        <v>65</v>
      </c>
    </row>
    <row r="619" spans="1:13" ht="15.75" customHeight="1" x14ac:dyDescent="0.35">
      <c r="A619" s="1" t="s">
        <v>198</v>
      </c>
      <c r="B619" t="s">
        <v>1083</v>
      </c>
      <c r="C619" t="s">
        <v>1084</v>
      </c>
      <c r="D619" s="4">
        <v>45274</v>
      </c>
      <c r="E619" s="1" t="s">
        <v>85</v>
      </c>
      <c r="F619" t="s">
        <v>1085</v>
      </c>
      <c r="G619" s="1" t="s">
        <v>24</v>
      </c>
      <c r="H619" s="1">
        <v>2481</v>
      </c>
      <c r="I619">
        <v>2575.83</v>
      </c>
      <c r="J619" s="1" t="s">
        <v>25</v>
      </c>
      <c r="K619" s="1" t="s">
        <v>26</v>
      </c>
      <c r="L619">
        <v>9</v>
      </c>
      <c r="M619" t="s">
        <v>19</v>
      </c>
    </row>
    <row r="620" spans="1:13" ht="15.75" customHeight="1" x14ac:dyDescent="0.35">
      <c r="A620" s="1" t="s">
        <v>166</v>
      </c>
      <c r="B620" s="1" t="s">
        <v>737</v>
      </c>
      <c r="C620" t="s">
        <v>1084</v>
      </c>
      <c r="D620" s="4">
        <v>45237</v>
      </c>
      <c r="E620" s="1" t="s">
        <v>92</v>
      </c>
      <c r="F620" s="1" t="s">
        <v>23</v>
      </c>
      <c r="G620" t="s">
        <v>1086</v>
      </c>
      <c r="H620">
        <v>2481</v>
      </c>
      <c r="I620">
        <v>2575.83</v>
      </c>
      <c r="J620" s="1" t="s">
        <v>25</v>
      </c>
      <c r="K620" s="1" t="s">
        <v>32</v>
      </c>
      <c r="L620" s="1">
        <v>14</v>
      </c>
      <c r="M620" s="1" t="s">
        <v>65</v>
      </c>
    </row>
    <row r="621" spans="1:13" ht="15.75" customHeight="1" x14ac:dyDescent="0.35">
      <c r="A621" s="1" t="s">
        <v>62</v>
      </c>
      <c r="B621" s="1" t="s">
        <v>815</v>
      </c>
      <c r="C621" s="1" t="s">
        <v>816</v>
      </c>
      <c r="D621" s="4">
        <v>45249</v>
      </c>
      <c r="E621" s="1" t="s">
        <v>16</v>
      </c>
      <c r="F621" s="1" t="s">
        <v>93</v>
      </c>
      <c r="G621" s="1" t="s">
        <v>61</v>
      </c>
      <c r="H621" s="1">
        <v>1829.83</v>
      </c>
      <c r="I621">
        <v>2575.83</v>
      </c>
      <c r="J621" s="1" t="s">
        <v>17</v>
      </c>
      <c r="K621" s="1" t="s">
        <v>1093</v>
      </c>
      <c r="L621" s="1">
        <v>12</v>
      </c>
      <c r="M621" s="1" t="s">
        <v>42</v>
      </c>
    </row>
    <row r="622" spans="1:13" ht="15.75" customHeight="1" x14ac:dyDescent="0.35">
      <c r="A622" s="1" t="s">
        <v>285</v>
      </c>
      <c r="B622" t="s">
        <v>1083</v>
      </c>
      <c r="C622" s="1" t="s">
        <v>518</v>
      </c>
      <c r="D622" s="4">
        <v>45145</v>
      </c>
      <c r="E622" s="1" t="s">
        <v>77</v>
      </c>
      <c r="F622" s="1" t="s">
        <v>23</v>
      </c>
      <c r="G622" s="1" t="s">
        <v>54</v>
      </c>
      <c r="H622">
        <v>2481</v>
      </c>
      <c r="I622">
        <v>2575.83</v>
      </c>
      <c r="J622" s="1" t="s">
        <v>17</v>
      </c>
      <c r="K622" s="1" t="s">
        <v>26</v>
      </c>
      <c r="L622">
        <v>9</v>
      </c>
      <c r="M622" t="s">
        <v>19</v>
      </c>
    </row>
    <row r="623" spans="1:13" ht="15.75" customHeight="1" x14ac:dyDescent="0.35">
      <c r="A623" s="1" t="s">
        <v>105</v>
      </c>
      <c r="B623" t="s">
        <v>1083</v>
      </c>
      <c r="C623" t="s">
        <v>1084</v>
      </c>
      <c r="D623" s="4">
        <v>45287</v>
      </c>
      <c r="E623" s="1" t="s">
        <v>92</v>
      </c>
      <c r="F623" s="1" t="s">
        <v>23</v>
      </c>
      <c r="G623" s="1" t="s">
        <v>54</v>
      </c>
      <c r="H623">
        <v>2481</v>
      </c>
      <c r="I623" s="1">
        <v>2026.14</v>
      </c>
      <c r="J623" s="1" t="s">
        <v>17</v>
      </c>
      <c r="K623" s="1" t="s">
        <v>26</v>
      </c>
      <c r="L623">
        <v>9</v>
      </c>
      <c r="M623" t="s">
        <v>19</v>
      </c>
    </row>
    <row r="624" spans="1:13" ht="15.75" customHeight="1" x14ac:dyDescent="0.35">
      <c r="A624" s="1" t="s">
        <v>43</v>
      </c>
      <c r="B624" s="1" t="s">
        <v>818</v>
      </c>
      <c r="C624" t="s">
        <v>1084</v>
      </c>
      <c r="D624" s="4">
        <v>45060</v>
      </c>
      <c r="E624" s="1" t="s">
        <v>85</v>
      </c>
      <c r="F624" s="1" t="s">
        <v>93</v>
      </c>
      <c r="G624" s="1" t="s">
        <v>54</v>
      </c>
      <c r="H624" s="1">
        <v>4092.97</v>
      </c>
      <c r="I624" s="1">
        <v>1216.31</v>
      </c>
      <c r="J624" s="1" t="s">
        <v>17</v>
      </c>
      <c r="K624" s="1" t="s">
        <v>57</v>
      </c>
      <c r="L624" s="1">
        <v>44</v>
      </c>
      <c r="M624" s="1" t="s">
        <v>19</v>
      </c>
    </row>
    <row r="625" spans="1:13" ht="15.75" customHeight="1" x14ac:dyDescent="0.35">
      <c r="A625" s="1" t="s">
        <v>430</v>
      </c>
      <c r="B625" t="s">
        <v>1083</v>
      </c>
      <c r="C625" s="1" t="s">
        <v>278</v>
      </c>
      <c r="D625" s="4">
        <v>45172</v>
      </c>
      <c r="E625" s="1" t="s">
        <v>16</v>
      </c>
      <c r="F625" s="1" t="s">
        <v>23</v>
      </c>
      <c r="G625" s="1" t="s">
        <v>61</v>
      </c>
      <c r="H625">
        <v>2481</v>
      </c>
      <c r="I625">
        <v>2575.83</v>
      </c>
      <c r="J625" s="1" t="s">
        <v>25</v>
      </c>
      <c r="K625" s="1" t="s">
        <v>32</v>
      </c>
      <c r="L625" s="1">
        <v>50</v>
      </c>
      <c r="M625" s="1" t="s">
        <v>19</v>
      </c>
    </row>
    <row r="626" spans="1:13" ht="15.75" customHeight="1" x14ac:dyDescent="0.35">
      <c r="A626" s="1" t="s">
        <v>82</v>
      </c>
      <c r="B626" s="1" t="s">
        <v>821</v>
      </c>
      <c r="C626" t="s">
        <v>1084</v>
      </c>
      <c r="D626" s="4">
        <v>44936</v>
      </c>
      <c r="E626" s="1" t="s">
        <v>77</v>
      </c>
      <c r="F626" s="1" t="s">
        <v>23</v>
      </c>
      <c r="G626" s="1" t="s">
        <v>48</v>
      </c>
      <c r="H626">
        <v>2481</v>
      </c>
      <c r="I626">
        <v>2575.83</v>
      </c>
      <c r="J626" s="1" t="s">
        <v>17</v>
      </c>
      <c r="K626" s="1" t="s">
        <v>18</v>
      </c>
      <c r="L626">
        <v>9</v>
      </c>
      <c r="M626" t="s">
        <v>19</v>
      </c>
    </row>
    <row r="627" spans="1:13" ht="15.75" customHeight="1" x14ac:dyDescent="0.35">
      <c r="A627" s="1" t="s">
        <v>110</v>
      </c>
      <c r="B627" t="s">
        <v>1083</v>
      </c>
      <c r="C627" t="s">
        <v>1084</v>
      </c>
      <c r="D627" s="4">
        <v>45150</v>
      </c>
      <c r="E627" s="1" t="s">
        <v>16</v>
      </c>
      <c r="F627" s="1" t="s">
        <v>47</v>
      </c>
      <c r="G627" s="1" t="s">
        <v>61</v>
      </c>
      <c r="H627" s="1">
        <v>1174.27</v>
      </c>
      <c r="I627" s="1">
        <v>4955.1499999999996</v>
      </c>
      <c r="J627" s="1" t="s">
        <v>17</v>
      </c>
      <c r="K627" s="1" t="s">
        <v>26</v>
      </c>
      <c r="L627" s="1">
        <v>4</v>
      </c>
      <c r="M627" s="1" t="s">
        <v>65</v>
      </c>
    </row>
    <row r="628" spans="1:13" ht="15.75" customHeight="1" x14ac:dyDescent="0.35">
      <c r="A628" s="1" t="s">
        <v>215</v>
      </c>
      <c r="B628" t="s">
        <v>1083</v>
      </c>
      <c r="C628" t="s">
        <v>1084</v>
      </c>
      <c r="D628" s="4">
        <v>45106</v>
      </c>
      <c r="E628" s="1" t="s">
        <v>92</v>
      </c>
      <c r="F628" s="1" t="s">
        <v>93</v>
      </c>
      <c r="G628" s="1" t="s">
        <v>54</v>
      </c>
      <c r="H628" s="1">
        <v>2019.2</v>
      </c>
      <c r="I628" s="1">
        <v>3300.12</v>
      </c>
      <c r="J628" s="1" t="s">
        <v>42</v>
      </c>
      <c r="K628" s="1" t="s">
        <v>57</v>
      </c>
      <c r="L628">
        <v>9</v>
      </c>
      <c r="M628" t="s">
        <v>19</v>
      </c>
    </row>
    <row r="629" spans="1:13" ht="15.75" customHeight="1" x14ac:dyDescent="0.35">
      <c r="A629" s="1" t="s">
        <v>198</v>
      </c>
      <c r="B629" t="s">
        <v>1083</v>
      </c>
      <c r="C629" t="s">
        <v>1084</v>
      </c>
      <c r="D629" s="4">
        <v>45209</v>
      </c>
      <c r="E629" s="1" t="s">
        <v>30</v>
      </c>
      <c r="F629" s="1" t="s">
        <v>31</v>
      </c>
      <c r="G629" s="1" t="s">
        <v>41</v>
      </c>
      <c r="H629" s="1">
        <v>3503.97</v>
      </c>
      <c r="I629">
        <v>2575.83</v>
      </c>
      <c r="J629" s="1" t="s">
        <v>17</v>
      </c>
      <c r="K629" s="1" t="s">
        <v>1093</v>
      </c>
      <c r="L629" s="1">
        <v>17</v>
      </c>
      <c r="M629" s="1" t="s">
        <v>65</v>
      </c>
    </row>
    <row r="630" spans="1:13" ht="15.75" customHeight="1" x14ac:dyDescent="0.35">
      <c r="A630" s="1" t="s">
        <v>277</v>
      </c>
      <c r="B630" s="1" t="s">
        <v>691</v>
      </c>
      <c r="C630" s="1" t="s">
        <v>414</v>
      </c>
      <c r="D630" s="4">
        <v>44989</v>
      </c>
      <c r="E630" s="1" t="s">
        <v>85</v>
      </c>
      <c r="F630" t="s">
        <v>1085</v>
      </c>
      <c r="G630" s="1" t="s">
        <v>48</v>
      </c>
      <c r="H630" s="1">
        <v>3267.05</v>
      </c>
      <c r="I630" s="1">
        <v>155.38</v>
      </c>
      <c r="J630" s="1" t="s">
        <v>42</v>
      </c>
      <c r="K630" s="1" t="s">
        <v>32</v>
      </c>
      <c r="L630">
        <v>9</v>
      </c>
      <c r="M630" t="s">
        <v>19</v>
      </c>
    </row>
    <row r="631" spans="1:13" ht="15.75" customHeight="1" x14ac:dyDescent="0.35">
      <c r="A631" s="1" t="s">
        <v>96</v>
      </c>
      <c r="B631" t="s">
        <v>1083</v>
      </c>
      <c r="C631" t="s">
        <v>1084</v>
      </c>
      <c r="D631" s="4">
        <v>44936</v>
      </c>
      <c r="E631" s="1" t="s">
        <v>77</v>
      </c>
      <c r="F631" s="1" t="s">
        <v>23</v>
      </c>
      <c r="G631" s="1" t="s">
        <v>24</v>
      </c>
      <c r="H631" s="1">
        <v>2481</v>
      </c>
      <c r="I631">
        <v>2575.83</v>
      </c>
      <c r="J631" s="1" t="s">
        <v>42</v>
      </c>
      <c r="K631" s="1" t="s">
        <v>26</v>
      </c>
      <c r="L631">
        <v>9</v>
      </c>
      <c r="M631" t="s">
        <v>19</v>
      </c>
    </row>
    <row r="632" spans="1:13" ht="15.75" customHeight="1" x14ac:dyDescent="0.35">
      <c r="A632" s="1" t="s">
        <v>154</v>
      </c>
      <c r="B632" t="s">
        <v>1083</v>
      </c>
      <c r="C632" s="1" t="s">
        <v>45</v>
      </c>
      <c r="D632" s="4">
        <v>45101</v>
      </c>
      <c r="E632" s="1" t="s">
        <v>85</v>
      </c>
      <c r="F632" s="1" t="s">
        <v>53</v>
      </c>
      <c r="G632" t="s">
        <v>1086</v>
      </c>
      <c r="H632" s="1">
        <v>4646.3999999999996</v>
      </c>
      <c r="I632">
        <v>2575.83</v>
      </c>
      <c r="J632" s="1" t="s">
        <v>42</v>
      </c>
      <c r="K632" s="1" t="s">
        <v>57</v>
      </c>
      <c r="L632">
        <v>9</v>
      </c>
      <c r="M632" t="s">
        <v>42</v>
      </c>
    </row>
    <row r="633" spans="1:13" ht="15.75" customHeight="1" x14ac:dyDescent="0.35">
      <c r="A633" s="1" t="s">
        <v>168</v>
      </c>
      <c r="B633" t="s">
        <v>1083</v>
      </c>
      <c r="C633" s="1" t="s">
        <v>45</v>
      </c>
      <c r="D633" s="4">
        <v>45122</v>
      </c>
      <c r="E633" s="1" t="s">
        <v>16</v>
      </c>
      <c r="F633" s="1" t="s">
        <v>31</v>
      </c>
      <c r="G633" t="s">
        <v>1086</v>
      </c>
      <c r="H633">
        <v>2481</v>
      </c>
      <c r="I633">
        <v>2575.83</v>
      </c>
      <c r="J633" s="1" t="s">
        <v>42</v>
      </c>
      <c r="K633" s="1" t="s">
        <v>57</v>
      </c>
      <c r="L633" s="1">
        <v>25</v>
      </c>
      <c r="M633" s="1" t="s">
        <v>42</v>
      </c>
    </row>
    <row r="634" spans="1:13" ht="15.75" customHeight="1" x14ac:dyDescent="0.35">
      <c r="A634" s="1" t="s">
        <v>38</v>
      </c>
      <c r="B634" t="s">
        <v>1083</v>
      </c>
      <c r="C634" t="s">
        <v>1084</v>
      </c>
      <c r="D634" s="4">
        <v>45261</v>
      </c>
      <c r="E634" s="1" t="s">
        <v>92</v>
      </c>
      <c r="F634" s="1" t="s">
        <v>47</v>
      </c>
      <c r="G634" t="s">
        <v>1086</v>
      </c>
      <c r="H634">
        <v>2481</v>
      </c>
      <c r="I634" s="1">
        <v>2246.85</v>
      </c>
      <c r="J634" s="1" t="s">
        <v>25</v>
      </c>
      <c r="K634" s="1" t="s">
        <v>26</v>
      </c>
      <c r="L634" s="1">
        <v>29</v>
      </c>
      <c r="M634" s="1" t="s">
        <v>19</v>
      </c>
    </row>
    <row r="635" spans="1:13" ht="15.75" customHeight="1" x14ac:dyDescent="0.35">
      <c r="A635" s="1" t="s">
        <v>285</v>
      </c>
      <c r="B635" t="s">
        <v>1083</v>
      </c>
      <c r="C635" t="s">
        <v>1084</v>
      </c>
      <c r="D635" s="4">
        <v>45223</v>
      </c>
      <c r="E635" s="1" t="s">
        <v>30</v>
      </c>
      <c r="F635" s="1" t="s">
        <v>47</v>
      </c>
      <c r="G635" s="1" t="s">
        <v>41</v>
      </c>
      <c r="H635">
        <v>2481</v>
      </c>
      <c r="I635">
        <v>2575.83</v>
      </c>
      <c r="J635" s="1" t="s">
        <v>42</v>
      </c>
      <c r="K635" s="1" t="s">
        <v>1093</v>
      </c>
      <c r="L635" s="1">
        <v>8</v>
      </c>
      <c r="M635" s="1" t="s">
        <v>65</v>
      </c>
    </row>
    <row r="636" spans="1:13" ht="15.75" customHeight="1" x14ac:dyDescent="0.35">
      <c r="A636" s="1" t="s">
        <v>50</v>
      </c>
      <c r="B636" t="s">
        <v>1083</v>
      </c>
      <c r="C636" s="1" t="s">
        <v>416</v>
      </c>
      <c r="D636" s="4">
        <v>44985</v>
      </c>
      <c r="E636" s="1" t="s">
        <v>16</v>
      </c>
      <c r="F636" s="1" t="s">
        <v>47</v>
      </c>
      <c r="G636" s="1" t="s">
        <v>48</v>
      </c>
      <c r="H636">
        <v>2481</v>
      </c>
      <c r="I636">
        <v>2575.83</v>
      </c>
      <c r="J636" s="1" t="s">
        <v>42</v>
      </c>
      <c r="K636" s="1" t="s">
        <v>32</v>
      </c>
      <c r="L636">
        <v>9</v>
      </c>
      <c r="M636" t="s">
        <v>19</v>
      </c>
    </row>
    <row r="637" spans="1:13" ht="15.75" customHeight="1" x14ac:dyDescent="0.35">
      <c r="A637" s="1" t="s">
        <v>73</v>
      </c>
      <c r="B637" s="1" t="s">
        <v>513</v>
      </c>
      <c r="C637" s="1" t="s">
        <v>440</v>
      </c>
      <c r="D637" s="4">
        <v>44966</v>
      </c>
      <c r="E637" s="1" t="s">
        <v>77</v>
      </c>
      <c r="F637" s="1" t="s">
        <v>23</v>
      </c>
      <c r="G637" s="1" t="s">
        <v>54</v>
      </c>
      <c r="H637">
        <v>2481</v>
      </c>
      <c r="I637">
        <v>2575.83</v>
      </c>
      <c r="J637" s="1" t="s">
        <v>25</v>
      </c>
      <c r="K637" s="1" t="s">
        <v>26</v>
      </c>
      <c r="L637">
        <v>9</v>
      </c>
      <c r="M637" t="s">
        <v>19</v>
      </c>
    </row>
    <row r="638" spans="1:13" ht="15.75" customHeight="1" x14ac:dyDescent="0.35">
      <c r="A638" s="1" t="s">
        <v>50</v>
      </c>
      <c r="B638" t="s">
        <v>1083</v>
      </c>
      <c r="C638" t="s">
        <v>1084</v>
      </c>
      <c r="D638" s="4">
        <v>45135</v>
      </c>
      <c r="E638" s="1" t="s">
        <v>77</v>
      </c>
      <c r="F638" s="1" t="s">
        <v>31</v>
      </c>
      <c r="G638" s="1" t="s">
        <v>54</v>
      </c>
      <c r="H638" s="1">
        <v>204.23</v>
      </c>
      <c r="I638" s="1">
        <v>1489.82</v>
      </c>
      <c r="J638" s="1" t="s">
        <v>17</v>
      </c>
      <c r="K638" s="1" t="s">
        <v>26</v>
      </c>
      <c r="L638">
        <v>9</v>
      </c>
      <c r="M638" t="s">
        <v>65</v>
      </c>
    </row>
    <row r="639" spans="1:13" ht="15.75" customHeight="1" x14ac:dyDescent="0.35">
      <c r="A639" s="1" t="s">
        <v>58</v>
      </c>
      <c r="B639" t="s">
        <v>1083</v>
      </c>
      <c r="C639" t="s">
        <v>1084</v>
      </c>
      <c r="D639" s="4">
        <v>45037</v>
      </c>
      <c r="E639" s="1" t="s">
        <v>16</v>
      </c>
      <c r="F639" t="s">
        <v>1085</v>
      </c>
      <c r="G639" s="1" t="s">
        <v>24</v>
      </c>
      <c r="H639" s="1">
        <v>1936.39</v>
      </c>
      <c r="I639" s="1">
        <v>4778.1400000000003</v>
      </c>
      <c r="J639" s="1" t="s">
        <v>17</v>
      </c>
      <c r="K639" s="1" t="s">
        <v>57</v>
      </c>
      <c r="L639">
        <v>9</v>
      </c>
      <c r="M639" t="s">
        <v>42</v>
      </c>
    </row>
    <row r="640" spans="1:13" ht="15.75" customHeight="1" x14ac:dyDescent="0.35">
      <c r="A640" s="1" t="s">
        <v>168</v>
      </c>
      <c r="B640" t="s">
        <v>1083</v>
      </c>
      <c r="C640" s="1" t="s">
        <v>183</v>
      </c>
      <c r="D640" s="4">
        <v>44953</v>
      </c>
      <c r="E640" s="1" t="s">
        <v>16</v>
      </c>
      <c r="F640" s="1" t="s">
        <v>47</v>
      </c>
      <c r="G640" s="1" t="s">
        <v>54</v>
      </c>
      <c r="H640">
        <v>2481</v>
      </c>
      <c r="I640">
        <v>2575.83</v>
      </c>
      <c r="J640" s="1" t="s">
        <v>17</v>
      </c>
      <c r="K640" s="1" t="s">
        <v>32</v>
      </c>
      <c r="L640">
        <v>9</v>
      </c>
      <c r="M640" t="s">
        <v>65</v>
      </c>
    </row>
    <row r="641" spans="1:13" ht="15.75" customHeight="1" x14ac:dyDescent="0.35">
      <c r="A641" s="1" t="s">
        <v>173</v>
      </c>
      <c r="B641" t="s">
        <v>1083</v>
      </c>
      <c r="C641" s="1" t="s">
        <v>425</v>
      </c>
      <c r="D641" s="4">
        <v>45154</v>
      </c>
      <c r="E641" s="1" t="s">
        <v>92</v>
      </c>
      <c r="F641" s="1" t="s">
        <v>47</v>
      </c>
      <c r="G641" s="1" t="s">
        <v>54</v>
      </c>
      <c r="H641" s="1">
        <v>2481</v>
      </c>
      <c r="I641">
        <v>2575.83</v>
      </c>
      <c r="J641" s="1" t="s">
        <v>25</v>
      </c>
      <c r="K641" s="1" t="s">
        <v>18</v>
      </c>
      <c r="L641" s="1">
        <v>36</v>
      </c>
      <c r="M641" s="1" t="s">
        <v>42</v>
      </c>
    </row>
    <row r="642" spans="1:13" ht="15.75" customHeight="1" x14ac:dyDescent="0.35">
      <c r="A642" s="1" t="s">
        <v>170</v>
      </c>
      <c r="B642" t="s">
        <v>1083</v>
      </c>
      <c r="C642" s="1" t="s">
        <v>243</v>
      </c>
      <c r="D642" s="4">
        <v>45060</v>
      </c>
      <c r="E642" s="1" t="s">
        <v>92</v>
      </c>
      <c r="F642" s="1" t="s">
        <v>23</v>
      </c>
      <c r="G642" s="1" t="s">
        <v>61</v>
      </c>
      <c r="H642">
        <v>2481</v>
      </c>
      <c r="I642">
        <v>2575.83</v>
      </c>
      <c r="J642" s="1" t="s">
        <v>17</v>
      </c>
      <c r="K642" s="1" t="s">
        <v>18</v>
      </c>
      <c r="L642">
        <v>9</v>
      </c>
      <c r="M642" t="s">
        <v>19</v>
      </c>
    </row>
    <row r="643" spans="1:13" ht="15.75" customHeight="1" x14ac:dyDescent="0.35">
      <c r="A643" s="1" t="s">
        <v>132</v>
      </c>
      <c r="B643" t="s">
        <v>1083</v>
      </c>
      <c r="C643" t="s">
        <v>1084</v>
      </c>
      <c r="D643" s="4">
        <v>44991</v>
      </c>
      <c r="E643" s="1" t="s">
        <v>16</v>
      </c>
      <c r="F643" t="s">
        <v>1085</v>
      </c>
      <c r="G643" s="1" t="s">
        <v>24</v>
      </c>
      <c r="H643" s="1">
        <v>2481</v>
      </c>
      <c r="I643">
        <v>2575.83</v>
      </c>
      <c r="J643" s="1" t="s">
        <v>17</v>
      </c>
      <c r="K643" s="1" t="s">
        <v>1093</v>
      </c>
      <c r="L643">
        <v>9</v>
      </c>
      <c r="M643" t="s">
        <v>65</v>
      </c>
    </row>
    <row r="644" spans="1:13" ht="15.75" customHeight="1" x14ac:dyDescent="0.35">
      <c r="A644" s="1" t="s">
        <v>137</v>
      </c>
      <c r="B644" s="1" t="s">
        <v>237</v>
      </c>
      <c r="C644" t="s">
        <v>1084</v>
      </c>
      <c r="D644" s="4">
        <v>45229</v>
      </c>
      <c r="E644" s="1" t="s">
        <v>16</v>
      </c>
      <c r="F644" s="1" t="s">
        <v>23</v>
      </c>
      <c r="G644" s="1" t="s">
        <v>61</v>
      </c>
      <c r="H644" s="1">
        <v>2481</v>
      </c>
      <c r="I644">
        <v>2575.83</v>
      </c>
      <c r="J644" s="1" t="s">
        <v>25</v>
      </c>
      <c r="K644" s="1" t="s">
        <v>1093</v>
      </c>
      <c r="L644">
        <v>9</v>
      </c>
      <c r="M644" t="s">
        <v>65</v>
      </c>
    </row>
    <row r="645" spans="1:13" ht="15.75" customHeight="1" x14ac:dyDescent="0.35">
      <c r="A645" s="1" t="s">
        <v>168</v>
      </c>
      <c r="B645" t="s">
        <v>1083</v>
      </c>
      <c r="C645" s="1" t="s">
        <v>224</v>
      </c>
      <c r="D645" s="4">
        <v>45230</v>
      </c>
      <c r="E645" s="1" t="s">
        <v>92</v>
      </c>
      <c r="F645" t="s">
        <v>1085</v>
      </c>
      <c r="G645" t="s">
        <v>1086</v>
      </c>
      <c r="H645" s="1">
        <v>2481</v>
      </c>
      <c r="I645">
        <v>2575.83</v>
      </c>
      <c r="J645" s="1" t="s">
        <v>17</v>
      </c>
      <c r="K645" s="1" t="s">
        <v>32</v>
      </c>
      <c r="L645" s="1">
        <v>60</v>
      </c>
      <c r="M645" s="1" t="s">
        <v>65</v>
      </c>
    </row>
    <row r="646" spans="1:13" ht="15.75" customHeight="1" x14ac:dyDescent="0.35">
      <c r="A646" s="1" t="s">
        <v>192</v>
      </c>
      <c r="B646" t="s">
        <v>1083</v>
      </c>
      <c r="C646" t="s">
        <v>1084</v>
      </c>
      <c r="D646" s="4">
        <v>45092</v>
      </c>
      <c r="E646" s="1" t="s">
        <v>85</v>
      </c>
      <c r="F646" s="1" t="s">
        <v>93</v>
      </c>
      <c r="G646" s="1" t="s">
        <v>24</v>
      </c>
      <c r="H646">
        <v>2481</v>
      </c>
      <c r="I646">
        <v>2575.83</v>
      </c>
      <c r="J646" s="1" t="s">
        <v>17</v>
      </c>
      <c r="K646" s="1" t="s">
        <v>57</v>
      </c>
      <c r="L646" s="1">
        <v>20</v>
      </c>
      <c r="M646" s="1" t="s">
        <v>19</v>
      </c>
    </row>
    <row r="647" spans="1:13" ht="15.75" customHeight="1" x14ac:dyDescent="0.35">
      <c r="A647" s="1" t="s">
        <v>261</v>
      </c>
      <c r="B647" s="1" t="s">
        <v>836</v>
      </c>
      <c r="C647" t="s">
        <v>1084</v>
      </c>
      <c r="D647" s="4">
        <v>45176</v>
      </c>
      <c r="E647" s="1" t="s">
        <v>92</v>
      </c>
      <c r="F647" s="1" t="s">
        <v>31</v>
      </c>
      <c r="G647" s="1" t="s">
        <v>54</v>
      </c>
      <c r="H647">
        <v>2481</v>
      </c>
      <c r="I647" s="1">
        <v>747.97</v>
      </c>
      <c r="J647" s="1" t="s">
        <v>17</v>
      </c>
      <c r="K647" s="1" t="s">
        <v>57</v>
      </c>
      <c r="L647" s="1">
        <v>48</v>
      </c>
      <c r="M647" s="1" t="s">
        <v>19</v>
      </c>
    </row>
    <row r="648" spans="1:13" ht="15.75" customHeight="1" x14ac:dyDescent="0.35">
      <c r="A648" s="1" t="s">
        <v>154</v>
      </c>
      <c r="B648" t="s">
        <v>1083</v>
      </c>
      <c r="C648" s="1" t="s">
        <v>358</v>
      </c>
      <c r="D648" s="4">
        <v>45177</v>
      </c>
      <c r="E648" s="1" t="s">
        <v>85</v>
      </c>
      <c r="F648" s="1" t="s">
        <v>31</v>
      </c>
      <c r="G648" s="1" t="s">
        <v>54</v>
      </c>
      <c r="H648">
        <v>2481</v>
      </c>
      <c r="I648">
        <v>2575.83</v>
      </c>
      <c r="J648" s="1" t="s">
        <v>25</v>
      </c>
      <c r="K648" s="1" t="s">
        <v>26</v>
      </c>
      <c r="L648">
        <v>9</v>
      </c>
      <c r="M648" t="s">
        <v>65</v>
      </c>
    </row>
    <row r="649" spans="1:13" ht="15.75" customHeight="1" x14ac:dyDescent="0.35">
      <c r="A649" s="1" t="s">
        <v>247</v>
      </c>
      <c r="B649" s="1" t="s">
        <v>839</v>
      </c>
      <c r="C649" s="1" t="s">
        <v>97</v>
      </c>
      <c r="D649" s="4">
        <v>45040</v>
      </c>
      <c r="E649" s="1" t="s">
        <v>16</v>
      </c>
      <c r="F649" s="1" t="s">
        <v>31</v>
      </c>
      <c r="G649" s="1" t="s">
        <v>24</v>
      </c>
      <c r="H649" s="1">
        <v>2481</v>
      </c>
      <c r="I649">
        <v>2575.83</v>
      </c>
      <c r="J649" s="1" t="s">
        <v>25</v>
      </c>
      <c r="K649" s="1" t="s">
        <v>32</v>
      </c>
      <c r="L649" s="1">
        <v>57</v>
      </c>
      <c r="M649" s="1" t="s">
        <v>65</v>
      </c>
    </row>
    <row r="650" spans="1:13" ht="15.75" customHeight="1" x14ac:dyDescent="0.35">
      <c r="A650" s="1" t="s">
        <v>108</v>
      </c>
      <c r="B650" t="s">
        <v>1083</v>
      </c>
      <c r="C650" s="1" t="s">
        <v>258</v>
      </c>
      <c r="D650" s="4">
        <v>45212</v>
      </c>
      <c r="E650" s="1" t="s">
        <v>16</v>
      </c>
      <c r="F650" t="s">
        <v>1085</v>
      </c>
      <c r="G650" s="1" t="s">
        <v>61</v>
      </c>
      <c r="H650" s="1">
        <v>2481</v>
      </c>
      <c r="I650" s="1">
        <v>4366.97</v>
      </c>
      <c r="J650" s="1" t="s">
        <v>17</v>
      </c>
      <c r="K650" s="1" t="s">
        <v>32</v>
      </c>
      <c r="L650" s="1">
        <v>30</v>
      </c>
      <c r="M650" s="1" t="s">
        <v>65</v>
      </c>
    </row>
    <row r="651" spans="1:13" ht="15.75" customHeight="1" x14ac:dyDescent="0.35">
      <c r="A651" s="1" t="s">
        <v>102</v>
      </c>
      <c r="B651" t="s">
        <v>1083</v>
      </c>
      <c r="C651" s="1" t="s">
        <v>112</v>
      </c>
      <c r="D651" s="4">
        <v>44972</v>
      </c>
      <c r="E651" s="1" t="s">
        <v>85</v>
      </c>
      <c r="F651" t="s">
        <v>1085</v>
      </c>
      <c r="G651" t="s">
        <v>1086</v>
      </c>
      <c r="H651" s="1">
        <v>1110.24</v>
      </c>
      <c r="I651">
        <v>2575.83</v>
      </c>
      <c r="J651" s="1" t="s">
        <v>17</v>
      </c>
      <c r="K651" s="1" t="s">
        <v>18</v>
      </c>
      <c r="L651">
        <v>9</v>
      </c>
      <c r="M651" t="s">
        <v>19</v>
      </c>
    </row>
    <row r="652" spans="1:13" ht="15.75" customHeight="1" x14ac:dyDescent="0.35">
      <c r="A652" s="1" t="s">
        <v>110</v>
      </c>
      <c r="B652" t="s">
        <v>1083</v>
      </c>
      <c r="C652" s="1" t="s">
        <v>221</v>
      </c>
      <c r="D652" s="4">
        <v>45174</v>
      </c>
      <c r="E652" s="1" t="s">
        <v>16</v>
      </c>
      <c r="F652" s="1" t="s">
        <v>93</v>
      </c>
      <c r="G652" s="1" t="s">
        <v>41</v>
      </c>
      <c r="H652" s="1">
        <v>2481</v>
      </c>
      <c r="I652">
        <v>2575.83</v>
      </c>
      <c r="J652" s="1" t="s">
        <v>25</v>
      </c>
      <c r="K652" s="1" t="s">
        <v>57</v>
      </c>
      <c r="L652">
        <v>9</v>
      </c>
      <c r="M652" t="s">
        <v>65</v>
      </c>
    </row>
    <row r="653" spans="1:13" ht="15.75" customHeight="1" x14ac:dyDescent="0.35">
      <c r="A653" s="1" t="s">
        <v>261</v>
      </c>
      <c r="B653" s="1" t="s">
        <v>616</v>
      </c>
      <c r="C653" t="s">
        <v>1084</v>
      </c>
      <c r="D653" s="4">
        <v>45141</v>
      </c>
      <c r="E653" s="1" t="s">
        <v>16</v>
      </c>
      <c r="F653" s="1" t="s">
        <v>53</v>
      </c>
      <c r="G653" s="1" t="s">
        <v>61</v>
      </c>
      <c r="H653" s="1">
        <v>922.16</v>
      </c>
      <c r="I653">
        <v>2575.83</v>
      </c>
      <c r="J653" s="1" t="s">
        <v>17</v>
      </c>
      <c r="K653" s="1" t="s">
        <v>1093</v>
      </c>
      <c r="L653">
        <v>9</v>
      </c>
      <c r="M653" t="s">
        <v>42</v>
      </c>
    </row>
    <row r="654" spans="1:13" ht="15.75" customHeight="1" x14ac:dyDescent="0.35">
      <c r="A654" s="1" t="s">
        <v>70</v>
      </c>
      <c r="B654" s="1" t="s">
        <v>842</v>
      </c>
      <c r="C654" t="s">
        <v>1084</v>
      </c>
      <c r="D654" s="4">
        <v>45186</v>
      </c>
      <c r="E654" s="1" t="s">
        <v>16</v>
      </c>
      <c r="F654" s="1" t="s">
        <v>47</v>
      </c>
      <c r="G654" s="1" t="s">
        <v>41</v>
      </c>
      <c r="H654" s="1">
        <v>2481</v>
      </c>
      <c r="I654">
        <v>2575.83</v>
      </c>
      <c r="J654" s="1" t="s">
        <v>25</v>
      </c>
      <c r="K654" s="1" t="s">
        <v>1093</v>
      </c>
      <c r="L654" s="1">
        <v>16</v>
      </c>
      <c r="M654" s="1" t="s">
        <v>19</v>
      </c>
    </row>
    <row r="655" spans="1:13" ht="15.75" customHeight="1" x14ac:dyDescent="0.35">
      <c r="A655" s="1" t="s">
        <v>117</v>
      </c>
      <c r="B655" s="1" t="s">
        <v>270</v>
      </c>
      <c r="C655" s="1" t="s">
        <v>696</v>
      </c>
      <c r="D655" s="4">
        <v>45084</v>
      </c>
      <c r="E655" s="1" t="s">
        <v>30</v>
      </c>
      <c r="F655" s="1" t="s">
        <v>93</v>
      </c>
      <c r="G655" s="1" t="s">
        <v>54</v>
      </c>
      <c r="H655" s="1">
        <v>1070.69</v>
      </c>
      <c r="I655">
        <v>2575.83</v>
      </c>
      <c r="J655" s="1" t="s">
        <v>17</v>
      </c>
      <c r="K655" s="1" t="s">
        <v>32</v>
      </c>
      <c r="L655">
        <v>9</v>
      </c>
      <c r="M655" t="s">
        <v>42</v>
      </c>
    </row>
    <row r="656" spans="1:13" ht="15.75" customHeight="1" x14ac:dyDescent="0.35">
      <c r="A656" s="1" t="s">
        <v>105</v>
      </c>
      <c r="B656" s="1" t="s">
        <v>843</v>
      </c>
      <c r="C656" s="1" t="s">
        <v>80</v>
      </c>
      <c r="D656" s="4">
        <v>45107</v>
      </c>
      <c r="E656" s="1" t="s">
        <v>16</v>
      </c>
      <c r="F656" t="s">
        <v>1085</v>
      </c>
      <c r="G656" s="1" t="s">
        <v>61</v>
      </c>
      <c r="H656">
        <v>2481</v>
      </c>
      <c r="I656">
        <v>2575.83</v>
      </c>
      <c r="J656" s="1" t="s">
        <v>25</v>
      </c>
      <c r="K656" s="1" t="s">
        <v>18</v>
      </c>
      <c r="L656" s="1">
        <v>18</v>
      </c>
      <c r="M656" s="1" t="s">
        <v>19</v>
      </c>
    </row>
    <row r="657" spans="1:13" ht="15.75" customHeight="1" x14ac:dyDescent="0.35">
      <c r="A657" s="1" t="s">
        <v>114</v>
      </c>
      <c r="B657" s="1" t="s">
        <v>103</v>
      </c>
      <c r="C657" s="1" t="s">
        <v>228</v>
      </c>
      <c r="D657" s="4">
        <v>44937</v>
      </c>
      <c r="E657" s="1" t="s">
        <v>16</v>
      </c>
      <c r="F657" s="1" t="s">
        <v>47</v>
      </c>
      <c r="G657" s="1" t="s">
        <v>48</v>
      </c>
      <c r="H657">
        <v>2481</v>
      </c>
      <c r="I657" s="1">
        <v>1451.29</v>
      </c>
      <c r="J657" s="1" t="s">
        <v>17</v>
      </c>
      <c r="K657" s="1" t="s">
        <v>18</v>
      </c>
      <c r="L657">
        <v>9</v>
      </c>
      <c r="M657" t="s">
        <v>19</v>
      </c>
    </row>
    <row r="658" spans="1:13" ht="15.75" customHeight="1" x14ac:dyDescent="0.35">
      <c r="A658" s="1" t="s">
        <v>179</v>
      </c>
      <c r="B658" t="s">
        <v>1083</v>
      </c>
      <c r="C658" s="1" t="s">
        <v>442</v>
      </c>
      <c r="D658" s="4">
        <v>45065</v>
      </c>
      <c r="E658" s="1" t="s">
        <v>30</v>
      </c>
      <c r="F658" t="s">
        <v>1085</v>
      </c>
      <c r="G658" t="s">
        <v>1086</v>
      </c>
      <c r="H658" s="1">
        <v>3823.81</v>
      </c>
      <c r="I658">
        <v>2575.83</v>
      </c>
      <c r="J658" s="1" t="s">
        <v>17</v>
      </c>
      <c r="K658" s="1" t="s">
        <v>18</v>
      </c>
      <c r="L658">
        <v>9</v>
      </c>
      <c r="M658" t="s">
        <v>42</v>
      </c>
    </row>
    <row r="659" spans="1:13" ht="15.75" customHeight="1" x14ac:dyDescent="0.35">
      <c r="A659" s="1" t="s">
        <v>179</v>
      </c>
      <c r="B659" s="1" t="s">
        <v>597</v>
      </c>
      <c r="C659" t="s">
        <v>1084</v>
      </c>
      <c r="D659" s="4">
        <v>45189</v>
      </c>
      <c r="E659" s="1" t="s">
        <v>16</v>
      </c>
      <c r="F659" s="1" t="s">
        <v>31</v>
      </c>
      <c r="G659" s="1" t="s">
        <v>41</v>
      </c>
      <c r="H659">
        <v>2481</v>
      </c>
      <c r="I659">
        <v>2575.83</v>
      </c>
      <c r="J659" s="1" t="s">
        <v>25</v>
      </c>
      <c r="K659" s="1" t="s">
        <v>1093</v>
      </c>
      <c r="L659">
        <v>9</v>
      </c>
      <c r="M659" t="s">
        <v>19</v>
      </c>
    </row>
    <row r="660" spans="1:13" ht="15.75" customHeight="1" x14ac:dyDescent="0.35">
      <c r="A660" s="1" t="s">
        <v>198</v>
      </c>
      <c r="B660" t="s">
        <v>1083</v>
      </c>
      <c r="C660" t="s">
        <v>1084</v>
      </c>
      <c r="D660" s="4">
        <v>45200</v>
      </c>
      <c r="E660" s="1" t="s">
        <v>85</v>
      </c>
      <c r="F660" s="1" t="s">
        <v>53</v>
      </c>
      <c r="G660" s="1" t="s">
        <v>61</v>
      </c>
      <c r="H660" s="1">
        <v>2481</v>
      </c>
      <c r="I660">
        <v>2575.83</v>
      </c>
      <c r="J660" s="1" t="s">
        <v>25</v>
      </c>
      <c r="K660" s="1" t="s">
        <v>1093</v>
      </c>
      <c r="L660">
        <v>9</v>
      </c>
      <c r="M660" t="s">
        <v>19</v>
      </c>
    </row>
    <row r="661" spans="1:13" ht="15.75" customHeight="1" x14ac:dyDescent="0.35">
      <c r="A661" s="1" t="s">
        <v>78</v>
      </c>
      <c r="B661" s="1" t="s">
        <v>847</v>
      </c>
      <c r="C661" t="s">
        <v>1084</v>
      </c>
      <c r="D661" s="4">
        <v>44982</v>
      </c>
      <c r="E661" s="1" t="s">
        <v>92</v>
      </c>
      <c r="F661" s="1" t="s">
        <v>31</v>
      </c>
      <c r="G661" s="1" t="s">
        <v>24</v>
      </c>
      <c r="H661" s="1">
        <v>4057.92</v>
      </c>
      <c r="I661" s="1">
        <v>2826.38</v>
      </c>
      <c r="J661" s="1" t="s">
        <v>25</v>
      </c>
      <c r="K661" s="1" t="s">
        <v>57</v>
      </c>
      <c r="L661" s="1">
        <v>15</v>
      </c>
      <c r="M661" s="1" t="s">
        <v>65</v>
      </c>
    </row>
    <row r="662" spans="1:13" ht="15.75" customHeight="1" x14ac:dyDescent="0.35">
      <c r="A662" s="1" t="s">
        <v>78</v>
      </c>
      <c r="B662" t="s">
        <v>1083</v>
      </c>
      <c r="C662" s="1" t="s">
        <v>354</v>
      </c>
      <c r="D662" s="4">
        <v>45179</v>
      </c>
      <c r="E662" s="1" t="s">
        <v>92</v>
      </c>
      <c r="F662" t="s">
        <v>1085</v>
      </c>
      <c r="G662" s="1" t="s">
        <v>41</v>
      </c>
      <c r="H662">
        <v>2481</v>
      </c>
      <c r="I662">
        <v>2575.83</v>
      </c>
      <c r="J662" s="1" t="s">
        <v>25</v>
      </c>
      <c r="K662" s="1" t="s">
        <v>26</v>
      </c>
      <c r="L662">
        <v>9</v>
      </c>
      <c r="M662" t="s">
        <v>65</v>
      </c>
    </row>
    <row r="663" spans="1:13" ht="15.75" customHeight="1" x14ac:dyDescent="0.35">
      <c r="A663" s="1" t="s">
        <v>231</v>
      </c>
      <c r="B663" t="s">
        <v>1083</v>
      </c>
      <c r="C663" t="s">
        <v>1084</v>
      </c>
      <c r="D663" s="4">
        <v>45260</v>
      </c>
      <c r="E663" s="1" t="s">
        <v>77</v>
      </c>
      <c r="F663" t="s">
        <v>1085</v>
      </c>
      <c r="G663" s="1" t="s">
        <v>48</v>
      </c>
      <c r="H663" s="1">
        <v>2596.4299999999998</v>
      </c>
      <c r="I663">
        <v>2575.83</v>
      </c>
      <c r="J663" s="1" t="s">
        <v>25</v>
      </c>
      <c r="K663" s="1" t="s">
        <v>1093</v>
      </c>
      <c r="L663" s="1">
        <v>8</v>
      </c>
      <c r="M663" s="1" t="s">
        <v>65</v>
      </c>
    </row>
    <row r="664" spans="1:13" ht="15.75" customHeight="1" x14ac:dyDescent="0.35">
      <c r="A664" s="1" t="s">
        <v>302</v>
      </c>
      <c r="B664" s="1" t="s">
        <v>737</v>
      </c>
      <c r="C664" s="1" t="s">
        <v>632</v>
      </c>
      <c r="D664" s="4">
        <v>44985</v>
      </c>
      <c r="E664" s="1" t="s">
        <v>77</v>
      </c>
      <c r="F664" s="1" t="s">
        <v>93</v>
      </c>
      <c r="G664" t="s">
        <v>1086</v>
      </c>
      <c r="H664">
        <v>2481</v>
      </c>
      <c r="I664">
        <v>2575.83</v>
      </c>
      <c r="J664" s="1" t="s">
        <v>25</v>
      </c>
      <c r="K664" s="1" t="s">
        <v>1093</v>
      </c>
      <c r="L664">
        <v>9</v>
      </c>
      <c r="M664" t="s">
        <v>19</v>
      </c>
    </row>
    <row r="665" spans="1:13" ht="15.75" customHeight="1" x14ac:dyDescent="0.35">
      <c r="A665" s="1" t="s">
        <v>62</v>
      </c>
      <c r="B665" t="s">
        <v>1083</v>
      </c>
      <c r="C665" t="s">
        <v>1084</v>
      </c>
      <c r="D665" s="4">
        <v>45092</v>
      </c>
      <c r="E665" s="1" t="s">
        <v>30</v>
      </c>
      <c r="F665" t="s">
        <v>1085</v>
      </c>
      <c r="G665" s="1" t="s">
        <v>24</v>
      </c>
      <c r="H665">
        <v>2481</v>
      </c>
      <c r="I665">
        <v>2575.83</v>
      </c>
      <c r="J665" s="1" t="s">
        <v>42</v>
      </c>
      <c r="K665" s="1" t="s">
        <v>57</v>
      </c>
      <c r="L665">
        <v>9</v>
      </c>
      <c r="M665" t="s">
        <v>65</v>
      </c>
    </row>
    <row r="666" spans="1:13" ht="15.75" customHeight="1" x14ac:dyDescent="0.35">
      <c r="A666" s="1" t="s">
        <v>173</v>
      </c>
      <c r="B666" t="s">
        <v>1083</v>
      </c>
      <c r="C666" s="1" t="s">
        <v>133</v>
      </c>
      <c r="D666" s="4">
        <v>45011</v>
      </c>
      <c r="E666" s="1" t="s">
        <v>92</v>
      </c>
      <c r="F666" s="1" t="s">
        <v>53</v>
      </c>
      <c r="G666" s="1" t="s">
        <v>24</v>
      </c>
      <c r="H666" s="1">
        <v>794.23</v>
      </c>
      <c r="I666" s="1">
        <v>1593.61</v>
      </c>
      <c r="J666" s="1" t="s">
        <v>17</v>
      </c>
      <c r="K666" s="1" t="s">
        <v>26</v>
      </c>
      <c r="L666">
        <v>9</v>
      </c>
      <c r="M666" t="s">
        <v>19</v>
      </c>
    </row>
    <row r="667" spans="1:13" ht="15.75" customHeight="1" x14ac:dyDescent="0.35">
      <c r="A667" s="1" t="s">
        <v>108</v>
      </c>
      <c r="B667" t="s">
        <v>1083</v>
      </c>
      <c r="C667" s="1" t="s">
        <v>503</v>
      </c>
      <c r="D667" s="4">
        <v>45252</v>
      </c>
      <c r="E667" s="1" t="s">
        <v>85</v>
      </c>
      <c r="F667" s="1" t="s">
        <v>31</v>
      </c>
      <c r="G667" t="s">
        <v>1086</v>
      </c>
      <c r="H667">
        <v>2481</v>
      </c>
      <c r="I667">
        <v>2575.83</v>
      </c>
      <c r="J667" s="1" t="s">
        <v>17</v>
      </c>
      <c r="K667" s="1" t="s">
        <v>32</v>
      </c>
      <c r="L667">
        <v>9</v>
      </c>
      <c r="M667" t="s">
        <v>65</v>
      </c>
    </row>
    <row r="668" spans="1:13" ht="15.75" customHeight="1" x14ac:dyDescent="0.35">
      <c r="A668" s="1" t="s">
        <v>247</v>
      </c>
      <c r="B668" t="s">
        <v>1083</v>
      </c>
      <c r="C668" s="1" t="s">
        <v>336</v>
      </c>
      <c r="D668" s="4">
        <v>44966</v>
      </c>
      <c r="E668" s="1" t="s">
        <v>16</v>
      </c>
      <c r="F668" s="1" t="s">
        <v>93</v>
      </c>
      <c r="G668" s="1" t="s">
        <v>41</v>
      </c>
      <c r="H668" s="1">
        <v>932.71</v>
      </c>
      <c r="I668">
        <v>2575.83</v>
      </c>
      <c r="J668" s="1" t="s">
        <v>17</v>
      </c>
      <c r="K668" s="1" t="s">
        <v>1093</v>
      </c>
      <c r="L668">
        <v>9</v>
      </c>
      <c r="M668" t="s">
        <v>42</v>
      </c>
    </row>
    <row r="669" spans="1:13" ht="15.75" customHeight="1" x14ac:dyDescent="0.35">
      <c r="A669" s="1" t="s">
        <v>154</v>
      </c>
      <c r="B669" t="s">
        <v>1083</v>
      </c>
      <c r="C669" t="s">
        <v>1084</v>
      </c>
      <c r="D669" s="4">
        <v>45034</v>
      </c>
      <c r="E669" s="1" t="s">
        <v>85</v>
      </c>
      <c r="F669" s="1" t="s">
        <v>23</v>
      </c>
      <c r="G669" s="1" t="s">
        <v>54</v>
      </c>
      <c r="H669" s="1">
        <v>2481</v>
      </c>
      <c r="I669">
        <v>2575.83</v>
      </c>
      <c r="J669" s="1" t="s">
        <v>25</v>
      </c>
      <c r="K669" s="1" t="s">
        <v>26</v>
      </c>
      <c r="L669">
        <v>9</v>
      </c>
      <c r="M669" t="s">
        <v>65</v>
      </c>
    </row>
    <row r="670" spans="1:13" ht="15.75" customHeight="1" x14ac:dyDescent="0.35">
      <c r="A670" s="1" t="s">
        <v>62</v>
      </c>
      <c r="B670" t="s">
        <v>1083</v>
      </c>
      <c r="C670" t="s">
        <v>1084</v>
      </c>
      <c r="D670" s="4">
        <v>45050</v>
      </c>
      <c r="E670" s="1" t="s">
        <v>77</v>
      </c>
      <c r="F670" s="1" t="s">
        <v>53</v>
      </c>
      <c r="G670" s="1" t="s">
        <v>48</v>
      </c>
      <c r="H670">
        <v>2481</v>
      </c>
      <c r="I670">
        <v>2575.83</v>
      </c>
      <c r="J670" s="1" t="s">
        <v>17</v>
      </c>
      <c r="K670" s="1" t="s">
        <v>26</v>
      </c>
      <c r="L670">
        <v>9</v>
      </c>
      <c r="M670" t="s">
        <v>65</v>
      </c>
    </row>
    <row r="671" spans="1:13" ht="15.75" customHeight="1" x14ac:dyDescent="0.35">
      <c r="A671" s="1" t="s">
        <v>132</v>
      </c>
      <c r="B671" t="s">
        <v>1083</v>
      </c>
      <c r="C671" s="1" t="s">
        <v>314</v>
      </c>
      <c r="D671" s="4">
        <v>45213</v>
      </c>
      <c r="E671" s="1" t="s">
        <v>16</v>
      </c>
      <c r="F671" s="1" t="s">
        <v>31</v>
      </c>
      <c r="G671" t="s">
        <v>1086</v>
      </c>
      <c r="H671">
        <v>2481</v>
      </c>
      <c r="I671">
        <v>2575.83</v>
      </c>
      <c r="J671" s="1" t="s">
        <v>25</v>
      </c>
      <c r="K671" s="1" t="s">
        <v>32</v>
      </c>
      <c r="L671">
        <v>9</v>
      </c>
      <c r="M671" t="s">
        <v>65</v>
      </c>
    </row>
    <row r="672" spans="1:13" ht="15.75" customHeight="1" x14ac:dyDescent="0.35">
      <c r="A672" s="1" t="s">
        <v>110</v>
      </c>
      <c r="B672" s="1" t="s">
        <v>647</v>
      </c>
      <c r="C672" t="s">
        <v>1084</v>
      </c>
      <c r="D672" s="4">
        <v>44932</v>
      </c>
      <c r="E672" s="1" t="s">
        <v>92</v>
      </c>
      <c r="F672" s="1" t="s">
        <v>47</v>
      </c>
      <c r="G672" s="1" t="s">
        <v>24</v>
      </c>
      <c r="H672">
        <v>2481</v>
      </c>
      <c r="I672">
        <v>2575.83</v>
      </c>
      <c r="J672" s="1" t="s">
        <v>42</v>
      </c>
      <c r="K672" s="1" t="s">
        <v>57</v>
      </c>
      <c r="L672" s="1">
        <v>58</v>
      </c>
      <c r="M672" s="1" t="s">
        <v>42</v>
      </c>
    </row>
    <row r="673" spans="1:13" ht="15.75" customHeight="1" x14ac:dyDescent="0.35">
      <c r="A673" s="1" t="s">
        <v>38</v>
      </c>
      <c r="B673" t="s">
        <v>1083</v>
      </c>
      <c r="C673" t="s">
        <v>1084</v>
      </c>
      <c r="D673" s="4">
        <v>45283</v>
      </c>
      <c r="E673" s="1" t="s">
        <v>92</v>
      </c>
      <c r="F673" s="1" t="s">
        <v>31</v>
      </c>
      <c r="G673" t="s">
        <v>1086</v>
      </c>
      <c r="H673" s="1">
        <v>333.27</v>
      </c>
      <c r="I673">
        <v>2575.83</v>
      </c>
      <c r="J673" s="1" t="s">
        <v>17</v>
      </c>
      <c r="K673" s="1" t="s">
        <v>1093</v>
      </c>
      <c r="L673" s="1">
        <v>31</v>
      </c>
      <c r="M673" s="1" t="s">
        <v>65</v>
      </c>
    </row>
    <row r="674" spans="1:13" ht="15.75" customHeight="1" x14ac:dyDescent="0.35">
      <c r="A674" s="1" t="s">
        <v>148</v>
      </c>
      <c r="B674" t="s">
        <v>1083</v>
      </c>
      <c r="C674" s="1" t="s">
        <v>479</v>
      </c>
      <c r="D674" s="4">
        <v>45240</v>
      </c>
      <c r="E674" s="1" t="s">
        <v>85</v>
      </c>
      <c r="F674" t="s">
        <v>1085</v>
      </c>
      <c r="G674" t="s">
        <v>1086</v>
      </c>
      <c r="H674" s="1">
        <v>925.69</v>
      </c>
      <c r="I674" s="1">
        <v>2126.88</v>
      </c>
      <c r="J674" s="1" t="s">
        <v>25</v>
      </c>
      <c r="K674" s="1" t="s">
        <v>1093</v>
      </c>
      <c r="L674">
        <v>9</v>
      </c>
      <c r="M674" t="s">
        <v>19</v>
      </c>
    </row>
    <row r="675" spans="1:13" ht="15.75" customHeight="1" x14ac:dyDescent="0.35">
      <c r="A675" s="1" t="s">
        <v>58</v>
      </c>
      <c r="B675" t="s">
        <v>1083</v>
      </c>
      <c r="C675" s="1" t="s">
        <v>97</v>
      </c>
      <c r="D675" s="4">
        <v>45241</v>
      </c>
      <c r="E675" s="1" t="s">
        <v>85</v>
      </c>
      <c r="F675" t="s">
        <v>1085</v>
      </c>
      <c r="G675" s="1" t="s">
        <v>41</v>
      </c>
      <c r="H675">
        <v>2481</v>
      </c>
      <c r="I675">
        <v>2575.83</v>
      </c>
      <c r="J675" s="1" t="s">
        <v>25</v>
      </c>
      <c r="K675" s="1" t="s">
        <v>1093</v>
      </c>
      <c r="L675">
        <v>9</v>
      </c>
      <c r="M675" t="s">
        <v>19</v>
      </c>
    </row>
    <row r="676" spans="1:13" ht="15.75" customHeight="1" x14ac:dyDescent="0.35">
      <c r="A676" s="1" t="s">
        <v>430</v>
      </c>
      <c r="B676" t="s">
        <v>1083</v>
      </c>
      <c r="C676" t="s">
        <v>1084</v>
      </c>
      <c r="D676" s="4">
        <v>44969</v>
      </c>
      <c r="E676" s="1" t="s">
        <v>92</v>
      </c>
      <c r="F676" s="1" t="s">
        <v>47</v>
      </c>
      <c r="G676" s="1" t="s">
        <v>24</v>
      </c>
      <c r="H676">
        <v>2481</v>
      </c>
      <c r="I676" s="1">
        <v>3194.73</v>
      </c>
      <c r="J676" s="1" t="s">
        <v>42</v>
      </c>
      <c r="K676" s="1" t="s">
        <v>32</v>
      </c>
      <c r="L676">
        <v>9</v>
      </c>
      <c r="M676" t="s">
        <v>19</v>
      </c>
    </row>
    <row r="677" spans="1:13" ht="15.75" customHeight="1" x14ac:dyDescent="0.35">
      <c r="A677" s="1" t="s">
        <v>114</v>
      </c>
      <c r="B677" t="s">
        <v>1083</v>
      </c>
      <c r="C677" s="1" t="s">
        <v>592</v>
      </c>
      <c r="D677" s="4">
        <v>45216</v>
      </c>
      <c r="E677" s="1" t="s">
        <v>16</v>
      </c>
      <c r="F677" s="1" t="s">
        <v>93</v>
      </c>
      <c r="G677" t="s">
        <v>1086</v>
      </c>
      <c r="H677" s="1">
        <v>477.77</v>
      </c>
      <c r="I677" s="1">
        <v>3845.28</v>
      </c>
      <c r="J677" s="1" t="s">
        <v>17</v>
      </c>
      <c r="K677" s="1" t="s">
        <v>32</v>
      </c>
      <c r="L677" s="1">
        <v>29</v>
      </c>
      <c r="M677" s="1" t="s">
        <v>65</v>
      </c>
    </row>
    <row r="678" spans="1:13" ht="15.75" customHeight="1" x14ac:dyDescent="0.35">
      <c r="A678" s="1" t="s">
        <v>192</v>
      </c>
      <c r="B678" t="s">
        <v>1083</v>
      </c>
      <c r="C678" s="1" t="s">
        <v>395</v>
      </c>
      <c r="D678" s="4">
        <v>45121</v>
      </c>
      <c r="E678" s="1" t="s">
        <v>92</v>
      </c>
      <c r="F678" s="1" t="s">
        <v>93</v>
      </c>
      <c r="G678" s="1" t="s">
        <v>41</v>
      </c>
      <c r="H678" s="1">
        <v>2481</v>
      </c>
      <c r="I678" s="1">
        <v>1168.5</v>
      </c>
      <c r="J678" s="1" t="s">
        <v>42</v>
      </c>
      <c r="K678" s="1" t="s">
        <v>18</v>
      </c>
      <c r="L678">
        <v>9</v>
      </c>
      <c r="M678" t="s">
        <v>19</v>
      </c>
    </row>
    <row r="679" spans="1:13" ht="15.75" customHeight="1" x14ac:dyDescent="0.35">
      <c r="A679" s="1" t="s">
        <v>321</v>
      </c>
      <c r="B679" t="s">
        <v>1083</v>
      </c>
      <c r="C679" t="s">
        <v>1084</v>
      </c>
      <c r="D679" s="4">
        <v>45223</v>
      </c>
      <c r="E679" s="1" t="s">
        <v>85</v>
      </c>
      <c r="F679" t="s">
        <v>1085</v>
      </c>
      <c r="G679" s="1" t="s">
        <v>54</v>
      </c>
      <c r="H679">
        <v>2481</v>
      </c>
      <c r="I679">
        <v>2575.83</v>
      </c>
      <c r="J679" s="1" t="s">
        <v>25</v>
      </c>
      <c r="K679" s="1" t="s">
        <v>18</v>
      </c>
      <c r="L679">
        <v>9</v>
      </c>
      <c r="M679" t="s">
        <v>65</v>
      </c>
    </row>
    <row r="680" spans="1:13" ht="15.75" customHeight="1" x14ac:dyDescent="0.35">
      <c r="A680" s="1" t="s">
        <v>321</v>
      </c>
      <c r="B680" t="s">
        <v>1083</v>
      </c>
      <c r="C680" t="s">
        <v>1084</v>
      </c>
      <c r="D680" s="4">
        <v>45285</v>
      </c>
      <c r="E680" s="1" t="s">
        <v>30</v>
      </c>
      <c r="F680" t="s">
        <v>1085</v>
      </c>
      <c r="G680" s="1" t="s">
        <v>41</v>
      </c>
      <c r="H680">
        <v>2481</v>
      </c>
      <c r="I680">
        <v>2575.83</v>
      </c>
      <c r="J680" s="1" t="s">
        <v>25</v>
      </c>
      <c r="K680" s="1" t="s">
        <v>26</v>
      </c>
      <c r="L680">
        <v>9</v>
      </c>
      <c r="M680" t="s">
        <v>65</v>
      </c>
    </row>
    <row r="681" spans="1:13" ht="15.75" customHeight="1" x14ac:dyDescent="0.35">
      <c r="A681" s="1" t="s">
        <v>285</v>
      </c>
      <c r="B681" t="s">
        <v>1083</v>
      </c>
      <c r="C681" t="s">
        <v>1084</v>
      </c>
      <c r="D681" s="4">
        <v>45120</v>
      </c>
      <c r="E681" s="1" t="s">
        <v>30</v>
      </c>
      <c r="F681" s="1" t="s">
        <v>23</v>
      </c>
      <c r="G681" s="1" t="s">
        <v>41</v>
      </c>
      <c r="H681">
        <v>2481</v>
      </c>
      <c r="I681" s="1">
        <v>4353.18</v>
      </c>
      <c r="J681" s="1" t="s">
        <v>17</v>
      </c>
      <c r="K681" s="1" t="s">
        <v>1093</v>
      </c>
      <c r="L681">
        <v>9</v>
      </c>
      <c r="M681" t="s">
        <v>19</v>
      </c>
    </row>
    <row r="682" spans="1:13" ht="15.75" customHeight="1" x14ac:dyDescent="0.35">
      <c r="A682" s="1" t="s">
        <v>43</v>
      </c>
      <c r="B682" s="1" t="s">
        <v>351</v>
      </c>
      <c r="C682" t="s">
        <v>1084</v>
      </c>
      <c r="D682" s="4">
        <v>45010</v>
      </c>
      <c r="E682" s="1" t="s">
        <v>85</v>
      </c>
      <c r="F682" s="1" t="s">
        <v>23</v>
      </c>
      <c r="G682" s="1" t="s">
        <v>48</v>
      </c>
      <c r="H682" s="1">
        <v>2481</v>
      </c>
      <c r="I682">
        <v>2575.83</v>
      </c>
      <c r="J682" s="1" t="s">
        <v>17</v>
      </c>
      <c r="K682" s="1" t="s">
        <v>32</v>
      </c>
      <c r="L682">
        <v>9</v>
      </c>
      <c r="M682" t="s">
        <v>42</v>
      </c>
    </row>
    <row r="683" spans="1:13" ht="15.75" customHeight="1" x14ac:dyDescent="0.35">
      <c r="A683" s="1" t="s">
        <v>114</v>
      </c>
      <c r="B683" t="s">
        <v>1083</v>
      </c>
      <c r="C683" t="s">
        <v>1084</v>
      </c>
      <c r="D683" s="4">
        <v>44947</v>
      </c>
      <c r="E683" s="1" t="s">
        <v>77</v>
      </c>
      <c r="F683" s="1" t="s">
        <v>53</v>
      </c>
      <c r="G683" s="1" t="s">
        <v>41</v>
      </c>
      <c r="H683" s="1">
        <v>4772.21</v>
      </c>
      <c r="I683" s="1">
        <v>861.93</v>
      </c>
      <c r="J683" s="1" t="s">
        <v>42</v>
      </c>
      <c r="K683" s="1" t="s">
        <v>57</v>
      </c>
      <c r="L683">
        <v>9</v>
      </c>
      <c r="M683" t="s">
        <v>65</v>
      </c>
    </row>
    <row r="684" spans="1:13" ht="15.75" customHeight="1" x14ac:dyDescent="0.35">
      <c r="A684" s="1" t="s">
        <v>209</v>
      </c>
      <c r="B684" s="1" t="s">
        <v>858</v>
      </c>
      <c r="C684" t="s">
        <v>1084</v>
      </c>
      <c r="D684" s="4">
        <v>44954</v>
      </c>
      <c r="E684" s="1" t="s">
        <v>85</v>
      </c>
      <c r="F684" s="1" t="s">
        <v>31</v>
      </c>
      <c r="G684" s="1" t="s">
        <v>48</v>
      </c>
      <c r="H684" s="1">
        <v>2010.17</v>
      </c>
      <c r="I684" s="1">
        <v>3310.11</v>
      </c>
      <c r="J684" s="1" t="s">
        <v>17</v>
      </c>
      <c r="K684" s="1" t="s">
        <v>32</v>
      </c>
      <c r="L684" s="1">
        <v>19</v>
      </c>
      <c r="M684" s="1" t="s">
        <v>65</v>
      </c>
    </row>
    <row r="685" spans="1:13" ht="15.75" customHeight="1" x14ac:dyDescent="0.35">
      <c r="A685" s="1" t="s">
        <v>170</v>
      </c>
      <c r="B685" t="s">
        <v>1083</v>
      </c>
      <c r="C685" s="1" t="s">
        <v>816</v>
      </c>
      <c r="D685" s="4">
        <v>45277</v>
      </c>
      <c r="E685" s="1" t="s">
        <v>16</v>
      </c>
      <c r="F685" s="1" t="s">
        <v>53</v>
      </c>
      <c r="G685" s="1" t="s">
        <v>24</v>
      </c>
      <c r="H685" s="1">
        <v>2481</v>
      </c>
      <c r="I685">
        <v>2575.83</v>
      </c>
      <c r="J685" s="1" t="s">
        <v>25</v>
      </c>
      <c r="K685" s="1" t="s">
        <v>1093</v>
      </c>
      <c r="L685" s="1">
        <v>45</v>
      </c>
      <c r="M685" s="1" t="s">
        <v>19</v>
      </c>
    </row>
    <row r="686" spans="1:13" ht="15.75" customHeight="1" x14ac:dyDescent="0.35">
      <c r="A686" s="1" t="s">
        <v>33</v>
      </c>
      <c r="B686" t="s">
        <v>1083</v>
      </c>
      <c r="C686" s="1" t="s">
        <v>245</v>
      </c>
      <c r="D686" s="4">
        <v>45071</v>
      </c>
      <c r="E686" s="1" t="s">
        <v>16</v>
      </c>
      <c r="F686" s="1" t="s">
        <v>53</v>
      </c>
      <c r="G686" s="1" t="s">
        <v>54</v>
      </c>
      <c r="H686">
        <v>2481</v>
      </c>
      <c r="I686">
        <v>2575.83</v>
      </c>
      <c r="J686" s="1" t="s">
        <v>17</v>
      </c>
      <c r="K686" s="1" t="s">
        <v>26</v>
      </c>
      <c r="L686">
        <v>9</v>
      </c>
      <c r="M686" t="s">
        <v>65</v>
      </c>
    </row>
    <row r="687" spans="1:13" ht="15.75" customHeight="1" x14ac:dyDescent="0.35">
      <c r="A687" s="1" t="s">
        <v>202</v>
      </c>
      <c r="B687" t="s">
        <v>1083</v>
      </c>
      <c r="C687" t="s">
        <v>1084</v>
      </c>
      <c r="D687" s="4">
        <v>45239</v>
      </c>
      <c r="E687" s="1" t="s">
        <v>85</v>
      </c>
      <c r="F687" s="1" t="s">
        <v>53</v>
      </c>
      <c r="G687" s="1" t="s">
        <v>61</v>
      </c>
      <c r="H687" s="1">
        <v>2481</v>
      </c>
      <c r="I687" s="1">
        <v>980.45</v>
      </c>
      <c r="J687" s="1" t="s">
        <v>42</v>
      </c>
      <c r="K687" s="1" t="s">
        <v>1093</v>
      </c>
      <c r="L687">
        <v>9</v>
      </c>
      <c r="M687" t="s">
        <v>65</v>
      </c>
    </row>
    <row r="688" spans="1:13" ht="15.75" customHeight="1" x14ac:dyDescent="0.35">
      <c r="A688" s="1" t="s">
        <v>43</v>
      </c>
      <c r="B688" t="s">
        <v>1083</v>
      </c>
      <c r="C688" t="s">
        <v>1084</v>
      </c>
      <c r="D688" s="4">
        <v>45125</v>
      </c>
      <c r="E688" s="1" t="s">
        <v>16</v>
      </c>
      <c r="F688" s="1" t="s">
        <v>31</v>
      </c>
      <c r="G688" s="1" t="s">
        <v>48</v>
      </c>
      <c r="H688" s="1">
        <v>938.61</v>
      </c>
      <c r="I688" s="1">
        <v>2351.37</v>
      </c>
      <c r="J688" s="1" t="s">
        <v>42</v>
      </c>
      <c r="K688" s="1" t="s">
        <v>26</v>
      </c>
      <c r="L688">
        <v>9</v>
      </c>
      <c r="M688" t="s">
        <v>19</v>
      </c>
    </row>
    <row r="689" spans="1:13" ht="15.75" customHeight="1" x14ac:dyDescent="0.35">
      <c r="A689" s="1" t="s">
        <v>132</v>
      </c>
      <c r="B689" s="1" t="s">
        <v>299</v>
      </c>
      <c r="C689" t="s">
        <v>1084</v>
      </c>
      <c r="D689" s="4">
        <v>45159</v>
      </c>
      <c r="E689" s="1" t="s">
        <v>16</v>
      </c>
      <c r="F689" t="s">
        <v>1085</v>
      </c>
      <c r="G689" s="1" t="s">
        <v>48</v>
      </c>
      <c r="H689">
        <v>2481</v>
      </c>
      <c r="I689">
        <v>2575.83</v>
      </c>
      <c r="J689" s="1" t="s">
        <v>25</v>
      </c>
      <c r="K689" s="1" t="s">
        <v>57</v>
      </c>
      <c r="L689">
        <v>9</v>
      </c>
      <c r="M689" t="s">
        <v>42</v>
      </c>
    </row>
    <row r="690" spans="1:13" ht="15.75" customHeight="1" x14ac:dyDescent="0.35">
      <c r="A690" s="1" t="s">
        <v>242</v>
      </c>
      <c r="B690" t="s">
        <v>1083</v>
      </c>
      <c r="C690" t="s">
        <v>1084</v>
      </c>
      <c r="D690" s="4">
        <v>45200</v>
      </c>
      <c r="E690" s="1" t="s">
        <v>77</v>
      </c>
      <c r="F690" s="1" t="s">
        <v>47</v>
      </c>
      <c r="G690" s="1" t="s">
        <v>48</v>
      </c>
      <c r="H690">
        <v>2481</v>
      </c>
      <c r="I690">
        <v>2575.83</v>
      </c>
      <c r="J690" s="1" t="s">
        <v>17</v>
      </c>
      <c r="K690" s="1" t="s">
        <v>32</v>
      </c>
      <c r="L690">
        <v>9</v>
      </c>
      <c r="M690" t="s">
        <v>42</v>
      </c>
    </row>
    <row r="691" spans="1:13" ht="15.75" customHeight="1" x14ac:dyDescent="0.35">
      <c r="A691" s="1" t="s">
        <v>168</v>
      </c>
      <c r="B691" t="s">
        <v>1083</v>
      </c>
      <c r="C691" t="s">
        <v>1084</v>
      </c>
      <c r="D691" s="4">
        <v>44947</v>
      </c>
      <c r="E691" s="1" t="s">
        <v>77</v>
      </c>
      <c r="F691" s="1" t="s">
        <v>31</v>
      </c>
      <c r="G691" s="1" t="s">
        <v>61</v>
      </c>
      <c r="H691">
        <v>2481</v>
      </c>
      <c r="I691">
        <v>2575.83</v>
      </c>
      <c r="J691" s="1" t="s">
        <v>42</v>
      </c>
      <c r="K691" s="1" t="s">
        <v>26</v>
      </c>
      <c r="L691">
        <v>9</v>
      </c>
      <c r="M691" t="s">
        <v>65</v>
      </c>
    </row>
    <row r="692" spans="1:13" ht="15.75" customHeight="1" x14ac:dyDescent="0.35">
      <c r="A692" s="1" t="s">
        <v>261</v>
      </c>
      <c r="B692" t="s">
        <v>1083</v>
      </c>
      <c r="C692" t="s">
        <v>1084</v>
      </c>
      <c r="D692" s="4">
        <v>45093</v>
      </c>
      <c r="E692" s="1" t="s">
        <v>30</v>
      </c>
      <c r="F692" s="1" t="s">
        <v>23</v>
      </c>
      <c r="G692" s="1" t="s">
        <v>41</v>
      </c>
      <c r="H692" s="1">
        <v>2481</v>
      </c>
      <c r="I692" s="1">
        <v>1280.7</v>
      </c>
      <c r="J692" s="1" t="s">
        <v>17</v>
      </c>
      <c r="K692" s="1" t="s">
        <v>26</v>
      </c>
      <c r="L692">
        <v>9</v>
      </c>
      <c r="M692" t="s">
        <v>65</v>
      </c>
    </row>
    <row r="693" spans="1:13" ht="15.75" customHeight="1" x14ac:dyDescent="0.35">
      <c r="A693" s="1" t="s">
        <v>13</v>
      </c>
      <c r="B693" t="s">
        <v>1083</v>
      </c>
      <c r="C693" t="s">
        <v>1084</v>
      </c>
      <c r="D693" s="4">
        <v>45161</v>
      </c>
      <c r="E693" s="1" t="s">
        <v>85</v>
      </c>
      <c r="F693" t="s">
        <v>1085</v>
      </c>
      <c r="G693" s="1" t="s">
        <v>54</v>
      </c>
      <c r="H693" s="1">
        <v>2866.89</v>
      </c>
      <c r="I693" s="1">
        <v>1666.61</v>
      </c>
      <c r="J693" s="1" t="s">
        <v>17</v>
      </c>
      <c r="K693" s="1" t="s">
        <v>57</v>
      </c>
      <c r="L693">
        <v>9</v>
      </c>
      <c r="M693" t="s">
        <v>19</v>
      </c>
    </row>
    <row r="694" spans="1:13" ht="15.75" customHeight="1" x14ac:dyDescent="0.35">
      <c r="A694" s="1" t="s">
        <v>33</v>
      </c>
      <c r="B694" t="s">
        <v>1083</v>
      </c>
      <c r="C694" t="s">
        <v>1084</v>
      </c>
      <c r="D694" s="4">
        <v>45081</v>
      </c>
      <c r="E694" s="1" t="s">
        <v>16</v>
      </c>
      <c r="F694" s="1" t="s">
        <v>93</v>
      </c>
      <c r="G694" t="s">
        <v>1086</v>
      </c>
      <c r="H694" s="1">
        <v>1321.45</v>
      </c>
      <c r="I694">
        <v>2575.83</v>
      </c>
      <c r="J694" s="1" t="s">
        <v>25</v>
      </c>
      <c r="K694" s="1" t="s">
        <v>18</v>
      </c>
      <c r="L694">
        <v>9</v>
      </c>
      <c r="M694" t="s">
        <v>19</v>
      </c>
    </row>
    <row r="695" spans="1:13" ht="15.75" customHeight="1" x14ac:dyDescent="0.35">
      <c r="A695" s="1" t="s">
        <v>110</v>
      </c>
      <c r="B695" t="s">
        <v>1083</v>
      </c>
      <c r="C695" s="1" t="s">
        <v>455</v>
      </c>
      <c r="D695" s="4">
        <v>45118</v>
      </c>
      <c r="E695" s="1" t="s">
        <v>85</v>
      </c>
      <c r="F695" s="1" t="s">
        <v>53</v>
      </c>
      <c r="G695" s="1" t="s">
        <v>41</v>
      </c>
      <c r="H695">
        <v>2481</v>
      </c>
      <c r="I695" s="1">
        <v>2532.7399999999998</v>
      </c>
      <c r="J695" s="1" t="s">
        <v>17</v>
      </c>
      <c r="K695" s="1" t="s">
        <v>1093</v>
      </c>
      <c r="L695" s="1">
        <v>58</v>
      </c>
      <c r="M695" s="1" t="s">
        <v>19</v>
      </c>
    </row>
    <row r="696" spans="1:13" ht="15.75" customHeight="1" x14ac:dyDescent="0.35">
      <c r="A696" s="1" t="s">
        <v>38</v>
      </c>
      <c r="B696" t="s">
        <v>1083</v>
      </c>
      <c r="C696" s="1" t="s">
        <v>484</v>
      </c>
      <c r="D696" s="4">
        <v>45263</v>
      </c>
      <c r="E696" s="1" t="s">
        <v>92</v>
      </c>
      <c r="F696" s="1" t="s">
        <v>53</v>
      </c>
      <c r="G696" s="1" t="s">
        <v>54</v>
      </c>
      <c r="H696">
        <v>2481</v>
      </c>
      <c r="I696" s="1">
        <v>530.88</v>
      </c>
      <c r="J696" s="1" t="s">
        <v>25</v>
      </c>
      <c r="K696" s="1" t="s">
        <v>32</v>
      </c>
      <c r="L696" s="1">
        <v>14</v>
      </c>
      <c r="M696" s="1" t="s">
        <v>42</v>
      </c>
    </row>
    <row r="697" spans="1:13" ht="15.75" customHeight="1" x14ac:dyDescent="0.35">
      <c r="A697" s="1" t="s">
        <v>261</v>
      </c>
      <c r="B697" t="s">
        <v>1083</v>
      </c>
      <c r="C697" t="s">
        <v>1084</v>
      </c>
      <c r="D697" s="4">
        <v>45252</v>
      </c>
      <c r="E697" s="1" t="s">
        <v>92</v>
      </c>
      <c r="F697" s="1" t="s">
        <v>47</v>
      </c>
      <c r="G697" s="1" t="s">
        <v>48</v>
      </c>
      <c r="H697" s="1">
        <v>2404.23</v>
      </c>
      <c r="I697">
        <v>2575.83</v>
      </c>
      <c r="J697" s="1" t="s">
        <v>42</v>
      </c>
      <c r="K697" s="1" t="s">
        <v>1093</v>
      </c>
      <c r="L697">
        <v>9</v>
      </c>
      <c r="M697" t="s">
        <v>65</v>
      </c>
    </row>
    <row r="698" spans="1:13" ht="15.75" customHeight="1" x14ac:dyDescent="0.35">
      <c r="A698" s="1" t="s">
        <v>187</v>
      </c>
      <c r="B698" t="s">
        <v>1083</v>
      </c>
      <c r="C698" t="s">
        <v>1084</v>
      </c>
      <c r="D698" s="4">
        <v>44943</v>
      </c>
      <c r="E698" s="1" t="s">
        <v>85</v>
      </c>
      <c r="F698" s="1" t="s">
        <v>47</v>
      </c>
      <c r="G698" s="1" t="s">
        <v>61</v>
      </c>
      <c r="H698">
        <v>2481</v>
      </c>
      <c r="I698">
        <v>2575.83</v>
      </c>
      <c r="J698" s="1" t="s">
        <v>17</v>
      </c>
      <c r="K698" s="1" t="s">
        <v>32</v>
      </c>
      <c r="L698">
        <v>9</v>
      </c>
      <c r="M698" t="s">
        <v>19</v>
      </c>
    </row>
    <row r="699" spans="1:13" ht="15.75" customHeight="1" x14ac:dyDescent="0.35">
      <c r="A699" s="1" t="s">
        <v>215</v>
      </c>
      <c r="B699" t="s">
        <v>1083</v>
      </c>
      <c r="C699" s="1" t="s">
        <v>193</v>
      </c>
      <c r="D699" s="4">
        <v>45012</v>
      </c>
      <c r="E699" s="1" t="s">
        <v>92</v>
      </c>
      <c r="F699" s="1" t="s">
        <v>47</v>
      </c>
      <c r="G699" s="1" t="s">
        <v>48</v>
      </c>
      <c r="H699">
        <v>2481</v>
      </c>
      <c r="I699">
        <v>2575.83</v>
      </c>
      <c r="J699" s="1" t="s">
        <v>17</v>
      </c>
      <c r="K699" s="1" t="s">
        <v>1093</v>
      </c>
      <c r="L699">
        <v>9</v>
      </c>
      <c r="M699" t="s">
        <v>65</v>
      </c>
    </row>
    <row r="700" spans="1:13" ht="15.75" customHeight="1" x14ac:dyDescent="0.35">
      <c r="A700" s="1" t="s">
        <v>33</v>
      </c>
      <c r="B700" s="1" t="s">
        <v>456</v>
      </c>
      <c r="C700" t="s">
        <v>1084</v>
      </c>
      <c r="D700" s="4">
        <v>44983</v>
      </c>
      <c r="E700" s="1" t="s">
        <v>92</v>
      </c>
      <c r="F700" s="1" t="s">
        <v>93</v>
      </c>
      <c r="G700" s="1" t="s">
        <v>24</v>
      </c>
      <c r="H700" s="1">
        <v>2481</v>
      </c>
      <c r="I700">
        <v>2575.83</v>
      </c>
      <c r="J700" s="1" t="s">
        <v>17</v>
      </c>
      <c r="K700" s="1" t="s">
        <v>1093</v>
      </c>
      <c r="L700">
        <v>9</v>
      </c>
      <c r="M700" t="s">
        <v>19</v>
      </c>
    </row>
    <row r="701" spans="1:13" ht="15.75" customHeight="1" x14ac:dyDescent="0.35">
      <c r="A701" s="1" t="s">
        <v>58</v>
      </c>
      <c r="B701" t="s">
        <v>1083</v>
      </c>
      <c r="C701" s="1" t="s">
        <v>150</v>
      </c>
      <c r="D701" s="4">
        <v>45251</v>
      </c>
      <c r="E701" s="1" t="s">
        <v>92</v>
      </c>
      <c r="F701" s="1" t="s">
        <v>47</v>
      </c>
      <c r="G701" s="1" t="s">
        <v>54</v>
      </c>
      <c r="H701" s="1">
        <v>2481</v>
      </c>
      <c r="I701">
        <v>2575.83</v>
      </c>
      <c r="J701" s="1" t="s">
        <v>42</v>
      </c>
      <c r="K701" s="1" t="s">
        <v>1093</v>
      </c>
      <c r="L701" s="1">
        <v>10</v>
      </c>
      <c r="M701" s="1" t="s">
        <v>65</v>
      </c>
    </row>
    <row r="702" spans="1:13" ht="15.75" customHeight="1" x14ac:dyDescent="0.35">
      <c r="A702" s="1" t="s">
        <v>261</v>
      </c>
      <c r="B702" t="s">
        <v>1083</v>
      </c>
      <c r="C702" t="s">
        <v>1084</v>
      </c>
      <c r="D702" s="4">
        <v>45262</v>
      </c>
      <c r="E702" s="1" t="s">
        <v>77</v>
      </c>
      <c r="F702" s="1" t="s">
        <v>47</v>
      </c>
      <c r="G702" t="s">
        <v>1086</v>
      </c>
      <c r="H702" s="1">
        <v>2481</v>
      </c>
      <c r="I702" s="1">
        <v>984.93</v>
      </c>
      <c r="J702" s="1" t="s">
        <v>17</v>
      </c>
      <c r="K702" s="1" t="s">
        <v>18</v>
      </c>
      <c r="L702">
        <v>9</v>
      </c>
      <c r="M702" t="s">
        <v>42</v>
      </c>
    </row>
    <row r="703" spans="1:13" ht="15.75" customHeight="1" x14ac:dyDescent="0.35">
      <c r="A703" s="1" t="s">
        <v>163</v>
      </c>
      <c r="B703" t="s">
        <v>1083</v>
      </c>
      <c r="C703" t="s">
        <v>1084</v>
      </c>
      <c r="D703" s="4">
        <v>44938</v>
      </c>
      <c r="E703" s="1" t="s">
        <v>85</v>
      </c>
      <c r="F703" s="1" t="s">
        <v>47</v>
      </c>
      <c r="G703" t="s">
        <v>1086</v>
      </c>
      <c r="H703">
        <v>2481</v>
      </c>
      <c r="I703">
        <v>2575.83</v>
      </c>
      <c r="J703" s="1" t="s">
        <v>25</v>
      </c>
      <c r="K703" s="1" t="s">
        <v>57</v>
      </c>
      <c r="L703" s="1">
        <v>32</v>
      </c>
      <c r="M703" s="1" t="s">
        <v>65</v>
      </c>
    </row>
    <row r="704" spans="1:13" ht="15.75" customHeight="1" x14ac:dyDescent="0.35">
      <c r="A704" s="1" t="s">
        <v>173</v>
      </c>
      <c r="B704" t="s">
        <v>1083</v>
      </c>
      <c r="C704" s="1" t="s">
        <v>453</v>
      </c>
      <c r="D704" s="4">
        <v>45291</v>
      </c>
      <c r="E704" s="1" t="s">
        <v>85</v>
      </c>
      <c r="F704" s="1" t="s">
        <v>31</v>
      </c>
      <c r="G704" s="1" t="s">
        <v>61</v>
      </c>
      <c r="H704" s="1">
        <v>2481</v>
      </c>
      <c r="I704">
        <v>2575.83</v>
      </c>
      <c r="J704" s="1" t="s">
        <v>17</v>
      </c>
      <c r="K704" s="1" t="s">
        <v>1093</v>
      </c>
      <c r="L704" s="1">
        <v>15</v>
      </c>
      <c r="M704" s="1" t="s">
        <v>65</v>
      </c>
    </row>
    <row r="705" spans="1:13" ht="15.75" customHeight="1" x14ac:dyDescent="0.35">
      <c r="A705" s="1" t="s">
        <v>163</v>
      </c>
      <c r="B705" s="1" t="s">
        <v>871</v>
      </c>
      <c r="C705" t="s">
        <v>1084</v>
      </c>
      <c r="D705" s="4">
        <v>45163</v>
      </c>
      <c r="E705" s="1" t="s">
        <v>16</v>
      </c>
      <c r="F705" s="1" t="s">
        <v>23</v>
      </c>
      <c r="G705" t="s">
        <v>1086</v>
      </c>
      <c r="H705" s="1">
        <v>2481</v>
      </c>
      <c r="I705">
        <v>2575.83</v>
      </c>
      <c r="J705" s="1" t="s">
        <v>25</v>
      </c>
      <c r="K705" s="1" t="s">
        <v>26</v>
      </c>
      <c r="L705">
        <v>9</v>
      </c>
      <c r="M705" t="s">
        <v>19</v>
      </c>
    </row>
    <row r="706" spans="1:13" ht="15.75" customHeight="1" x14ac:dyDescent="0.35">
      <c r="A706" s="1" t="s">
        <v>137</v>
      </c>
      <c r="B706" s="1" t="s">
        <v>342</v>
      </c>
      <c r="C706" s="1" t="s">
        <v>314</v>
      </c>
      <c r="D706" s="4">
        <v>45173</v>
      </c>
      <c r="E706" s="1" t="s">
        <v>85</v>
      </c>
      <c r="F706" s="1" t="s">
        <v>53</v>
      </c>
      <c r="G706" t="s">
        <v>1086</v>
      </c>
      <c r="H706" s="1">
        <v>2481</v>
      </c>
      <c r="I706">
        <v>2575.83</v>
      </c>
      <c r="J706" s="1" t="s">
        <v>25</v>
      </c>
      <c r="K706" s="1" t="s">
        <v>1093</v>
      </c>
      <c r="L706" s="1">
        <v>50</v>
      </c>
      <c r="M706" s="1" t="s">
        <v>19</v>
      </c>
    </row>
    <row r="707" spans="1:13" ht="15.75" customHeight="1" x14ac:dyDescent="0.35">
      <c r="A707" s="1" t="s">
        <v>50</v>
      </c>
      <c r="B707" t="s">
        <v>1083</v>
      </c>
      <c r="C707" s="1" t="s">
        <v>63</v>
      </c>
      <c r="D707" s="4">
        <v>45138</v>
      </c>
      <c r="E707" s="1" t="s">
        <v>92</v>
      </c>
      <c r="F707" s="1" t="s">
        <v>93</v>
      </c>
      <c r="G707" s="1" t="s">
        <v>24</v>
      </c>
      <c r="H707">
        <v>2481</v>
      </c>
      <c r="I707">
        <v>2575.83</v>
      </c>
      <c r="J707" s="1" t="s">
        <v>25</v>
      </c>
      <c r="K707" s="1" t="s">
        <v>1093</v>
      </c>
      <c r="L707">
        <v>9</v>
      </c>
      <c r="M707" t="s">
        <v>65</v>
      </c>
    </row>
    <row r="708" spans="1:13" ht="15.75" customHeight="1" x14ac:dyDescent="0.35">
      <c r="A708" s="1" t="s">
        <v>231</v>
      </c>
      <c r="B708" t="s">
        <v>1083</v>
      </c>
      <c r="C708" t="s">
        <v>1084</v>
      </c>
      <c r="D708" s="4">
        <v>45154</v>
      </c>
      <c r="E708" s="1" t="s">
        <v>16</v>
      </c>
      <c r="F708" s="1" t="s">
        <v>31</v>
      </c>
      <c r="G708" s="1" t="s">
        <v>54</v>
      </c>
      <c r="H708">
        <v>2481</v>
      </c>
      <c r="I708">
        <v>2575.83</v>
      </c>
      <c r="J708" s="1" t="s">
        <v>25</v>
      </c>
      <c r="K708" s="1" t="s">
        <v>18</v>
      </c>
      <c r="L708">
        <v>9</v>
      </c>
      <c r="M708" t="s">
        <v>42</v>
      </c>
    </row>
    <row r="709" spans="1:13" ht="15.75" customHeight="1" x14ac:dyDescent="0.35">
      <c r="A709" s="1" t="s">
        <v>242</v>
      </c>
      <c r="B709" t="s">
        <v>1083</v>
      </c>
      <c r="C709" s="1" t="s">
        <v>414</v>
      </c>
      <c r="D709" s="4">
        <v>45251</v>
      </c>
      <c r="E709" s="1" t="s">
        <v>16</v>
      </c>
      <c r="F709" s="1" t="s">
        <v>53</v>
      </c>
      <c r="G709" t="s">
        <v>1086</v>
      </c>
      <c r="H709">
        <v>2481</v>
      </c>
      <c r="I709">
        <v>2575.83</v>
      </c>
      <c r="J709" s="1" t="s">
        <v>25</v>
      </c>
      <c r="K709" s="1" t="s">
        <v>32</v>
      </c>
      <c r="L709" s="1">
        <v>40</v>
      </c>
      <c r="M709" s="1" t="s">
        <v>19</v>
      </c>
    </row>
    <row r="710" spans="1:13" ht="15.75" customHeight="1" x14ac:dyDescent="0.35">
      <c r="A710" s="1" t="s">
        <v>187</v>
      </c>
      <c r="B710" t="s">
        <v>1083</v>
      </c>
      <c r="C710" s="1" t="s">
        <v>119</v>
      </c>
      <c r="D710" s="4">
        <v>45187</v>
      </c>
      <c r="E710" s="1" t="s">
        <v>85</v>
      </c>
      <c r="F710" s="1" t="s">
        <v>47</v>
      </c>
      <c r="G710" s="1" t="s">
        <v>48</v>
      </c>
      <c r="H710">
        <v>2481</v>
      </c>
      <c r="I710">
        <v>2575.83</v>
      </c>
      <c r="J710" s="1" t="s">
        <v>17</v>
      </c>
      <c r="K710" s="1" t="s">
        <v>32</v>
      </c>
      <c r="L710">
        <v>9</v>
      </c>
      <c r="M710" t="s">
        <v>65</v>
      </c>
    </row>
    <row r="711" spans="1:13" ht="15.75" customHeight="1" x14ac:dyDescent="0.35">
      <c r="A711" s="1" t="s">
        <v>117</v>
      </c>
      <c r="B711" s="1" t="s">
        <v>799</v>
      </c>
      <c r="C711" t="s">
        <v>1084</v>
      </c>
      <c r="D711" s="4">
        <v>45016</v>
      </c>
      <c r="E711" s="1" t="s">
        <v>16</v>
      </c>
      <c r="F711" s="1" t="s">
        <v>23</v>
      </c>
      <c r="G711" s="1" t="s">
        <v>41</v>
      </c>
      <c r="H711">
        <v>2481</v>
      </c>
      <c r="I711">
        <v>2575.83</v>
      </c>
      <c r="J711" s="1" t="s">
        <v>25</v>
      </c>
      <c r="K711" s="1" t="s">
        <v>18</v>
      </c>
      <c r="L711">
        <v>9</v>
      </c>
      <c r="M711" t="s">
        <v>65</v>
      </c>
    </row>
    <row r="712" spans="1:13" ht="15.75" customHeight="1" x14ac:dyDescent="0.35">
      <c r="A712" s="1" t="s">
        <v>209</v>
      </c>
      <c r="B712" s="1" t="s">
        <v>878</v>
      </c>
      <c r="C712" s="1" t="s">
        <v>133</v>
      </c>
      <c r="D712" s="4">
        <v>45030</v>
      </c>
      <c r="E712" s="1" t="s">
        <v>77</v>
      </c>
      <c r="F712" t="s">
        <v>1085</v>
      </c>
      <c r="G712" s="1" t="s">
        <v>61</v>
      </c>
      <c r="H712" s="1">
        <v>4762.54</v>
      </c>
      <c r="I712">
        <v>2575.83</v>
      </c>
      <c r="J712" s="1" t="s">
        <v>17</v>
      </c>
      <c r="K712" s="1" t="s">
        <v>26</v>
      </c>
      <c r="L712" s="1">
        <v>51</v>
      </c>
      <c r="M712" s="1" t="s">
        <v>65</v>
      </c>
    </row>
    <row r="713" spans="1:13" ht="15.75" customHeight="1" x14ac:dyDescent="0.35">
      <c r="A713" s="1" t="s">
        <v>209</v>
      </c>
      <c r="B713" s="1" t="s">
        <v>879</v>
      </c>
      <c r="C713" t="s">
        <v>1084</v>
      </c>
      <c r="D713" s="4">
        <v>45020</v>
      </c>
      <c r="E713" s="1" t="s">
        <v>85</v>
      </c>
      <c r="F713" t="s">
        <v>1085</v>
      </c>
      <c r="G713" t="s">
        <v>1086</v>
      </c>
      <c r="H713">
        <v>2481</v>
      </c>
      <c r="I713" s="1">
        <v>2782.28</v>
      </c>
      <c r="J713" s="1" t="s">
        <v>17</v>
      </c>
      <c r="K713" s="1" t="s">
        <v>26</v>
      </c>
      <c r="L713" s="1">
        <v>57</v>
      </c>
      <c r="M713" s="1" t="s">
        <v>42</v>
      </c>
    </row>
    <row r="714" spans="1:13" ht="15.75" customHeight="1" x14ac:dyDescent="0.35">
      <c r="A714" s="1" t="s">
        <v>192</v>
      </c>
      <c r="B714" s="1" t="s">
        <v>125</v>
      </c>
      <c r="C714" s="1" t="s">
        <v>644</v>
      </c>
      <c r="D714" s="4">
        <v>45224</v>
      </c>
      <c r="E714" s="1" t="s">
        <v>16</v>
      </c>
      <c r="F714" s="1" t="s">
        <v>47</v>
      </c>
      <c r="G714" s="1" t="s">
        <v>61</v>
      </c>
      <c r="H714" s="1">
        <v>1628.35</v>
      </c>
      <c r="I714" s="1">
        <v>1022.31</v>
      </c>
      <c r="J714" s="1" t="s">
        <v>25</v>
      </c>
      <c r="K714" s="1" t="s">
        <v>26</v>
      </c>
      <c r="L714" s="1">
        <v>30</v>
      </c>
      <c r="M714" s="1" t="s">
        <v>19</v>
      </c>
    </row>
    <row r="715" spans="1:13" ht="15.75" customHeight="1" x14ac:dyDescent="0.35">
      <c r="A715" s="1" t="s">
        <v>73</v>
      </c>
      <c r="B715" s="1" t="s">
        <v>881</v>
      </c>
      <c r="C715" t="s">
        <v>1084</v>
      </c>
      <c r="D715" s="4">
        <v>44931</v>
      </c>
      <c r="E715" s="1" t="s">
        <v>77</v>
      </c>
      <c r="F715" s="1" t="s">
        <v>23</v>
      </c>
      <c r="G715" t="s">
        <v>1086</v>
      </c>
      <c r="H715">
        <v>2481</v>
      </c>
      <c r="I715">
        <v>2575.83</v>
      </c>
      <c r="J715" s="1" t="s">
        <v>17</v>
      </c>
      <c r="K715" s="1" t="s">
        <v>1093</v>
      </c>
      <c r="L715">
        <v>9</v>
      </c>
      <c r="M715" t="s">
        <v>65</v>
      </c>
    </row>
    <row r="716" spans="1:13" ht="15.75" customHeight="1" x14ac:dyDescent="0.35">
      <c r="A716" s="1" t="s">
        <v>154</v>
      </c>
      <c r="B716" t="s">
        <v>1083</v>
      </c>
      <c r="C716" s="1" t="s">
        <v>150</v>
      </c>
      <c r="D716" s="4">
        <v>45174</v>
      </c>
      <c r="E716" s="1" t="s">
        <v>92</v>
      </c>
      <c r="F716" t="s">
        <v>1085</v>
      </c>
      <c r="G716" s="1" t="s">
        <v>41</v>
      </c>
      <c r="H716">
        <v>2481</v>
      </c>
      <c r="I716">
        <v>2575.83</v>
      </c>
      <c r="J716" s="1" t="s">
        <v>17</v>
      </c>
      <c r="K716" s="1" t="s">
        <v>57</v>
      </c>
      <c r="L716">
        <v>9</v>
      </c>
      <c r="M716" t="s">
        <v>65</v>
      </c>
    </row>
    <row r="717" spans="1:13" ht="15.75" customHeight="1" x14ac:dyDescent="0.35">
      <c r="A717" s="1" t="s">
        <v>55</v>
      </c>
      <c r="B717" s="1" t="s">
        <v>882</v>
      </c>
      <c r="C717" s="1" t="s">
        <v>486</v>
      </c>
      <c r="D717" s="4">
        <v>45187</v>
      </c>
      <c r="E717" s="1" t="s">
        <v>85</v>
      </c>
      <c r="F717" s="1" t="s">
        <v>93</v>
      </c>
      <c r="G717" s="1" t="s">
        <v>61</v>
      </c>
      <c r="H717">
        <v>2481</v>
      </c>
      <c r="I717">
        <v>2575.83</v>
      </c>
      <c r="J717" s="1" t="s">
        <v>42</v>
      </c>
      <c r="K717" s="1" t="s">
        <v>57</v>
      </c>
      <c r="L717" s="1">
        <v>52</v>
      </c>
      <c r="M717" s="1" t="s">
        <v>65</v>
      </c>
    </row>
    <row r="718" spans="1:13" ht="15.75" customHeight="1" x14ac:dyDescent="0.35">
      <c r="A718" s="1" t="s">
        <v>202</v>
      </c>
      <c r="B718" s="1" t="s">
        <v>884</v>
      </c>
      <c r="C718" t="s">
        <v>1084</v>
      </c>
      <c r="D718" s="4">
        <v>45090</v>
      </c>
      <c r="E718" s="1" t="s">
        <v>77</v>
      </c>
      <c r="F718" s="1" t="s">
        <v>23</v>
      </c>
      <c r="G718" t="s">
        <v>1086</v>
      </c>
      <c r="H718">
        <v>2481</v>
      </c>
      <c r="I718" s="1">
        <v>2876.49</v>
      </c>
      <c r="J718" s="1" t="s">
        <v>42</v>
      </c>
      <c r="K718" s="1" t="s">
        <v>18</v>
      </c>
      <c r="L718">
        <v>9</v>
      </c>
      <c r="M718" t="s">
        <v>65</v>
      </c>
    </row>
    <row r="719" spans="1:13" ht="15.75" customHeight="1" x14ac:dyDescent="0.35">
      <c r="A719" s="1" t="s">
        <v>132</v>
      </c>
      <c r="B719" t="s">
        <v>1083</v>
      </c>
      <c r="C719" t="s">
        <v>1084</v>
      </c>
      <c r="D719" s="4">
        <v>45261</v>
      </c>
      <c r="E719" s="1" t="s">
        <v>85</v>
      </c>
      <c r="F719" s="1" t="s">
        <v>53</v>
      </c>
      <c r="G719" t="s">
        <v>1086</v>
      </c>
      <c r="H719" s="1">
        <v>2481</v>
      </c>
      <c r="I719">
        <v>2575.83</v>
      </c>
      <c r="J719" s="1" t="s">
        <v>42</v>
      </c>
      <c r="K719" s="1" t="s">
        <v>18</v>
      </c>
      <c r="L719">
        <v>9</v>
      </c>
      <c r="M719" t="s">
        <v>19</v>
      </c>
    </row>
    <row r="720" spans="1:13" ht="15.75" customHeight="1" x14ac:dyDescent="0.35">
      <c r="A720" s="1" t="s">
        <v>148</v>
      </c>
      <c r="B720" t="s">
        <v>1083</v>
      </c>
      <c r="C720" t="s">
        <v>1084</v>
      </c>
      <c r="D720" s="4">
        <v>45215</v>
      </c>
      <c r="E720" s="1" t="s">
        <v>85</v>
      </c>
      <c r="F720" s="1" t="s">
        <v>53</v>
      </c>
      <c r="G720" s="1" t="s">
        <v>61</v>
      </c>
      <c r="H720">
        <v>2481</v>
      </c>
      <c r="I720">
        <v>2575.83</v>
      </c>
      <c r="J720" s="1" t="s">
        <v>25</v>
      </c>
      <c r="K720" s="1" t="s">
        <v>18</v>
      </c>
      <c r="L720">
        <v>9</v>
      </c>
      <c r="M720" t="s">
        <v>19</v>
      </c>
    </row>
    <row r="721" spans="1:13" ht="15.75" customHeight="1" x14ac:dyDescent="0.35">
      <c r="A721" s="1" t="s">
        <v>261</v>
      </c>
      <c r="B721" s="1" t="s">
        <v>886</v>
      </c>
      <c r="C721" t="s">
        <v>1084</v>
      </c>
      <c r="D721" s="4">
        <v>45212</v>
      </c>
      <c r="E721" s="1" t="s">
        <v>16</v>
      </c>
      <c r="F721" s="1" t="s">
        <v>93</v>
      </c>
      <c r="G721" s="1" t="s">
        <v>24</v>
      </c>
      <c r="H721">
        <v>2481</v>
      </c>
      <c r="I721" s="1">
        <v>578.83000000000004</v>
      </c>
      <c r="J721" s="1" t="s">
        <v>17</v>
      </c>
      <c r="K721" s="1" t="s">
        <v>32</v>
      </c>
      <c r="L721">
        <v>9</v>
      </c>
      <c r="M721" t="s">
        <v>42</v>
      </c>
    </row>
    <row r="722" spans="1:13" ht="15.75" customHeight="1" x14ac:dyDescent="0.35">
      <c r="A722" s="1" t="s">
        <v>285</v>
      </c>
      <c r="B722" t="s">
        <v>1083</v>
      </c>
      <c r="C722" t="s">
        <v>1084</v>
      </c>
      <c r="D722" s="4">
        <v>45237</v>
      </c>
      <c r="E722" s="1" t="s">
        <v>77</v>
      </c>
      <c r="F722" s="1" t="s">
        <v>23</v>
      </c>
      <c r="G722" s="1" t="s">
        <v>61</v>
      </c>
      <c r="H722">
        <v>2481</v>
      </c>
      <c r="I722">
        <v>2575.83</v>
      </c>
      <c r="J722" s="1" t="s">
        <v>42</v>
      </c>
      <c r="K722" s="1" t="s">
        <v>26</v>
      </c>
      <c r="L722" s="1">
        <v>30</v>
      </c>
      <c r="M722" s="1" t="s">
        <v>19</v>
      </c>
    </row>
    <row r="723" spans="1:13" ht="15.75" customHeight="1" x14ac:dyDescent="0.35">
      <c r="A723" s="1" t="s">
        <v>58</v>
      </c>
      <c r="B723" t="s">
        <v>1083</v>
      </c>
      <c r="C723" s="1" t="s">
        <v>305</v>
      </c>
      <c r="D723" s="4">
        <v>45080</v>
      </c>
      <c r="E723" s="1" t="s">
        <v>85</v>
      </c>
      <c r="F723" s="1" t="s">
        <v>47</v>
      </c>
      <c r="G723" s="1" t="s">
        <v>61</v>
      </c>
      <c r="H723">
        <v>2481</v>
      </c>
      <c r="I723">
        <v>2575.83</v>
      </c>
      <c r="J723" s="1" t="s">
        <v>25</v>
      </c>
      <c r="K723" s="1" t="s">
        <v>18</v>
      </c>
      <c r="L723" s="1">
        <v>49</v>
      </c>
      <c r="M723" s="1" t="s">
        <v>19</v>
      </c>
    </row>
    <row r="724" spans="1:13" ht="15.75" customHeight="1" x14ac:dyDescent="0.35">
      <c r="A724" s="1" t="s">
        <v>242</v>
      </c>
      <c r="B724" t="s">
        <v>1083</v>
      </c>
      <c r="C724" s="1" t="s">
        <v>133</v>
      </c>
      <c r="D724" s="4">
        <v>45021</v>
      </c>
      <c r="E724" s="1" t="s">
        <v>77</v>
      </c>
      <c r="F724" s="1" t="s">
        <v>31</v>
      </c>
      <c r="G724" s="1" t="s">
        <v>41</v>
      </c>
      <c r="H724">
        <v>2481</v>
      </c>
      <c r="I724">
        <v>2575.83</v>
      </c>
      <c r="J724" s="1" t="s">
        <v>25</v>
      </c>
      <c r="K724" s="1" t="s">
        <v>18</v>
      </c>
      <c r="L724">
        <v>9</v>
      </c>
      <c r="M724" t="s">
        <v>65</v>
      </c>
    </row>
    <row r="725" spans="1:13" ht="15.75" customHeight="1" x14ac:dyDescent="0.35">
      <c r="A725" s="1" t="s">
        <v>62</v>
      </c>
      <c r="B725" t="s">
        <v>1083</v>
      </c>
      <c r="C725" s="1" t="s">
        <v>416</v>
      </c>
      <c r="D725" s="4">
        <v>44935</v>
      </c>
      <c r="E725" s="1" t="s">
        <v>77</v>
      </c>
      <c r="F725" s="1" t="s">
        <v>23</v>
      </c>
      <c r="G725" s="1" t="s">
        <v>54</v>
      </c>
      <c r="H725" s="1">
        <v>2481</v>
      </c>
      <c r="I725">
        <v>2575.83</v>
      </c>
      <c r="J725" s="1" t="s">
        <v>25</v>
      </c>
      <c r="K725" s="1" t="s">
        <v>26</v>
      </c>
      <c r="L725" s="1">
        <v>36</v>
      </c>
      <c r="M725" s="1" t="s">
        <v>42</v>
      </c>
    </row>
    <row r="726" spans="1:13" ht="15.75" customHeight="1" x14ac:dyDescent="0.35">
      <c r="A726" s="1" t="s">
        <v>202</v>
      </c>
      <c r="B726" t="s">
        <v>1083</v>
      </c>
      <c r="C726" s="1" t="s">
        <v>491</v>
      </c>
      <c r="D726" s="4">
        <v>45239</v>
      </c>
      <c r="E726" s="1" t="s">
        <v>85</v>
      </c>
      <c r="F726" s="1" t="s">
        <v>23</v>
      </c>
      <c r="G726" t="s">
        <v>1086</v>
      </c>
      <c r="H726" s="1">
        <v>2481</v>
      </c>
      <c r="I726">
        <v>2575.83</v>
      </c>
      <c r="J726" s="1" t="s">
        <v>17</v>
      </c>
      <c r="K726" s="1" t="s">
        <v>32</v>
      </c>
      <c r="L726" s="1">
        <v>4</v>
      </c>
      <c r="M726" s="1" t="s">
        <v>42</v>
      </c>
    </row>
    <row r="727" spans="1:13" ht="15.75" customHeight="1" x14ac:dyDescent="0.35">
      <c r="A727" s="1" t="s">
        <v>114</v>
      </c>
      <c r="B727" t="s">
        <v>1083</v>
      </c>
      <c r="C727" t="s">
        <v>1084</v>
      </c>
      <c r="D727" s="4">
        <v>45132</v>
      </c>
      <c r="E727" s="1" t="s">
        <v>16</v>
      </c>
      <c r="F727" s="1" t="s">
        <v>47</v>
      </c>
      <c r="G727" s="1" t="s">
        <v>48</v>
      </c>
      <c r="H727">
        <v>2481</v>
      </c>
      <c r="I727">
        <v>2575.83</v>
      </c>
      <c r="J727" s="1" t="s">
        <v>17</v>
      </c>
      <c r="K727" s="1" t="s">
        <v>57</v>
      </c>
      <c r="L727">
        <v>9</v>
      </c>
      <c r="M727" t="s">
        <v>42</v>
      </c>
    </row>
    <row r="728" spans="1:13" ht="15.75" customHeight="1" x14ac:dyDescent="0.35">
      <c r="A728" s="1" t="s">
        <v>173</v>
      </c>
      <c r="B728" t="s">
        <v>1083</v>
      </c>
      <c r="C728" t="s">
        <v>1084</v>
      </c>
      <c r="D728" s="4">
        <v>45222</v>
      </c>
      <c r="E728" s="1" t="s">
        <v>85</v>
      </c>
      <c r="F728" s="1" t="s">
        <v>31</v>
      </c>
      <c r="G728" s="1" t="s">
        <v>24</v>
      </c>
      <c r="H728" s="1">
        <v>549.44000000000005</v>
      </c>
      <c r="I728">
        <v>2575.83</v>
      </c>
      <c r="J728" s="1" t="s">
        <v>42</v>
      </c>
      <c r="K728" s="1" t="s">
        <v>26</v>
      </c>
      <c r="L728">
        <v>9</v>
      </c>
      <c r="M728" t="s">
        <v>65</v>
      </c>
    </row>
    <row r="729" spans="1:13" ht="15.75" customHeight="1" x14ac:dyDescent="0.35">
      <c r="A729" s="1" t="s">
        <v>249</v>
      </c>
      <c r="B729" s="1" t="s">
        <v>654</v>
      </c>
      <c r="C729" s="1" t="s">
        <v>94</v>
      </c>
      <c r="D729" s="4">
        <v>45144</v>
      </c>
      <c r="E729" s="1" t="s">
        <v>85</v>
      </c>
      <c r="F729" s="1" t="s">
        <v>31</v>
      </c>
      <c r="G729" s="1" t="s">
        <v>61</v>
      </c>
      <c r="H729" s="1">
        <v>729.7</v>
      </c>
      <c r="I729">
        <v>2575.83</v>
      </c>
      <c r="J729" s="1" t="s">
        <v>25</v>
      </c>
      <c r="K729" s="1" t="s">
        <v>1093</v>
      </c>
      <c r="L729">
        <v>9</v>
      </c>
      <c r="M729" t="s">
        <v>65</v>
      </c>
    </row>
    <row r="730" spans="1:13" ht="15.75" customHeight="1" x14ac:dyDescent="0.35">
      <c r="A730" s="1" t="s">
        <v>33</v>
      </c>
      <c r="B730" t="s">
        <v>1083</v>
      </c>
      <c r="C730" t="s">
        <v>1084</v>
      </c>
      <c r="D730" s="4">
        <v>45121</v>
      </c>
      <c r="E730" s="1" t="s">
        <v>85</v>
      </c>
      <c r="F730" s="1" t="s">
        <v>23</v>
      </c>
      <c r="G730" s="1" t="s">
        <v>61</v>
      </c>
      <c r="H730" s="1">
        <v>4847.76</v>
      </c>
      <c r="I730" s="1">
        <v>856.27</v>
      </c>
      <c r="J730" s="1" t="s">
        <v>25</v>
      </c>
      <c r="K730" s="1" t="s">
        <v>1093</v>
      </c>
      <c r="L730">
        <v>9</v>
      </c>
      <c r="M730" t="s">
        <v>19</v>
      </c>
    </row>
    <row r="731" spans="1:13" ht="15.75" customHeight="1" x14ac:dyDescent="0.35">
      <c r="A731" s="1" t="s">
        <v>148</v>
      </c>
      <c r="B731" t="s">
        <v>1083</v>
      </c>
      <c r="C731" s="1" t="s">
        <v>395</v>
      </c>
      <c r="D731" s="4">
        <v>45186</v>
      </c>
      <c r="E731" s="1" t="s">
        <v>92</v>
      </c>
      <c r="F731" s="1" t="s">
        <v>47</v>
      </c>
      <c r="G731" s="1" t="s">
        <v>61</v>
      </c>
      <c r="H731" s="1">
        <v>4727.24</v>
      </c>
      <c r="I731">
        <v>2575.83</v>
      </c>
      <c r="J731" s="1" t="s">
        <v>25</v>
      </c>
      <c r="K731" s="1" t="s">
        <v>26</v>
      </c>
      <c r="L731">
        <v>9</v>
      </c>
      <c r="M731" t="s">
        <v>19</v>
      </c>
    </row>
    <row r="732" spans="1:13" ht="15.75" customHeight="1" x14ac:dyDescent="0.35">
      <c r="A732" s="1" t="s">
        <v>430</v>
      </c>
      <c r="B732" t="s">
        <v>1083</v>
      </c>
      <c r="C732" s="1" t="s">
        <v>94</v>
      </c>
      <c r="D732" s="4">
        <v>45260</v>
      </c>
      <c r="E732" s="1" t="s">
        <v>85</v>
      </c>
      <c r="F732" s="1" t="s">
        <v>53</v>
      </c>
      <c r="G732" s="1" t="s">
        <v>48</v>
      </c>
      <c r="H732">
        <v>2481</v>
      </c>
      <c r="I732" s="1">
        <v>274.58</v>
      </c>
      <c r="J732" s="1" t="s">
        <v>17</v>
      </c>
      <c r="K732" s="1" t="s">
        <v>57</v>
      </c>
      <c r="L732" s="1">
        <v>9</v>
      </c>
      <c r="M732" s="1" t="s">
        <v>42</v>
      </c>
    </row>
    <row r="733" spans="1:13" ht="15.75" customHeight="1" x14ac:dyDescent="0.35">
      <c r="A733" s="1" t="s">
        <v>50</v>
      </c>
      <c r="B733" t="s">
        <v>1083</v>
      </c>
      <c r="C733" s="1" t="s">
        <v>458</v>
      </c>
      <c r="D733" s="4">
        <v>45034</v>
      </c>
      <c r="E733" s="1" t="s">
        <v>16</v>
      </c>
      <c r="F733" s="1" t="s">
        <v>31</v>
      </c>
      <c r="G733" s="1" t="s">
        <v>41</v>
      </c>
      <c r="H733" s="1">
        <v>2481</v>
      </c>
      <c r="I733">
        <v>2575.83</v>
      </c>
      <c r="J733" s="1" t="s">
        <v>17</v>
      </c>
      <c r="K733" s="1" t="s">
        <v>18</v>
      </c>
      <c r="L733" s="1">
        <v>23</v>
      </c>
      <c r="M733" s="1" t="s">
        <v>65</v>
      </c>
    </row>
    <row r="734" spans="1:13" ht="15.75" customHeight="1" x14ac:dyDescent="0.35">
      <c r="A734" s="1" t="s">
        <v>105</v>
      </c>
      <c r="B734" s="1" t="s">
        <v>893</v>
      </c>
      <c r="C734" t="s">
        <v>1084</v>
      </c>
      <c r="D734" s="4">
        <v>45062</v>
      </c>
      <c r="E734" s="1" t="s">
        <v>92</v>
      </c>
      <c r="F734" s="1" t="s">
        <v>23</v>
      </c>
      <c r="G734" s="1" t="s">
        <v>61</v>
      </c>
      <c r="H734" s="1">
        <v>1691.33</v>
      </c>
      <c r="I734" s="1">
        <v>3688.01</v>
      </c>
      <c r="J734" s="1" t="s">
        <v>25</v>
      </c>
      <c r="K734" s="1" t="s">
        <v>26</v>
      </c>
      <c r="L734">
        <v>9</v>
      </c>
      <c r="M734" t="s">
        <v>42</v>
      </c>
    </row>
    <row r="735" spans="1:13" ht="15.75" customHeight="1" x14ac:dyDescent="0.35">
      <c r="A735" s="1" t="s">
        <v>168</v>
      </c>
      <c r="B735" s="1" t="s">
        <v>894</v>
      </c>
      <c r="C735" s="1" t="s">
        <v>491</v>
      </c>
      <c r="D735" s="4">
        <v>44934</v>
      </c>
      <c r="E735" s="1" t="s">
        <v>77</v>
      </c>
      <c r="F735" s="1" t="s">
        <v>23</v>
      </c>
      <c r="G735" s="1" t="s">
        <v>61</v>
      </c>
      <c r="H735" s="1">
        <v>2481</v>
      </c>
      <c r="I735">
        <v>2575.83</v>
      </c>
      <c r="J735" s="1" t="s">
        <v>25</v>
      </c>
      <c r="K735" s="1" t="s">
        <v>18</v>
      </c>
      <c r="L735">
        <v>9</v>
      </c>
      <c r="M735" t="s">
        <v>19</v>
      </c>
    </row>
    <row r="736" spans="1:13" ht="15.75" customHeight="1" x14ac:dyDescent="0.35">
      <c r="A736" s="1" t="s">
        <v>192</v>
      </c>
      <c r="B736" t="s">
        <v>1083</v>
      </c>
      <c r="C736" s="1" t="s">
        <v>177</v>
      </c>
      <c r="D736" s="4">
        <v>45263</v>
      </c>
      <c r="E736" s="1" t="s">
        <v>30</v>
      </c>
      <c r="F736" t="s">
        <v>1085</v>
      </c>
      <c r="G736" t="s">
        <v>1086</v>
      </c>
      <c r="H736">
        <v>2481</v>
      </c>
      <c r="I736">
        <v>2575.83</v>
      </c>
      <c r="J736" s="1" t="s">
        <v>17</v>
      </c>
      <c r="K736" s="1" t="s">
        <v>18</v>
      </c>
      <c r="L736">
        <v>9</v>
      </c>
      <c r="M736" t="s">
        <v>19</v>
      </c>
    </row>
    <row r="737" spans="1:13" ht="15.75" customHeight="1" x14ac:dyDescent="0.35">
      <c r="A737" s="1" t="s">
        <v>148</v>
      </c>
      <c r="B737" t="s">
        <v>1083</v>
      </c>
      <c r="C737" t="s">
        <v>1084</v>
      </c>
      <c r="D737" s="4">
        <v>45241</v>
      </c>
      <c r="E737" s="1" t="s">
        <v>92</v>
      </c>
      <c r="F737" s="1" t="s">
        <v>93</v>
      </c>
      <c r="G737" t="s">
        <v>1086</v>
      </c>
      <c r="H737" s="1">
        <v>2481</v>
      </c>
      <c r="I737">
        <v>2575.83</v>
      </c>
      <c r="J737" s="1" t="s">
        <v>17</v>
      </c>
      <c r="K737" s="1" t="s">
        <v>57</v>
      </c>
      <c r="L737">
        <v>9</v>
      </c>
      <c r="M737" t="s">
        <v>65</v>
      </c>
    </row>
    <row r="738" spans="1:13" ht="15.75" customHeight="1" x14ac:dyDescent="0.35">
      <c r="A738" s="1" t="s">
        <v>58</v>
      </c>
      <c r="B738" t="s">
        <v>1083</v>
      </c>
      <c r="C738" s="1" t="s">
        <v>378</v>
      </c>
      <c r="D738" s="4">
        <v>45124</v>
      </c>
      <c r="E738" s="1" t="s">
        <v>16</v>
      </c>
      <c r="F738" s="1" t="s">
        <v>93</v>
      </c>
      <c r="G738" s="1" t="s">
        <v>24</v>
      </c>
      <c r="H738" s="1">
        <v>120.89</v>
      </c>
      <c r="I738" s="1">
        <v>4185.13</v>
      </c>
      <c r="J738" s="1" t="s">
        <v>17</v>
      </c>
      <c r="K738" s="1" t="s">
        <v>1093</v>
      </c>
      <c r="L738" s="1">
        <v>20</v>
      </c>
      <c r="M738" s="1" t="s">
        <v>42</v>
      </c>
    </row>
    <row r="739" spans="1:13" ht="15.75" customHeight="1" x14ac:dyDescent="0.35">
      <c r="A739" s="1" t="s">
        <v>285</v>
      </c>
      <c r="B739" t="s">
        <v>1083</v>
      </c>
      <c r="C739" t="s">
        <v>1084</v>
      </c>
      <c r="D739" s="4">
        <v>45159</v>
      </c>
      <c r="E739" s="1" t="s">
        <v>92</v>
      </c>
      <c r="F739" s="1" t="s">
        <v>47</v>
      </c>
      <c r="G739" s="1" t="s">
        <v>48</v>
      </c>
      <c r="H739">
        <v>2481</v>
      </c>
      <c r="I739" s="1">
        <v>1719.41</v>
      </c>
      <c r="J739" s="1" t="s">
        <v>42</v>
      </c>
      <c r="K739" s="1" t="s">
        <v>32</v>
      </c>
      <c r="L739">
        <v>9</v>
      </c>
      <c r="M739" t="s">
        <v>42</v>
      </c>
    </row>
    <row r="740" spans="1:13" ht="15.75" customHeight="1" x14ac:dyDescent="0.35">
      <c r="A740" s="1" t="s">
        <v>173</v>
      </c>
      <c r="B740" s="1" t="s">
        <v>898</v>
      </c>
      <c r="C740" t="s">
        <v>1084</v>
      </c>
      <c r="D740" s="4">
        <v>45061</v>
      </c>
      <c r="E740" s="1" t="s">
        <v>77</v>
      </c>
      <c r="F740" t="s">
        <v>1085</v>
      </c>
      <c r="G740" s="1" t="s">
        <v>61</v>
      </c>
      <c r="H740" s="1">
        <v>4825.53</v>
      </c>
      <c r="I740">
        <v>2575.83</v>
      </c>
      <c r="J740" s="1" t="s">
        <v>25</v>
      </c>
      <c r="K740" s="1" t="s">
        <v>26</v>
      </c>
      <c r="L740">
        <v>9</v>
      </c>
      <c r="M740" t="s">
        <v>19</v>
      </c>
    </row>
    <row r="741" spans="1:13" ht="15.75" customHeight="1" x14ac:dyDescent="0.35">
      <c r="A741" s="1" t="s">
        <v>277</v>
      </c>
      <c r="B741" t="s">
        <v>1083</v>
      </c>
      <c r="C741" t="s">
        <v>1084</v>
      </c>
      <c r="D741" s="4">
        <v>45210</v>
      </c>
      <c r="E741" s="1" t="s">
        <v>77</v>
      </c>
      <c r="F741" s="1" t="s">
        <v>47</v>
      </c>
      <c r="G741" s="1" t="s">
        <v>24</v>
      </c>
      <c r="H741">
        <v>2481</v>
      </c>
      <c r="I741" s="1">
        <v>3890.76</v>
      </c>
      <c r="J741" s="1" t="s">
        <v>42</v>
      </c>
      <c r="K741" s="1" t="s">
        <v>57</v>
      </c>
      <c r="L741" s="1">
        <v>38</v>
      </c>
      <c r="M741" s="1" t="s">
        <v>42</v>
      </c>
    </row>
    <row r="742" spans="1:13" ht="15.75" customHeight="1" x14ac:dyDescent="0.35">
      <c r="A742" s="1" t="s">
        <v>302</v>
      </c>
      <c r="B742" s="1" t="s">
        <v>894</v>
      </c>
      <c r="C742" t="s">
        <v>1084</v>
      </c>
      <c r="D742" s="4">
        <v>45282</v>
      </c>
      <c r="E742" s="1" t="s">
        <v>85</v>
      </c>
      <c r="F742" s="1" t="s">
        <v>31</v>
      </c>
      <c r="G742" s="1" t="s">
        <v>24</v>
      </c>
      <c r="H742">
        <v>2481</v>
      </c>
      <c r="I742">
        <v>2575.83</v>
      </c>
      <c r="J742" s="1" t="s">
        <v>17</v>
      </c>
      <c r="K742" s="1" t="s">
        <v>57</v>
      </c>
      <c r="L742">
        <v>9</v>
      </c>
      <c r="M742" t="s">
        <v>65</v>
      </c>
    </row>
    <row r="743" spans="1:13" ht="15.75" customHeight="1" x14ac:dyDescent="0.35">
      <c r="A743" s="1" t="s">
        <v>212</v>
      </c>
      <c r="B743" s="1" t="s">
        <v>901</v>
      </c>
      <c r="C743" t="s">
        <v>1084</v>
      </c>
      <c r="D743" s="4">
        <v>45194</v>
      </c>
      <c r="E743" s="1" t="s">
        <v>77</v>
      </c>
      <c r="F743" s="1" t="s">
        <v>31</v>
      </c>
      <c r="G743" s="1" t="s">
        <v>24</v>
      </c>
      <c r="H743" s="1">
        <v>3621.66</v>
      </c>
      <c r="I743">
        <v>2575.83</v>
      </c>
      <c r="J743" s="1" t="s">
        <v>17</v>
      </c>
      <c r="K743" s="1" t="s">
        <v>32</v>
      </c>
      <c r="L743">
        <v>9</v>
      </c>
      <c r="M743" t="s">
        <v>42</v>
      </c>
    </row>
    <row r="744" spans="1:13" ht="15.75" customHeight="1" x14ac:dyDescent="0.35">
      <c r="A744" s="1" t="s">
        <v>154</v>
      </c>
      <c r="B744" s="1" t="s">
        <v>511</v>
      </c>
      <c r="C744" t="s">
        <v>1084</v>
      </c>
      <c r="D744" s="4">
        <v>44998</v>
      </c>
      <c r="E744" s="1" t="s">
        <v>85</v>
      </c>
      <c r="F744" s="1" t="s">
        <v>93</v>
      </c>
      <c r="G744" s="1" t="s">
        <v>48</v>
      </c>
      <c r="H744" s="1">
        <v>2481</v>
      </c>
      <c r="I744" s="1">
        <v>1985.45</v>
      </c>
      <c r="J744" s="1" t="s">
        <v>17</v>
      </c>
      <c r="K744" s="1" t="s">
        <v>32</v>
      </c>
      <c r="L744" s="1">
        <v>4</v>
      </c>
      <c r="M744" s="1" t="s">
        <v>19</v>
      </c>
    </row>
    <row r="745" spans="1:13" ht="15.75" customHeight="1" x14ac:dyDescent="0.35">
      <c r="A745" s="1" t="s">
        <v>277</v>
      </c>
      <c r="B745" s="1" t="s">
        <v>902</v>
      </c>
      <c r="C745" s="1" t="s">
        <v>408</v>
      </c>
      <c r="D745" s="4">
        <v>44999</v>
      </c>
      <c r="E745" s="1" t="s">
        <v>92</v>
      </c>
      <c r="F745" s="1" t="s">
        <v>31</v>
      </c>
      <c r="G745" s="1" t="s">
        <v>61</v>
      </c>
      <c r="H745">
        <v>2481</v>
      </c>
      <c r="I745">
        <v>2575.83</v>
      </c>
      <c r="J745" s="1" t="s">
        <v>17</v>
      </c>
      <c r="K745" s="1" t="s">
        <v>1093</v>
      </c>
      <c r="L745">
        <v>9</v>
      </c>
      <c r="M745" t="s">
        <v>65</v>
      </c>
    </row>
    <row r="746" spans="1:13" ht="15.75" customHeight="1" x14ac:dyDescent="0.35">
      <c r="A746" s="1" t="s">
        <v>192</v>
      </c>
      <c r="B746" t="s">
        <v>1083</v>
      </c>
      <c r="C746" t="s">
        <v>1084</v>
      </c>
      <c r="D746" s="4">
        <v>44963</v>
      </c>
      <c r="E746" s="1" t="s">
        <v>16</v>
      </c>
      <c r="F746" s="1" t="s">
        <v>53</v>
      </c>
      <c r="G746" s="1" t="s">
        <v>41</v>
      </c>
      <c r="H746" s="1">
        <v>2481</v>
      </c>
      <c r="I746">
        <v>2575.83</v>
      </c>
      <c r="J746" s="1" t="s">
        <v>25</v>
      </c>
      <c r="K746" s="1" t="s">
        <v>32</v>
      </c>
      <c r="L746">
        <v>9</v>
      </c>
      <c r="M746" t="s">
        <v>19</v>
      </c>
    </row>
    <row r="747" spans="1:13" ht="15.75" customHeight="1" x14ac:dyDescent="0.35">
      <c r="A747" s="1" t="s">
        <v>96</v>
      </c>
      <c r="B747" t="s">
        <v>1083</v>
      </c>
      <c r="C747" t="s">
        <v>1084</v>
      </c>
      <c r="D747" s="4">
        <v>45180</v>
      </c>
      <c r="E747" s="1" t="s">
        <v>77</v>
      </c>
      <c r="F747" s="1" t="s">
        <v>53</v>
      </c>
      <c r="G747" s="1" t="s">
        <v>61</v>
      </c>
      <c r="H747">
        <v>2481</v>
      </c>
      <c r="I747">
        <v>2575.83</v>
      </c>
      <c r="J747" s="1" t="s">
        <v>17</v>
      </c>
      <c r="K747" s="1" t="s">
        <v>32</v>
      </c>
      <c r="L747">
        <v>9</v>
      </c>
      <c r="M747" t="s">
        <v>19</v>
      </c>
    </row>
    <row r="748" spans="1:13" ht="15.75" customHeight="1" x14ac:dyDescent="0.35">
      <c r="A748" s="1" t="s">
        <v>28</v>
      </c>
      <c r="B748" s="1" t="s">
        <v>495</v>
      </c>
      <c r="C748" t="s">
        <v>1084</v>
      </c>
      <c r="D748" s="4">
        <v>45051</v>
      </c>
      <c r="E748" s="1" t="s">
        <v>30</v>
      </c>
      <c r="F748" s="1" t="s">
        <v>53</v>
      </c>
      <c r="G748" t="s">
        <v>1086</v>
      </c>
      <c r="H748" s="1">
        <v>2481</v>
      </c>
      <c r="I748">
        <v>2575.83</v>
      </c>
      <c r="J748" s="1" t="s">
        <v>25</v>
      </c>
      <c r="K748" s="1" t="s">
        <v>57</v>
      </c>
      <c r="L748">
        <v>9</v>
      </c>
      <c r="M748" t="s">
        <v>65</v>
      </c>
    </row>
    <row r="749" spans="1:13" ht="15.75" customHeight="1" x14ac:dyDescent="0.35">
      <c r="A749" s="1" t="s">
        <v>166</v>
      </c>
      <c r="B749" s="1" t="s">
        <v>905</v>
      </c>
      <c r="C749" s="1" t="s">
        <v>463</v>
      </c>
      <c r="D749" s="4">
        <v>45221</v>
      </c>
      <c r="E749" s="1" t="s">
        <v>92</v>
      </c>
      <c r="F749" s="1" t="s">
        <v>47</v>
      </c>
      <c r="G749" t="s">
        <v>1086</v>
      </c>
      <c r="H749" s="1">
        <v>2481</v>
      </c>
      <c r="I749">
        <v>2575.83</v>
      </c>
      <c r="J749" s="1" t="s">
        <v>25</v>
      </c>
      <c r="K749" s="1" t="s">
        <v>32</v>
      </c>
      <c r="L749">
        <v>9</v>
      </c>
      <c r="M749" t="s">
        <v>65</v>
      </c>
    </row>
    <row r="750" spans="1:13" ht="15.75" customHeight="1" x14ac:dyDescent="0.35">
      <c r="A750" s="1" t="s">
        <v>209</v>
      </c>
      <c r="B750" s="1" t="s">
        <v>879</v>
      </c>
      <c r="C750" t="s">
        <v>1084</v>
      </c>
      <c r="D750" s="4">
        <v>45037</v>
      </c>
      <c r="E750" s="1" t="s">
        <v>85</v>
      </c>
      <c r="F750" s="1" t="s">
        <v>23</v>
      </c>
      <c r="G750" t="s">
        <v>1086</v>
      </c>
      <c r="H750">
        <v>2481</v>
      </c>
      <c r="I750" s="1">
        <v>4607.3100000000004</v>
      </c>
      <c r="J750" s="1" t="s">
        <v>25</v>
      </c>
      <c r="K750" s="1" t="s">
        <v>32</v>
      </c>
      <c r="L750">
        <v>9</v>
      </c>
      <c r="M750" t="s">
        <v>19</v>
      </c>
    </row>
    <row r="751" spans="1:13" ht="15.75" customHeight="1" x14ac:dyDescent="0.35">
      <c r="A751" s="1" t="s">
        <v>28</v>
      </c>
      <c r="B751" t="s">
        <v>1083</v>
      </c>
      <c r="C751" s="1" t="s">
        <v>232</v>
      </c>
      <c r="D751" s="4">
        <v>45284</v>
      </c>
      <c r="E751" s="1" t="s">
        <v>92</v>
      </c>
      <c r="F751" s="1" t="s">
        <v>93</v>
      </c>
      <c r="G751" s="1" t="s">
        <v>24</v>
      </c>
      <c r="H751">
        <v>2481</v>
      </c>
      <c r="I751">
        <v>2575.83</v>
      </c>
      <c r="J751" s="1" t="s">
        <v>17</v>
      </c>
      <c r="K751" s="1" t="s">
        <v>1093</v>
      </c>
      <c r="L751" s="1">
        <v>54</v>
      </c>
      <c r="M751" s="1" t="s">
        <v>19</v>
      </c>
    </row>
    <row r="752" spans="1:13" ht="15.75" customHeight="1" x14ac:dyDescent="0.35">
      <c r="A752" s="1" t="s">
        <v>28</v>
      </c>
      <c r="B752" t="s">
        <v>1083</v>
      </c>
      <c r="C752" s="1" t="s">
        <v>278</v>
      </c>
      <c r="D752" s="4">
        <v>44978</v>
      </c>
      <c r="E752" s="1" t="s">
        <v>16</v>
      </c>
      <c r="F752" t="s">
        <v>1085</v>
      </c>
      <c r="G752" s="1" t="s">
        <v>48</v>
      </c>
      <c r="H752">
        <v>2481</v>
      </c>
      <c r="I752" s="1">
        <v>3794.99</v>
      </c>
      <c r="J752" s="1" t="s">
        <v>42</v>
      </c>
      <c r="K752" s="1" t="s">
        <v>1093</v>
      </c>
      <c r="L752">
        <v>9</v>
      </c>
      <c r="M752" t="s">
        <v>65</v>
      </c>
    </row>
    <row r="753" spans="1:13" ht="15.75" customHeight="1" x14ac:dyDescent="0.35">
      <c r="A753" s="1" t="s">
        <v>242</v>
      </c>
      <c r="B753" s="1" t="s">
        <v>909</v>
      </c>
      <c r="C753" t="s">
        <v>1084</v>
      </c>
      <c r="D753" s="4">
        <v>45024</v>
      </c>
      <c r="E753" s="1" t="s">
        <v>92</v>
      </c>
      <c r="F753" s="1" t="s">
        <v>47</v>
      </c>
      <c r="G753" t="s">
        <v>1086</v>
      </c>
      <c r="H753">
        <v>2481</v>
      </c>
      <c r="I753">
        <v>2575.83</v>
      </c>
      <c r="J753" s="1" t="s">
        <v>25</v>
      </c>
      <c r="K753" s="1" t="s">
        <v>18</v>
      </c>
      <c r="L753" s="1">
        <v>5</v>
      </c>
      <c r="M753" s="1" t="s">
        <v>42</v>
      </c>
    </row>
    <row r="754" spans="1:13" ht="15.75" customHeight="1" x14ac:dyDescent="0.35">
      <c r="A754" s="1" t="s">
        <v>249</v>
      </c>
      <c r="B754" t="s">
        <v>1083</v>
      </c>
      <c r="C754" t="s">
        <v>1084</v>
      </c>
      <c r="D754" s="4">
        <v>45199</v>
      </c>
      <c r="E754" s="1" t="s">
        <v>77</v>
      </c>
      <c r="F754" s="1" t="s">
        <v>23</v>
      </c>
      <c r="G754" t="s">
        <v>1086</v>
      </c>
      <c r="H754" s="1">
        <v>4082.14</v>
      </c>
      <c r="I754" s="1">
        <v>1652.99</v>
      </c>
      <c r="J754" s="1" t="s">
        <v>25</v>
      </c>
      <c r="K754" s="1" t="s">
        <v>26</v>
      </c>
      <c r="L754">
        <v>9</v>
      </c>
      <c r="M754" t="s">
        <v>65</v>
      </c>
    </row>
    <row r="755" spans="1:13" ht="15.75" customHeight="1" x14ac:dyDescent="0.35">
      <c r="A755" s="1" t="s">
        <v>249</v>
      </c>
      <c r="B755" s="1" t="s">
        <v>582</v>
      </c>
      <c r="C755" s="1" t="s">
        <v>625</v>
      </c>
      <c r="D755" s="4">
        <v>45282</v>
      </c>
      <c r="E755" s="1" t="s">
        <v>77</v>
      </c>
      <c r="F755" t="s">
        <v>1085</v>
      </c>
      <c r="G755" s="1" t="s">
        <v>24</v>
      </c>
      <c r="H755">
        <v>2481</v>
      </c>
      <c r="I755">
        <v>2575.83</v>
      </c>
      <c r="J755" s="1" t="s">
        <v>25</v>
      </c>
      <c r="K755" s="1" t="s">
        <v>1093</v>
      </c>
      <c r="L755">
        <v>9</v>
      </c>
      <c r="M755" t="s">
        <v>42</v>
      </c>
    </row>
    <row r="756" spans="1:13" ht="15.75" customHeight="1" x14ac:dyDescent="0.35">
      <c r="A756" s="1" t="s">
        <v>209</v>
      </c>
      <c r="B756" t="s">
        <v>1083</v>
      </c>
      <c r="C756" t="s">
        <v>1084</v>
      </c>
      <c r="D756" s="4">
        <v>45125</v>
      </c>
      <c r="E756" s="1" t="s">
        <v>92</v>
      </c>
      <c r="F756" t="s">
        <v>1085</v>
      </c>
      <c r="G756" s="1" t="s">
        <v>41</v>
      </c>
      <c r="H756" s="1">
        <v>2481</v>
      </c>
      <c r="I756" s="1">
        <v>1882.63</v>
      </c>
      <c r="J756" s="1" t="s">
        <v>42</v>
      </c>
      <c r="K756" s="1" t="s">
        <v>57</v>
      </c>
      <c r="L756" s="1">
        <v>22</v>
      </c>
      <c r="M756" s="1" t="s">
        <v>65</v>
      </c>
    </row>
    <row r="757" spans="1:13" ht="15.75" customHeight="1" x14ac:dyDescent="0.35">
      <c r="A757" s="1" t="s">
        <v>58</v>
      </c>
      <c r="B757" s="1" t="s">
        <v>914</v>
      </c>
      <c r="C757" s="1" t="s">
        <v>358</v>
      </c>
      <c r="D757" s="4">
        <v>45186</v>
      </c>
      <c r="E757" s="1" t="s">
        <v>30</v>
      </c>
      <c r="F757" s="1" t="s">
        <v>31</v>
      </c>
      <c r="G757" s="1" t="s">
        <v>61</v>
      </c>
      <c r="H757">
        <v>2481</v>
      </c>
      <c r="I757">
        <v>2575.83</v>
      </c>
      <c r="J757" s="1" t="s">
        <v>17</v>
      </c>
      <c r="K757" s="1" t="s">
        <v>18</v>
      </c>
      <c r="L757">
        <v>9</v>
      </c>
      <c r="M757" t="s">
        <v>42</v>
      </c>
    </row>
    <row r="758" spans="1:13" ht="15.75" customHeight="1" x14ac:dyDescent="0.35">
      <c r="A758" s="1" t="s">
        <v>82</v>
      </c>
      <c r="B758" t="s">
        <v>1083</v>
      </c>
      <c r="C758" t="s">
        <v>1084</v>
      </c>
      <c r="D758" s="4">
        <v>45229</v>
      </c>
      <c r="E758" s="1" t="s">
        <v>16</v>
      </c>
      <c r="F758" s="1" t="s">
        <v>47</v>
      </c>
      <c r="G758" s="1" t="s">
        <v>48</v>
      </c>
      <c r="H758">
        <v>2481</v>
      </c>
      <c r="I758">
        <v>2575.83</v>
      </c>
      <c r="J758" s="1" t="s">
        <v>17</v>
      </c>
      <c r="K758" s="1" t="s">
        <v>26</v>
      </c>
      <c r="L758">
        <v>9</v>
      </c>
      <c r="M758" t="s">
        <v>19</v>
      </c>
    </row>
    <row r="759" spans="1:13" ht="15.75" customHeight="1" x14ac:dyDescent="0.35">
      <c r="A759" s="1" t="s">
        <v>168</v>
      </c>
      <c r="B759" t="s">
        <v>1083</v>
      </c>
      <c r="C759" s="1" t="s">
        <v>177</v>
      </c>
      <c r="D759" s="4">
        <v>45233</v>
      </c>
      <c r="E759" s="1" t="s">
        <v>16</v>
      </c>
      <c r="F759" s="1" t="s">
        <v>93</v>
      </c>
      <c r="G759" s="1" t="s">
        <v>48</v>
      </c>
      <c r="H759">
        <v>2481</v>
      </c>
      <c r="I759">
        <v>2575.83</v>
      </c>
      <c r="J759" s="1" t="s">
        <v>42</v>
      </c>
      <c r="K759" s="1" t="s">
        <v>32</v>
      </c>
      <c r="L759">
        <v>9</v>
      </c>
      <c r="M759" t="s">
        <v>42</v>
      </c>
    </row>
    <row r="760" spans="1:13" ht="15.75" customHeight="1" x14ac:dyDescent="0.35">
      <c r="A760" s="1" t="s">
        <v>70</v>
      </c>
      <c r="B760" t="s">
        <v>1083</v>
      </c>
      <c r="C760" t="s">
        <v>1084</v>
      </c>
      <c r="D760" s="4">
        <v>44954</v>
      </c>
      <c r="E760" s="1" t="s">
        <v>85</v>
      </c>
      <c r="F760" s="1" t="s">
        <v>31</v>
      </c>
      <c r="G760" s="1" t="s">
        <v>54</v>
      </c>
      <c r="H760" s="1">
        <v>642.42999999999995</v>
      </c>
      <c r="I760">
        <v>2575.83</v>
      </c>
      <c r="J760" s="1" t="s">
        <v>17</v>
      </c>
      <c r="K760" s="1" t="s">
        <v>18</v>
      </c>
      <c r="L760">
        <v>9</v>
      </c>
      <c r="M760" t="s">
        <v>65</v>
      </c>
    </row>
    <row r="761" spans="1:13" ht="15.75" customHeight="1" x14ac:dyDescent="0.35">
      <c r="A761" s="1" t="s">
        <v>102</v>
      </c>
      <c r="B761" t="s">
        <v>1083</v>
      </c>
      <c r="C761" s="1" t="s">
        <v>625</v>
      </c>
      <c r="D761" s="4">
        <v>44972</v>
      </c>
      <c r="E761" s="1" t="s">
        <v>30</v>
      </c>
      <c r="F761" t="s">
        <v>1085</v>
      </c>
      <c r="G761" t="s">
        <v>1086</v>
      </c>
      <c r="H761" s="1">
        <v>2481</v>
      </c>
      <c r="I761" s="1">
        <v>3497.25</v>
      </c>
      <c r="J761" s="1" t="s">
        <v>42</v>
      </c>
      <c r="K761" s="1" t="s">
        <v>18</v>
      </c>
      <c r="L761">
        <v>9</v>
      </c>
      <c r="M761" t="s">
        <v>19</v>
      </c>
    </row>
    <row r="762" spans="1:13" ht="15.75" customHeight="1" x14ac:dyDescent="0.35">
      <c r="A762" s="1" t="s">
        <v>102</v>
      </c>
      <c r="B762" t="s">
        <v>1083</v>
      </c>
      <c r="C762" t="s">
        <v>1084</v>
      </c>
      <c r="D762" s="4">
        <v>45021</v>
      </c>
      <c r="E762" s="1" t="s">
        <v>85</v>
      </c>
      <c r="F762" s="1" t="s">
        <v>93</v>
      </c>
      <c r="G762" s="1" t="s">
        <v>41</v>
      </c>
      <c r="H762" s="1">
        <v>4928.8999999999996</v>
      </c>
      <c r="I762" s="1">
        <v>1731.61</v>
      </c>
      <c r="J762" s="1" t="s">
        <v>17</v>
      </c>
      <c r="K762" s="1" t="s">
        <v>32</v>
      </c>
      <c r="L762">
        <v>9</v>
      </c>
      <c r="M762" t="s">
        <v>19</v>
      </c>
    </row>
    <row r="763" spans="1:13" ht="15.75" customHeight="1" x14ac:dyDescent="0.35">
      <c r="A763" s="1" t="s">
        <v>20</v>
      </c>
      <c r="B763" t="s">
        <v>1083</v>
      </c>
      <c r="C763" s="1" t="s">
        <v>373</v>
      </c>
      <c r="D763" s="4">
        <v>45013</v>
      </c>
      <c r="E763" s="1" t="s">
        <v>16</v>
      </c>
      <c r="F763" s="1" t="s">
        <v>31</v>
      </c>
      <c r="G763" s="1" t="s">
        <v>48</v>
      </c>
      <c r="H763">
        <v>2481</v>
      </c>
      <c r="I763" s="1">
        <v>4303.83</v>
      </c>
      <c r="J763" s="1" t="s">
        <v>17</v>
      </c>
      <c r="K763" s="1" t="s">
        <v>57</v>
      </c>
      <c r="L763" s="1">
        <v>31</v>
      </c>
      <c r="M763" s="1" t="s">
        <v>42</v>
      </c>
    </row>
    <row r="764" spans="1:13" ht="15.75" customHeight="1" x14ac:dyDescent="0.35">
      <c r="A764" s="1" t="s">
        <v>187</v>
      </c>
      <c r="B764" s="1" t="s">
        <v>917</v>
      </c>
      <c r="C764" s="1" t="s">
        <v>135</v>
      </c>
      <c r="D764" s="4">
        <v>45234</v>
      </c>
      <c r="E764" s="1" t="s">
        <v>77</v>
      </c>
      <c r="F764" t="s">
        <v>1085</v>
      </c>
      <c r="G764" s="1" t="s">
        <v>24</v>
      </c>
      <c r="H764" s="1">
        <v>2561.2800000000002</v>
      </c>
      <c r="I764">
        <v>2575.83</v>
      </c>
      <c r="J764" s="1" t="s">
        <v>25</v>
      </c>
      <c r="K764" s="1" t="s">
        <v>32</v>
      </c>
      <c r="L764">
        <v>9</v>
      </c>
      <c r="M764" t="s">
        <v>19</v>
      </c>
    </row>
    <row r="765" spans="1:13" ht="15.75" customHeight="1" x14ac:dyDescent="0.35">
      <c r="A765" s="1" t="s">
        <v>28</v>
      </c>
      <c r="B765" s="1" t="s">
        <v>919</v>
      </c>
      <c r="C765" s="1" t="s">
        <v>463</v>
      </c>
      <c r="D765" s="4">
        <v>45025</v>
      </c>
      <c r="E765" s="1" t="s">
        <v>85</v>
      </c>
      <c r="F765" s="1" t="s">
        <v>47</v>
      </c>
      <c r="G765" s="1" t="s">
        <v>41</v>
      </c>
      <c r="H765" s="1">
        <v>2481</v>
      </c>
      <c r="I765" s="1">
        <v>3931.11</v>
      </c>
      <c r="J765" s="1" t="s">
        <v>17</v>
      </c>
      <c r="K765" s="1" t="s">
        <v>26</v>
      </c>
      <c r="L765" s="1">
        <v>21</v>
      </c>
      <c r="M765" s="1" t="s">
        <v>19</v>
      </c>
    </row>
    <row r="766" spans="1:13" ht="15.75" customHeight="1" x14ac:dyDescent="0.35">
      <c r="A766" s="1" t="s">
        <v>50</v>
      </c>
      <c r="B766" t="s">
        <v>1083</v>
      </c>
      <c r="C766" t="s">
        <v>1084</v>
      </c>
      <c r="D766" s="4">
        <v>45110</v>
      </c>
      <c r="E766" s="1" t="s">
        <v>85</v>
      </c>
      <c r="F766" t="s">
        <v>1085</v>
      </c>
      <c r="G766" t="s">
        <v>1086</v>
      </c>
      <c r="H766" s="1">
        <v>3785.33</v>
      </c>
      <c r="I766" s="1">
        <v>4246.4799999999996</v>
      </c>
      <c r="J766" s="1" t="s">
        <v>42</v>
      </c>
      <c r="K766" s="1" t="s">
        <v>57</v>
      </c>
      <c r="L766">
        <v>9</v>
      </c>
      <c r="M766" t="s">
        <v>42</v>
      </c>
    </row>
    <row r="767" spans="1:13" ht="15.75" customHeight="1" x14ac:dyDescent="0.35">
      <c r="A767" s="1" t="s">
        <v>302</v>
      </c>
      <c r="B767" t="s">
        <v>1083</v>
      </c>
      <c r="C767" s="1" t="s">
        <v>336</v>
      </c>
      <c r="D767" s="4">
        <v>45091</v>
      </c>
      <c r="E767" s="1" t="s">
        <v>85</v>
      </c>
      <c r="F767" s="1" t="s">
        <v>93</v>
      </c>
      <c r="G767" s="1" t="s">
        <v>41</v>
      </c>
      <c r="H767" s="1">
        <v>2481</v>
      </c>
      <c r="I767" s="1">
        <v>2203.94</v>
      </c>
      <c r="J767" s="1" t="s">
        <v>25</v>
      </c>
      <c r="K767" s="1" t="s">
        <v>26</v>
      </c>
      <c r="L767" s="1">
        <v>31</v>
      </c>
      <c r="M767" s="1" t="s">
        <v>19</v>
      </c>
    </row>
    <row r="768" spans="1:13" ht="15.75" customHeight="1" x14ac:dyDescent="0.35">
      <c r="A768" s="1" t="s">
        <v>20</v>
      </c>
      <c r="B768" t="s">
        <v>1083</v>
      </c>
      <c r="C768" t="s">
        <v>1084</v>
      </c>
      <c r="D768" s="4">
        <v>45277</v>
      </c>
      <c r="E768" s="1" t="s">
        <v>16</v>
      </c>
      <c r="F768" s="1" t="s">
        <v>47</v>
      </c>
      <c r="G768" s="1" t="s">
        <v>61</v>
      </c>
      <c r="H768">
        <v>2481</v>
      </c>
      <c r="I768">
        <v>2575.83</v>
      </c>
      <c r="J768" s="1" t="s">
        <v>17</v>
      </c>
      <c r="K768" s="1" t="s">
        <v>57</v>
      </c>
      <c r="L768">
        <v>9</v>
      </c>
      <c r="M768" t="s">
        <v>19</v>
      </c>
    </row>
    <row r="769" spans="1:13" ht="15.75" customHeight="1" x14ac:dyDescent="0.35">
      <c r="A769" s="1" t="s">
        <v>148</v>
      </c>
      <c r="B769" t="s">
        <v>1083</v>
      </c>
      <c r="C769" s="1" t="s">
        <v>193</v>
      </c>
      <c r="D769" s="4">
        <v>45124</v>
      </c>
      <c r="E769" s="1" t="s">
        <v>30</v>
      </c>
      <c r="F769" s="1" t="s">
        <v>23</v>
      </c>
      <c r="G769" t="s">
        <v>1086</v>
      </c>
      <c r="H769">
        <v>2481</v>
      </c>
      <c r="I769">
        <v>2575.83</v>
      </c>
      <c r="J769" s="1" t="s">
        <v>25</v>
      </c>
      <c r="K769" s="1" t="s">
        <v>18</v>
      </c>
      <c r="L769">
        <v>9</v>
      </c>
      <c r="M769" t="s">
        <v>65</v>
      </c>
    </row>
    <row r="770" spans="1:13" ht="15.75" customHeight="1" x14ac:dyDescent="0.35">
      <c r="A770" s="1" t="s">
        <v>198</v>
      </c>
      <c r="B770" t="s">
        <v>1083</v>
      </c>
      <c r="C770" s="1" t="s">
        <v>68</v>
      </c>
      <c r="D770" s="4">
        <v>45219</v>
      </c>
      <c r="E770" s="1" t="s">
        <v>30</v>
      </c>
      <c r="F770" s="1" t="s">
        <v>23</v>
      </c>
      <c r="G770" s="1" t="s">
        <v>61</v>
      </c>
      <c r="H770" s="1">
        <v>4614.33</v>
      </c>
      <c r="I770" s="1">
        <v>4625.3500000000004</v>
      </c>
      <c r="J770" s="1" t="s">
        <v>17</v>
      </c>
      <c r="K770" s="1" t="s">
        <v>32</v>
      </c>
      <c r="L770">
        <v>9</v>
      </c>
      <c r="M770" t="s">
        <v>65</v>
      </c>
    </row>
    <row r="771" spans="1:13" ht="15.75" customHeight="1" x14ac:dyDescent="0.35">
      <c r="A771" s="1" t="s">
        <v>242</v>
      </c>
      <c r="B771" s="1" t="s">
        <v>902</v>
      </c>
      <c r="C771" s="1" t="s">
        <v>213</v>
      </c>
      <c r="D771" s="4">
        <v>45245</v>
      </c>
      <c r="E771" s="1" t="s">
        <v>92</v>
      </c>
      <c r="F771" s="1" t="s">
        <v>53</v>
      </c>
      <c r="G771" t="s">
        <v>1086</v>
      </c>
      <c r="H771">
        <v>2481</v>
      </c>
      <c r="I771">
        <v>2575.83</v>
      </c>
      <c r="J771" s="1" t="s">
        <v>42</v>
      </c>
      <c r="K771" s="1" t="s">
        <v>1093</v>
      </c>
      <c r="L771" s="1">
        <v>44</v>
      </c>
      <c r="M771" s="1" t="s">
        <v>65</v>
      </c>
    </row>
    <row r="772" spans="1:13" ht="15.75" customHeight="1" x14ac:dyDescent="0.35">
      <c r="A772" s="1" t="s">
        <v>70</v>
      </c>
      <c r="B772" t="s">
        <v>1083</v>
      </c>
      <c r="C772" t="s">
        <v>1084</v>
      </c>
      <c r="D772" s="4">
        <v>44932</v>
      </c>
      <c r="E772" s="1" t="s">
        <v>16</v>
      </c>
      <c r="F772" s="1" t="s">
        <v>53</v>
      </c>
      <c r="G772" s="1" t="s">
        <v>61</v>
      </c>
      <c r="H772">
        <v>2481</v>
      </c>
      <c r="I772" s="1">
        <v>3331.67</v>
      </c>
      <c r="J772" s="1" t="s">
        <v>25</v>
      </c>
      <c r="K772" s="1" t="s">
        <v>26</v>
      </c>
      <c r="L772" s="1">
        <v>7</v>
      </c>
      <c r="M772" s="1" t="s">
        <v>65</v>
      </c>
    </row>
    <row r="773" spans="1:13" ht="15.75" customHeight="1" x14ac:dyDescent="0.35">
      <c r="A773" s="1" t="s">
        <v>430</v>
      </c>
      <c r="B773" t="s">
        <v>1083</v>
      </c>
      <c r="C773" s="1" t="s">
        <v>139</v>
      </c>
      <c r="D773" s="4">
        <v>45275</v>
      </c>
      <c r="E773" s="1" t="s">
        <v>92</v>
      </c>
      <c r="F773" s="1" t="s">
        <v>47</v>
      </c>
      <c r="G773" s="1" t="s">
        <v>41</v>
      </c>
      <c r="H773">
        <v>2481</v>
      </c>
      <c r="I773" s="1">
        <v>587.04</v>
      </c>
      <c r="J773" s="1" t="s">
        <v>25</v>
      </c>
      <c r="K773" s="1" t="s">
        <v>18</v>
      </c>
      <c r="L773" s="1">
        <v>60</v>
      </c>
      <c r="M773" s="1" t="s">
        <v>42</v>
      </c>
    </row>
    <row r="774" spans="1:13" ht="15.75" customHeight="1" x14ac:dyDescent="0.35">
      <c r="A774" s="1" t="s">
        <v>117</v>
      </c>
      <c r="B774" s="1" t="s">
        <v>389</v>
      </c>
      <c r="C774" s="1" t="s">
        <v>354</v>
      </c>
      <c r="D774" s="4">
        <v>45167</v>
      </c>
      <c r="E774" s="1" t="s">
        <v>85</v>
      </c>
      <c r="F774" s="1" t="s">
        <v>23</v>
      </c>
      <c r="G774" s="1" t="s">
        <v>48</v>
      </c>
      <c r="H774" s="1">
        <v>963.17</v>
      </c>
      <c r="I774">
        <v>2575.83</v>
      </c>
      <c r="J774" s="1" t="s">
        <v>42</v>
      </c>
      <c r="K774" s="1" t="s">
        <v>1093</v>
      </c>
      <c r="L774" s="1">
        <v>47</v>
      </c>
      <c r="M774" s="1" t="s">
        <v>65</v>
      </c>
    </row>
    <row r="775" spans="1:13" ht="15.75" customHeight="1" x14ac:dyDescent="0.35">
      <c r="A775" s="1" t="s">
        <v>154</v>
      </c>
      <c r="B775" s="1" t="s">
        <v>926</v>
      </c>
      <c r="C775" s="1" t="s">
        <v>378</v>
      </c>
      <c r="D775" s="4">
        <v>44949</v>
      </c>
      <c r="E775" s="1" t="s">
        <v>16</v>
      </c>
      <c r="F775" s="1" t="s">
        <v>93</v>
      </c>
      <c r="G775" s="1" t="s">
        <v>41</v>
      </c>
      <c r="H775">
        <v>2481</v>
      </c>
      <c r="I775" s="1">
        <v>1783.08</v>
      </c>
      <c r="J775" s="1" t="s">
        <v>25</v>
      </c>
      <c r="K775" s="1" t="s">
        <v>1093</v>
      </c>
      <c r="L775" s="1">
        <v>24</v>
      </c>
      <c r="M775" s="1" t="s">
        <v>19</v>
      </c>
    </row>
    <row r="776" spans="1:13" ht="15.75" customHeight="1" x14ac:dyDescent="0.35">
      <c r="A776" s="1" t="s">
        <v>163</v>
      </c>
      <c r="B776" s="1" t="s">
        <v>928</v>
      </c>
      <c r="C776" s="1" t="s">
        <v>200</v>
      </c>
      <c r="D776" s="4">
        <v>45098</v>
      </c>
      <c r="E776" s="1" t="s">
        <v>85</v>
      </c>
      <c r="F776" s="1" t="s">
        <v>53</v>
      </c>
      <c r="G776" s="1" t="s">
        <v>61</v>
      </c>
      <c r="H776">
        <v>2481</v>
      </c>
      <c r="I776" s="1">
        <v>2806.42</v>
      </c>
      <c r="J776" s="1" t="s">
        <v>17</v>
      </c>
      <c r="K776" s="1" t="s">
        <v>32</v>
      </c>
      <c r="L776" s="1">
        <v>3</v>
      </c>
      <c r="M776" s="1" t="s">
        <v>19</v>
      </c>
    </row>
    <row r="777" spans="1:13" ht="15.75" customHeight="1" x14ac:dyDescent="0.35">
      <c r="A777" s="1" t="s">
        <v>70</v>
      </c>
      <c r="B777" t="s">
        <v>1083</v>
      </c>
      <c r="C777" s="1" t="s">
        <v>792</v>
      </c>
      <c r="D777" s="4">
        <v>45091</v>
      </c>
      <c r="E777" s="1" t="s">
        <v>16</v>
      </c>
      <c r="F777" t="s">
        <v>1085</v>
      </c>
      <c r="G777" s="1" t="s">
        <v>24</v>
      </c>
      <c r="H777" s="1">
        <v>79.209999999999994</v>
      </c>
      <c r="I777">
        <v>2575.83</v>
      </c>
      <c r="J777" s="1" t="s">
        <v>25</v>
      </c>
      <c r="K777" s="1" t="s">
        <v>18</v>
      </c>
      <c r="L777">
        <v>9</v>
      </c>
      <c r="M777" t="s">
        <v>19</v>
      </c>
    </row>
    <row r="778" spans="1:13" ht="15.75" customHeight="1" x14ac:dyDescent="0.35">
      <c r="A778" s="1" t="s">
        <v>209</v>
      </c>
      <c r="B778" s="1" t="s">
        <v>323</v>
      </c>
      <c r="C778" t="s">
        <v>1084</v>
      </c>
      <c r="D778" s="4">
        <v>45257</v>
      </c>
      <c r="E778" s="1" t="s">
        <v>16</v>
      </c>
      <c r="F778" s="1" t="s">
        <v>47</v>
      </c>
      <c r="G778" s="1" t="s">
        <v>48</v>
      </c>
      <c r="H778" s="1">
        <v>2481</v>
      </c>
      <c r="I778">
        <v>2575.83</v>
      </c>
      <c r="J778" s="1" t="s">
        <v>25</v>
      </c>
      <c r="K778" s="1" t="s">
        <v>1093</v>
      </c>
      <c r="L778" s="1">
        <v>58</v>
      </c>
      <c r="M778" s="1" t="s">
        <v>65</v>
      </c>
    </row>
    <row r="779" spans="1:13" ht="15.75" customHeight="1" x14ac:dyDescent="0.35">
      <c r="A779" s="1" t="s">
        <v>73</v>
      </c>
      <c r="B779" s="1" t="s">
        <v>930</v>
      </c>
      <c r="C779" t="s">
        <v>1084</v>
      </c>
      <c r="D779" s="4">
        <v>45016</v>
      </c>
      <c r="E779" s="1" t="s">
        <v>85</v>
      </c>
      <c r="F779" s="1" t="s">
        <v>31</v>
      </c>
      <c r="G779" t="s">
        <v>1086</v>
      </c>
      <c r="H779">
        <v>2481</v>
      </c>
      <c r="I779">
        <v>2575.83</v>
      </c>
      <c r="J779" s="1" t="s">
        <v>17</v>
      </c>
      <c r="K779" s="1" t="s">
        <v>18</v>
      </c>
      <c r="L779" s="1">
        <v>25</v>
      </c>
      <c r="M779" s="1" t="s">
        <v>19</v>
      </c>
    </row>
    <row r="780" spans="1:13" ht="15.75" customHeight="1" x14ac:dyDescent="0.35">
      <c r="A780" s="1" t="s">
        <v>187</v>
      </c>
      <c r="B780" t="s">
        <v>1083</v>
      </c>
      <c r="C780" t="s">
        <v>1084</v>
      </c>
      <c r="D780" s="4">
        <v>45154</v>
      </c>
      <c r="E780" s="1" t="s">
        <v>92</v>
      </c>
      <c r="F780" s="1" t="s">
        <v>31</v>
      </c>
      <c r="G780" s="1" t="s">
        <v>41</v>
      </c>
      <c r="H780">
        <v>2481</v>
      </c>
      <c r="I780">
        <v>2575.83</v>
      </c>
      <c r="J780" s="1" t="s">
        <v>17</v>
      </c>
      <c r="K780" s="1" t="s">
        <v>57</v>
      </c>
      <c r="L780">
        <v>9</v>
      </c>
      <c r="M780" t="s">
        <v>42</v>
      </c>
    </row>
    <row r="781" spans="1:13" ht="15.75" customHeight="1" x14ac:dyDescent="0.35">
      <c r="A781" s="1" t="s">
        <v>242</v>
      </c>
      <c r="B781" t="s">
        <v>1083</v>
      </c>
      <c r="C781" t="s">
        <v>1084</v>
      </c>
      <c r="D781" s="4">
        <v>45118</v>
      </c>
      <c r="E781" s="1" t="s">
        <v>77</v>
      </c>
      <c r="F781" s="1" t="s">
        <v>93</v>
      </c>
      <c r="G781" s="1" t="s">
        <v>48</v>
      </c>
      <c r="H781" s="1">
        <v>2481</v>
      </c>
      <c r="I781">
        <v>2575.83</v>
      </c>
      <c r="J781" s="1" t="s">
        <v>25</v>
      </c>
      <c r="K781" s="1" t="s">
        <v>26</v>
      </c>
      <c r="L781" s="1">
        <v>12</v>
      </c>
      <c r="M781" s="1" t="s">
        <v>19</v>
      </c>
    </row>
    <row r="782" spans="1:13" ht="15.75" customHeight="1" x14ac:dyDescent="0.35">
      <c r="A782" s="1" t="s">
        <v>20</v>
      </c>
      <c r="B782" t="s">
        <v>1083</v>
      </c>
      <c r="C782" t="s">
        <v>1084</v>
      </c>
      <c r="D782" s="4">
        <v>44939</v>
      </c>
      <c r="E782" s="1" t="s">
        <v>85</v>
      </c>
      <c r="F782" s="1" t="s">
        <v>53</v>
      </c>
      <c r="G782" s="1" t="s">
        <v>54</v>
      </c>
      <c r="H782">
        <v>2481</v>
      </c>
      <c r="I782">
        <v>2575.83</v>
      </c>
      <c r="J782" s="1" t="s">
        <v>17</v>
      </c>
      <c r="K782" s="1" t="s">
        <v>18</v>
      </c>
      <c r="L782">
        <v>9</v>
      </c>
      <c r="M782" t="s">
        <v>65</v>
      </c>
    </row>
    <row r="783" spans="1:13" ht="15.75" customHeight="1" x14ac:dyDescent="0.35">
      <c r="A783" s="1" t="s">
        <v>170</v>
      </c>
      <c r="B783" s="1" t="s">
        <v>932</v>
      </c>
      <c r="C783" t="s">
        <v>1084</v>
      </c>
      <c r="D783" s="4">
        <v>45240</v>
      </c>
      <c r="E783" s="1" t="s">
        <v>16</v>
      </c>
      <c r="F783" t="s">
        <v>1085</v>
      </c>
      <c r="G783" s="1" t="s">
        <v>61</v>
      </c>
      <c r="H783" s="1">
        <v>3397.14</v>
      </c>
      <c r="I783" s="1">
        <v>156.26</v>
      </c>
      <c r="J783" s="1" t="s">
        <v>42</v>
      </c>
      <c r="K783" s="1" t="s">
        <v>26</v>
      </c>
      <c r="L783">
        <v>9</v>
      </c>
      <c r="M783" t="s">
        <v>65</v>
      </c>
    </row>
    <row r="784" spans="1:13" ht="15.75" customHeight="1" x14ac:dyDescent="0.35">
      <c r="A784" s="1" t="s">
        <v>148</v>
      </c>
      <c r="B784" s="1" t="s">
        <v>933</v>
      </c>
      <c r="C784" s="1" t="s">
        <v>414</v>
      </c>
      <c r="D784" s="4">
        <v>45088</v>
      </c>
      <c r="E784" s="1" t="s">
        <v>85</v>
      </c>
      <c r="F784" s="1" t="s">
        <v>53</v>
      </c>
      <c r="G784" s="1" t="s">
        <v>48</v>
      </c>
      <c r="H784">
        <v>2481</v>
      </c>
      <c r="I784">
        <v>2575.83</v>
      </c>
      <c r="J784" s="1" t="s">
        <v>17</v>
      </c>
      <c r="K784" s="1" t="s">
        <v>18</v>
      </c>
      <c r="L784">
        <v>9</v>
      </c>
      <c r="M784" t="s">
        <v>19</v>
      </c>
    </row>
    <row r="785" spans="1:13" ht="15.75" customHeight="1" x14ac:dyDescent="0.35">
      <c r="A785" s="1" t="s">
        <v>73</v>
      </c>
      <c r="B785" t="s">
        <v>1083</v>
      </c>
      <c r="C785" t="s">
        <v>1084</v>
      </c>
      <c r="D785" s="4">
        <v>45285</v>
      </c>
      <c r="E785" s="1" t="s">
        <v>16</v>
      </c>
      <c r="F785" t="s">
        <v>1085</v>
      </c>
      <c r="G785" s="1" t="s">
        <v>24</v>
      </c>
      <c r="H785" s="1">
        <v>4550.46</v>
      </c>
      <c r="I785">
        <v>2575.83</v>
      </c>
      <c r="J785" s="1" t="s">
        <v>25</v>
      </c>
      <c r="K785" s="1" t="s">
        <v>1093</v>
      </c>
      <c r="L785" s="1">
        <v>30</v>
      </c>
      <c r="M785" s="1" t="s">
        <v>19</v>
      </c>
    </row>
    <row r="786" spans="1:13" ht="15.75" customHeight="1" x14ac:dyDescent="0.35">
      <c r="A786" s="1" t="s">
        <v>66</v>
      </c>
      <c r="B786" t="s">
        <v>1083</v>
      </c>
      <c r="C786" s="1" t="s">
        <v>218</v>
      </c>
      <c r="D786" s="4">
        <v>45178</v>
      </c>
      <c r="E786" s="1" t="s">
        <v>30</v>
      </c>
      <c r="F786" s="1" t="s">
        <v>31</v>
      </c>
      <c r="G786" s="1" t="s">
        <v>41</v>
      </c>
      <c r="H786" s="1">
        <v>4939.6899999999996</v>
      </c>
      <c r="I786">
        <v>2575.83</v>
      </c>
      <c r="J786" s="1" t="s">
        <v>42</v>
      </c>
      <c r="K786" s="1" t="s">
        <v>1093</v>
      </c>
      <c r="L786" s="1">
        <v>58</v>
      </c>
      <c r="M786" s="1" t="s">
        <v>19</v>
      </c>
    </row>
    <row r="787" spans="1:13" ht="15.75" customHeight="1" x14ac:dyDescent="0.35">
      <c r="A787" s="1" t="s">
        <v>179</v>
      </c>
      <c r="B787" s="1" t="s">
        <v>462</v>
      </c>
      <c r="C787" t="s">
        <v>1084</v>
      </c>
      <c r="D787" s="4">
        <v>45291</v>
      </c>
      <c r="E787" s="1" t="s">
        <v>30</v>
      </c>
      <c r="F787" s="1" t="s">
        <v>53</v>
      </c>
      <c r="G787" s="1" t="s">
        <v>61</v>
      </c>
      <c r="H787" s="1">
        <v>2481</v>
      </c>
      <c r="I787">
        <v>2575.83</v>
      </c>
      <c r="J787" s="1" t="s">
        <v>42</v>
      </c>
      <c r="K787" s="1" t="s">
        <v>18</v>
      </c>
      <c r="L787">
        <v>9</v>
      </c>
      <c r="M787" t="s">
        <v>42</v>
      </c>
    </row>
    <row r="788" spans="1:13" ht="15.75" customHeight="1" x14ac:dyDescent="0.35">
      <c r="A788" s="1" t="s">
        <v>105</v>
      </c>
      <c r="B788" t="s">
        <v>1083</v>
      </c>
      <c r="C788" s="1" t="s">
        <v>632</v>
      </c>
      <c r="D788" s="4">
        <v>45049</v>
      </c>
      <c r="E788" s="1" t="s">
        <v>92</v>
      </c>
      <c r="F788" s="1" t="s">
        <v>53</v>
      </c>
      <c r="G788" s="1" t="s">
        <v>48</v>
      </c>
      <c r="H788" s="1">
        <v>2481</v>
      </c>
      <c r="I788">
        <v>2575.83</v>
      </c>
      <c r="J788" s="1" t="s">
        <v>17</v>
      </c>
      <c r="K788" s="1" t="s">
        <v>26</v>
      </c>
      <c r="L788">
        <v>9</v>
      </c>
      <c r="M788" t="s">
        <v>19</v>
      </c>
    </row>
    <row r="789" spans="1:13" ht="15.75" customHeight="1" x14ac:dyDescent="0.35">
      <c r="A789" s="1" t="s">
        <v>148</v>
      </c>
      <c r="B789" s="1" t="s">
        <v>936</v>
      </c>
      <c r="C789" t="s">
        <v>1084</v>
      </c>
      <c r="D789" s="4">
        <v>45167</v>
      </c>
      <c r="E789" s="1" t="s">
        <v>16</v>
      </c>
      <c r="F789" t="s">
        <v>1085</v>
      </c>
      <c r="G789" t="s">
        <v>1086</v>
      </c>
      <c r="H789">
        <v>2481</v>
      </c>
      <c r="I789">
        <v>2575.83</v>
      </c>
      <c r="J789" s="1" t="s">
        <v>25</v>
      </c>
      <c r="K789" s="1" t="s">
        <v>1093</v>
      </c>
      <c r="L789">
        <v>9</v>
      </c>
      <c r="M789" t="s">
        <v>65</v>
      </c>
    </row>
    <row r="790" spans="1:13" ht="15.75" customHeight="1" x14ac:dyDescent="0.35">
      <c r="A790" s="1" t="s">
        <v>28</v>
      </c>
      <c r="B790" t="s">
        <v>1083</v>
      </c>
      <c r="C790" s="1" t="s">
        <v>228</v>
      </c>
      <c r="D790" s="4">
        <v>45177</v>
      </c>
      <c r="E790" s="1" t="s">
        <v>77</v>
      </c>
      <c r="F790" t="s">
        <v>1085</v>
      </c>
      <c r="G790" s="1" t="s">
        <v>61</v>
      </c>
      <c r="H790" s="1">
        <v>4037.1</v>
      </c>
      <c r="I790" s="1">
        <v>163.89</v>
      </c>
      <c r="J790" s="1" t="s">
        <v>25</v>
      </c>
      <c r="K790" s="1" t="s">
        <v>18</v>
      </c>
      <c r="L790" s="1">
        <v>4</v>
      </c>
      <c r="M790" s="1" t="s">
        <v>19</v>
      </c>
    </row>
    <row r="791" spans="1:13" ht="15.75" customHeight="1" x14ac:dyDescent="0.35">
      <c r="A791" s="1" t="s">
        <v>430</v>
      </c>
      <c r="B791" t="s">
        <v>1083</v>
      </c>
      <c r="C791" s="1" t="s">
        <v>453</v>
      </c>
      <c r="D791" s="4">
        <v>44933</v>
      </c>
      <c r="E791" s="1" t="s">
        <v>85</v>
      </c>
      <c r="F791" s="1" t="s">
        <v>31</v>
      </c>
      <c r="G791" s="1" t="s">
        <v>54</v>
      </c>
      <c r="H791" s="1">
        <v>2481</v>
      </c>
      <c r="I791">
        <v>2575.83</v>
      </c>
      <c r="J791" s="1" t="s">
        <v>25</v>
      </c>
      <c r="K791" s="1" t="s">
        <v>57</v>
      </c>
      <c r="L791" s="1">
        <v>7</v>
      </c>
      <c r="M791" s="1" t="s">
        <v>65</v>
      </c>
    </row>
    <row r="792" spans="1:13" ht="15.75" customHeight="1" x14ac:dyDescent="0.35">
      <c r="A792" s="1" t="s">
        <v>212</v>
      </c>
      <c r="B792" s="1" t="s">
        <v>939</v>
      </c>
      <c r="C792" s="1" t="s">
        <v>200</v>
      </c>
      <c r="D792" s="4">
        <v>45148</v>
      </c>
      <c r="E792" s="1" t="s">
        <v>85</v>
      </c>
      <c r="F792" s="1" t="s">
        <v>93</v>
      </c>
      <c r="G792" s="1" t="s">
        <v>61</v>
      </c>
      <c r="H792">
        <v>2481</v>
      </c>
      <c r="I792" s="1">
        <v>3145.99</v>
      </c>
      <c r="J792" s="1" t="s">
        <v>25</v>
      </c>
      <c r="K792" s="1" t="s">
        <v>18</v>
      </c>
      <c r="L792">
        <v>9</v>
      </c>
      <c r="M792" t="s">
        <v>42</v>
      </c>
    </row>
    <row r="793" spans="1:13" ht="15.75" customHeight="1" x14ac:dyDescent="0.35">
      <c r="A793" s="1" t="s">
        <v>137</v>
      </c>
      <c r="B793" t="s">
        <v>1083</v>
      </c>
      <c r="C793" s="1" t="s">
        <v>112</v>
      </c>
      <c r="D793" s="4">
        <v>45153</v>
      </c>
      <c r="E793" s="1" t="s">
        <v>16</v>
      </c>
      <c r="F793" s="1" t="s">
        <v>93</v>
      </c>
      <c r="G793" s="1" t="s">
        <v>24</v>
      </c>
      <c r="H793">
        <v>2481</v>
      </c>
      <c r="I793">
        <v>2575.83</v>
      </c>
      <c r="J793" s="1" t="s">
        <v>25</v>
      </c>
      <c r="K793" s="1" t="s">
        <v>18</v>
      </c>
      <c r="L793">
        <v>9</v>
      </c>
      <c r="M793" t="s">
        <v>65</v>
      </c>
    </row>
    <row r="794" spans="1:13" ht="15.75" customHeight="1" x14ac:dyDescent="0.35">
      <c r="A794" s="1" t="s">
        <v>132</v>
      </c>
      <c r="B794" t="s">
        <v>1083</v>
      </c>
      <c r="C794" t="s">
        <v>1084</v>
      </c>
      <c r="D794" s="4">
        <v>45186</v>
      </c>
      <c r="E794" s="1" t="s">
        <v>92</v>
      </c>
      <c r="F794" s="1" t="s">
        <v>93</v>
      </c>
      <c r="G794" s="1" t="s">
        <v>48</v>
      </c>
      <c r="H794">
        <v>2481</v>
      </c>
      <c r="I794">
        <v>2575.83</v>
      </c>
      <c r="J794" s="1" t="s">
        <v>42</v>
      </c>
      <c r="K794" s="1" t="s">
        <v>32</v>
      </c>
      <c r="L794" s="1">
        <v>48</v>
      </c>
      <c r="M794" s="1" t="s">
        <v>19</v>
      </c>
    </row>
    <row r="795" spans="1:13" ht="15.75" customHeight="1" x14ac:dyDescent="0.35">
      <c r="A795" s="1" t="s">
        <v>82</v>
      </c>
      <c r="B795" t="s">
        <v>1083</v>
      </c>
      <c r="C795" s="1" t="s">
        <v>471</v>
      </c>
      <c r="D795" s="4">
        <v>44967</v>
      </c>
      <c r="E795" s="1" t="s">
        <v>85</v>
      </c>
      <c r="F795" t="s">
        <v>1085</v>
      </c>
      <c r="G795" s="1" t="s">
        <v>48</v>
      </c>
      <c r="H795" s="1">
        <v>109.39</v>
      </c>
      <c r="I795">
        <v>2575.83</v>
      </c>
      <c r="J795" s="1" t="s">
        <v>17</v>
      </c>
      <c r="K795" s="1" t="s">
        <v>26</v>
      </c>
      <c r="L795">
        <v>9</v>
      </c>
      <c r="M795" t="s">
        <v>19</v>
      </c>
    </row>
    <row r="796" spans="1:13" ht="15.75" customHeight="1" x14ac:dyDescent="0.35">
      <c r="A796" s="1" t="s">
        <v>215</v>
      </c>
      <c r="B796" t="s">
        <v>1083</v>
      </c>
      <c r="C796" t="s">
        <v>1084</v>
      </c>
      <c r="D796" s="4">
        <v>45080</v>
      </c>
      <c r="E796" s="1" t="s">
        <v>30</v>
      </c>
      <c r="F796" t="s">
        <v>1085</v>
      </c>
      <c r="G796" s="1" t="s">
        <v>24</v>
      </c>
      <c r="H796" s="1">
        <v>1179.1500000000001</v>
      </c>
      <c r="I796">
        <v>2575.83</v>
      </c>
      <c r="J796" s="1" t="s">
        <v>25</v>
      </c>
      <c r="K796" s="1" t="s">
        <v>1093</v>
      </c>
      <c r="L796">
        <v>9</v>
      </c>
      <c r="M796" t="s">
        <v>65</v>
      </c>
    </row>
    <row r="797" spans="1:13" ht="15.75" customHeight="1" x14ac:dyDescent="0.35">
      <c r="A797" s="1" t="s">
        <v>173</v>
      </c>
      <c r="B797" s="1" t="s">
        <v>942</v>
      </c>
      <c r="C797" t="s">
        <v>1084</v>
      </c>
      <c r="D797" s="4">
        <v>44939</v>
      </c>
      <c r="E797" s="1" t="s">
        <v>77</v>
      </c>
      <c r="F797" t="s">
        <v>1085</v>
      </c>
      <c r="G797" s="1" t="s">
        <v>24</v>
      </c>
      <c r="H797" s="1">
        <v>2481</v>
      </c>
      <c r="I797">
        <v>2575.83</v>
      </c>
      <c r="J797" s="1" t="s">
        <v>17</v>
      </c>
      <c r="K797" s="1" t="s">
        <v>18</v>
      </c>
      <c r="L797" s="1">
        <v>37</v>
      </c>
      <c r="M797" s="1" t="s">
        <v>65</v>
      </c>
    </row>
    <row r="798" spans="1:13" ht="15.75" customHeight="1" x14ac:dyDescent="0.35">
      <c r="A798" s="1" t="s">
        <v>108</v>
      </c>
      <c r="B798" t="s">
        <v>1083</v>
      </c>
      <c r="C798" s="1" t="s">
        <v>458</v>
      </c>
      <c r="D798" s="4">
        <v>45065</v>
      </c>
      <c r="E798" s="1" t="s">
        <v>77</v>
      </c>
      <c r="F798" s="1" t="s">
        <v>53</v>
      </c>
      <c r="G798" s="1" t="s">
        <v>24</v>
      </c>
      <c r="H798">
        <v>2481</v>
      </c>
      <c r="I798">
        <v>2575.83</v>
      </c>
      <c r="J798" s="1" t="s">
        <v>17</v>
      </c>
      <c r="K798" s="1" t="s">
        <v>1093</v>
      </c>
      <c r="L798">
        <v>9</v>
      </c>
      <c r="M798" t="s">
        <v>65</v>
      </c>
    </row>
    <row r="799" spans="1:13" ht="15.75" customHeight="1" x14ac:dyDescent="0.35">
      <c r="A799" s="1" t="s">
        <v>117</v>
      </c>
      <c r="B799" s="1" t="s">
        <v>943</v>
      </c>
      <c r="C799" s="1" t="s">
        <v>518</v>
      </c>
      <c r="D799" s="4">
        <v>45092</v>
      </c>
      <c r="E799" s="1" t="s">
        <v>30</v>
      </c>
      <c r="F799" s="1" t="s">
        <v>31</v>
      </c>
      <c r="G799" s="1" t="s">
        <v>24</v>
      </c>
      <c r="H799">
        <v>2481</v>
      </c>
      <c r="I799" s="1">
        <v>2110.91</v>
      </c>
      <c r="J799" s="1" t="s">
        <v>42</v>
      </c>
      <c r="K799" s="1" t="s">
        <v>18</v>
      </c>
      <c r="L799">
        <v>9</v>
      </c>
      <c r="M799" t="s">
        <v>19</v>
      </c>
    </row>
    <row r="800" spans="1:13" ht="15.75" customHeight="1" x14ac:dyDescent="0.35">
      <c r="A800" s="1" t="s">
        <v>275</v>
      </c>
      <c r="B800" t="s">
        <v>1083</v>
      </c>
      <c r="C800" s="1" t="s">
        <v>263</v>
      </c>
      <c r="D800" s="4">
        <v>44993</v>
      </c>
      <c r="E800" s="1" t="s">
        <v>92</v>
      </c>
      <c r="F800" t="s">
        <v>1085</v>
      </c>
      <c r="G800" s="1" t="s">
        <v>41</v>
      </c>
      <c r="H800">
        <v>2481</v>
      </c>
      <c r="I800">
        <v>2575.83</v>
      </c>
      <c r="J800" s="1" t="s">
        <v>25</v>
      </c>
      <c r="K800" s="1" t="s">
        <v>26</v>
      </c>
      <c r="L800">
        <v>9</v>
      </c>
      <c r="M800" t="s">
        <v>65</v>
      </c>
    </row>
    <row r="801" spans="1:13" ht="15.75" customHeight="1" x14ac:dyDescent="0.35">
      <c r="A801" s="1" t="s">
        <v>170</v>
      </c>
      <c r="B801" t="s">
        <v>1083</v>
      </c>
      <c r="C801" s="1" t="s">
        <v>614</v>
      </c>
      <c r="D801" s="4">
        <v>45251</v>
      </c>
      <c r="E801" s="1" t="s">
        <v>30</v>
      </c>
      <c r="F801" s="1" t="s">
        <v>31</v>
      </c>
      <c r="G801" s="1" t="s">
        <v>54</v>
      </c>
      <c r="H801">
        <v>2481</v>
      </c>
      <c r="I801">
        <v>2575.83</v>
      </c>
      <c r="J801" s="1" t="s">
        <v>17</v>
      </c>
      <c r="K801" s="1" t="s">
        <v>18</v>
      </c>
      <c r="L801">
        <v>9</v>
      </c>
      <c r="M801" t="s">
        <v>42</v>
      </c>
    </row>
    <row r="802" spans="1:13" ht="15.75" customHeight="1" x14ac:dyDescent="0.35">
      <c r="A802" s="1" t="s">
        <v>170</v>
      </c>
      <c r="B802" t="s">
        <v>1083</v>
      </c>
      <c r="C802" t="s">
        <v>1084</v>
      </c>
      <c r="D802" s="4">
        <v>44936</v>
      </c>
      <c r="E802" s="1" t="s">
        <v>77</v>
      </c>
      <c r="F802" s="1" t="s">
        <v>93</v>
      </c>
      <c r="G802" s="1" t="s">
        <v>54</v>
      </c>
      <c r="H802" s="1">
        <v>2481</v>
      </c>
      <c r="I802">
        <v>2575.83</v>
      </c>
      <c r="J802" s="1" t="s">
        <v>42</v>
      </c>
      <c r="K802" s="1" t="s">
        <v>26</v>
      </c>
      <c r="L802">
        <v>9</v>
      </c>
      <c r="M802" t="s">
        <v>65</v>
      </c>
    </row>
    <row r="803" spans="1:13" ht="15.75" customHeight="1" x14ac:dyDescent="0.35">
      <c r="A803" s="1" t="s">
        <v>179</v>
      </c>
      <c r="B803" t="s">
        <v>1083</v>
      </c>
      <c r="C803" s="1" t="s">
        <v>314</v>
      </c>
      <c r="D803" s="4">
        <v>45113</v>
      </c>
      <c r="E803" s="1" t="s">
        <v>85</v>
      </c>
      <c r="F803" t="s">
        <v>1085</v>
      </c>
      <c r="G803" s="1" t="s">
        <v>61</v>
      </c>
      <c r="H803" s="1">
        <v>2481</v>
      </c>
      <c r="I803">
        <v>2575.83</v>
      </c>
      <c r="J803" s="1" t="s">
        <v>42</v>
      </c>
      <c r="K803" s="1" t="s">
        <v>1093</v>
      </c>
      <c r="L803">
        <v>9</v>
      </c>
      <c r="M803" t="s">
        <v>42</v>
      </c>
    </row>
    <row r="804" spans="1:13" ht="15.75" customHeight="1" x14ac:dyDescent="0.35">
      <c r="A804" s="1" t="s">
        <v>212</v>
      </c>
      <c r="B804" s="1" t="s">
        <v>946</v>
      </c>
      <c r="C804" s="1" t="s">
        <v>440</v>
      </c>
      <c r="D804" s="4">
        <v>45026</v>
      </c>
      <c r="E804" s="1" t="s">
        <v>85</v>
      </c>
      <c r="F804" s="1" t="s">
        <v>47</v>
      </c>
      <c r="G804" s="1" t="s">
        <v>41</v>
      </c>
      <c r="H804" s="1">
        <v>2481</v>
      </c>
      <c r="I804" s="1">
        <v>3518.2</v>
      </c>
      <c r="J804" s="1" t="s">
        <v>42</v>
      </c>
      <c r="K804" s="1" t="s">
        <v>32</v>
      </c>
      <c r="L804" s="1">
        <v>13</v>
      </c>
      <c r="M804" s="1" t="s">
        <v>19</v>
      </c>
    </row>
    <row r="805" spans="1:13" ht="15.75" customHeight="1" x14ac:dyDescent="0.35">
      <c r="A805" s="1" t="s">
        <v>105</v>
      </c>
      <c r="B805" t="s">
        <v>1083</v>
      </c>
      <c r="C805" t="s">
        <v>1084</v>
      </c>
      <c r="D805" s="4">
        <v>44967</v>
      </c>
      <c r="E805" s="1" t="s">
        <v>77</v>
      </c>
      <c r="F805" t="s">
        <v>1085</v>
      </c>
      <c r="G805" s="1" t="s">
        <v>48</v>
      </c>
      <c r="H805" s="1">
        <v>2481</v>
      </c>
      <c r="I805" s="1">
        <v>3804.38</v>
      </c>
      <c r="J805" s="1" t="s">
        <v>42</v>
      </c>
      <c r="K805" s="1" t="s">
        <v>1093</v>
      </c>
      <c r="L805" s="1">
        <v>17</v>
      </c>
      <c r="M805" s="1" t="s">
        <v>42</v>
      </c>
    </row>
    <row r="806" spans="1:13" ht="15.75" customHeight="1" x14ac:dyDescent="0.35">
      <c r="A806" s="1" t="s">
        <v>173</v>
      </c>
      <c r="B806" s="1" t="s">
        <v>948</v>
      </c>
      <c r="C806" s="1" t="s">
        <v>463</v>
      </c>
      <c r="D806" s="4">
        <v>45092</v>
      </c>
      <c r="E806" s="1" t="s">
        <v>85</v>
      </c>
      <c r="F806" s="1" t="s">
        <v>31</v>
      </c>
      <c r="G806" s="1" t="s">
        <v>54</v>
      </c>
      <c r="H806">
        <v>2481</v>
      </c>
      <c r="I806">
        <v>2575.83</v>
      </c>
      <c r="J806" s="1" t="s">
        <v>17</v>
      </c>
      <c r="K806" s="1" t="s">
        <v>26</v>
      </c>
      <c r="L806">
        <v>9</v>
      </c>
      <c r="M806" t="s">
        <v>19</v>
      </c>
    </row>
    <row r="807" spans="1:13" ht="15.75" customHeight="1" x14ac:dyDescent="0.35">
      <c r="A807" s="1" t="s">
        <v>78</v>
      </c>
      <c r="B807" t="s">
        <v>1083</v>
      </c>
      <c r="C807" s="1" t="s">
        <v>263</v>
      </c>
      <c r="D807" s="4">
        <v>45092</v>
      </c>
      <c r="E807" s="1" t="s">
        <v>85</v>
      </c>
      <c r="F807" s="1" t="s">
        <v>47</v>
      </c>
      <c r="G807" s="1" t="s">
        <v>61</v>
      </c>
      <c r="H807">
        <v>2481</v>
      </c>
      <c r="I807" s="1">
        <v>2508.5500000000002</v>
      </c>
      <c r="J807" s="1" t="s">
        <v>17</v>
      </c>
      <c r="K807" s="1" t="s">
        <v>18</v>
      </c>
      <c r="L807">
        <v>9</v>
      </c>
      <c r="M807" t="s">
        <v>65</v>
      </c>
    </row>
    <row r="808" spans="1:13" ht="15.75" customHeight="1" x14ac:dyDescent="0.35">
      <c r="A808" s="1" t="s">
        <v>137</v>
      </c>
      <c r="B808" s="1" t="s">
        <v>949</v>
      </c>
      <c r="C808" t="s">
        <v>1084</v>
      </c>
      <c r="D808" s="4">
        <v>45100</v>
      </c>
      <c r="E808" s="1" t="s">
        <v>92</v>
      </c>
      <c r="F808" s="1" t="s">
        <v>23</v>
      </c>
      <c r="G808" s="1" t="s">
        <v>48</v>
      </c>
      <c r="H808" s="1">
        <v>2481</v>
      </c>
      <c r="I808">
        <v>2575.83</v>
      </c>
      <c r="J808" s="1" t="s">
        <v>17</v>
      </c>
      <c r="K808" s="1" t="s">
        <v>57</v>
      </c>
      <c r="L808" s="1">
        <v>52</v>
      </c>
      <c r="M808" s="1" t="s">
        <v>65</v>
      </c>
    </row>
    <row r="809" spans="1:13" ht="15.75" customHeight="1" x14ac:dyDescent="0.35">
      <c r="A809" s="1" t="s">
        <v>215</v>
      </c>
      <c r="B809" s="1" t="s">
        <v>950</v>
      </c>
      <c r="C809" t="s">
        <v>1084</v>
      </c>
      <c r="D809" s="4">
        <v>44955</v>
      </c>
      <c r="E809" s="1" t="s">
        <v>16</v>
      </c>
      <c r="F809" s="1" t="s">
        <v>47</v>
      </c>
      <c r="G809" s="1" t="s">
        <v>61</v>
      </c>
      <c r="H809">
        <v>2481</v>
      </c>
      <c r="I809" s="1">
        <v>2419.5300000000002</v>
      </c>
      <c r="J809" s="1" t="s">
        <v>17</v>
      </c>
      <c r="K809" s="1" t="s">
        <v>18</v>
      </c>
      <c r="L809" s="1">
        <v>60</v>
      </c>
      <c r="M809" s="1" t="s">
        <v>65</v>
      </c>
    </row>
    <row r="810" spans="1:13" ht="15.75" customHeight="1" x14ac:dyDescent="0.35">
      <c r="A810" s="1" t="s">
        <v>163</v>
      </c>
      <c r="B810" t="s">
        <v>1083</v>
      </c>
      <c r="C810" t="s">
        <v>1084</v>
      </c>
      <c r="D810" s="4">
        <v>45188</v>
      </c>
      <c r="E810" s="1" t="s">
        <v>16</v>
      </c>
      <c r="F810" t="s">
        <v>1085</v>
      </c>
      <c r="G810" t="s">
        <v>1086</v>
      </c>
      <c r="H810" s="1">
        <v>3500.77</v>
      </c>
      <c r="I810">
        <v>2575.83</v>
      </c>
      <c r="J810" s="1" t="s">
        <v>25</v>
      </c>
      <c r="K810" s="1" t="s">
        <v>18</v>
      </c>
      <c r="L810">
        <v>9</v>
      </c>
      <c r="M810" t="s">
        <v>65</v>
      </c>
    </row>
    <row r="811" spans="1:13" ht="15.75" customHeight="1" x14ac:dyDescent="0.35">
      <c r="A811" s="1" t="s">
        <v>89</v>
      </c>
      <c r="B811" t="s">
        <v>1083</v>
      </c>
      <c r="C811" t="s">
        <v>1084</v>
      </c>
      <c r="D811" s="4">
        <v>45187</v>
      </c>
      <c r="E811" s="1" t="s">
        <v>85</v>
      </c>
      <c r="F811" s="1" t="s">
        <v>47</v>
      </c>
      <c r="G811" s="1" t="s">
        <v>61</v>
      </c>
      <c r="H811">
        <v>2481</v>
      </c>
      <c r="I811">
        <v>2575.83</v>
      </c>
      <c r="J811" s="1" t="s">
        <v>17</v>
      </c>
      <c r="K811" s="1" t="s">
        <v>1093</v>
      </c>
      <c r="L811" s="1">
        <v>10</v>
      </c>
      <c r="M811" s="1" t="s">
        <v>42</v>
      </c>
    </row>
    <row r="812" spans="1:13" ht="15.75" customHeight="1" x14ac:dyDescent="0.35">
      <c r="A812" s="1" t="s">
        <v>247</v>
      </c>
      <c r="B812" s="1" t="s">
        <v>953</v>
      </c>
      <c r="C812" t="s">
        <v>1084</v>
      </c>
      <c r="D812" s="4">
        <v>44988</v>
      </c>
      <c r="E812" s="1" t="s">
        <v>77</v>
      </c>
      <c r="F812" s="1" t="s">
        <v>23</v>
      </c>
      <c r="G812" s="1" t="s">
        <v>48</v>
      </c>
      <c r="H812" s="1">
        <v>2481</v>
      </c>
      <c r="I812" s="1">
        <v>1062.72</v>
      </c>
      <c r="J812" s="1" t="s">
        <v>25</v>
      </c>
      <c r="K812" s="1" t="s">
        <v>1093</v>
      </c>
      <c r="L812" s="1">
        <v>51</v>
      </c>
      <c r="M812" s="1" t="s">
        <v>65</v>
      </c>
    </row>
    <row r="813" spans="1:13" ht="15.75" customHeight="1" x14ac:dyDescent="0.35">
      <c r="A813" s="1" t="s">
        <v>212</v>
      </c>
      <c r="B813" t="s">
        <v>1083</v>
      </c>
      <c r="C813" t="s">
        <v>1084</v>
      </c>
      <c r="D813" s="4">
        <v>45036</v>
      </c>
      <c r="E813" s="1" t="s">
        <v>85</v>
      </c>
      <c r="F813" s="1" t="s">
        <v>31</v>
      </c>
      <c r="G813" s="1" t="s">
        <v>41</v>
      </c>
      <c r="H813">
        <v>2481</v>
      </c>
      <c r="I813">
        <v>2575.83</v>
      </c>
      <c r="J813" s="1" t="s">
        <v>17</v>
      </c>
      <c r="K813" s="1" t="s">
        <v>57</v>
      </c>
      <c r="L813">
        <v>9</v>
      </c>
      <c r="M813" t="s">
        <v>19</v>
      </c>
    </row>
    <row r="814" spans="1:13" ht="15.75" customHeight="1" x14ac:dyDescent="0.35">
      <c r="A814" s="1" t="s">
        <v>187</v>
      </c>
      <c r="B814" t="s">
        <v>1083</v>
      </c>
      <c r="C814" t="s">
        <v>1084</v>
      </c>
      <c r="D814" s="4">
        <v>45094</v>
      </c>
      <c r="E814" s="1" t="s">
        <v>30</v>
      </c>
      <c r="F814" s="1" t="s">
        <v>93</v>
      </c>
      <c r="G814" s="1" t="s">
        <v>48</v>
      </c>
      <c r="H814">
        <v>2481</v>
      </c>
      <c r="I814">
        <v>2575.83</v>
      </c>
      <c r="J814" s="1" t="s">
        <v>17</v>
      </c>
      <c r="K814" s="1" t="s">
        <v>26</v>
      </c>
      <c r="L814" s="1">
        <v>39</v>
      </c>
      <c r="M814" s="1" t="s">
        <v>19</v>
      </c>
    </row>
    <row r="815" spans="1:13" ht="15.75" customHeight="1" x14ac:dyDescent="0.35">
      <c r="A815" s="1" t="s">
        <v>105</v>
      </c>
      <c r="B815" s="1" t="s">
        <v>956</v>
      </c>
      <c r="C815" t="s">
        <v>1084</v>
      </c>
      <c r="D815" s="4">
        <v>45082</v>
      </c>
      <c r="E815" s="1" t="s">
        <v>16</v>
      </c>
      <c r="F815" s="1" t="s">
        <v>47</v>
      </c>
      <c r="G815" s="1" t="s">
        <v>24</v>
      </c>
      <c r="H815">
        <v>2481</v>
      </c>
      <c r="I815">
        <v>2575.83</v>
      </c>
      <c r="J815" s="1" t="s">
        <v>42</v>
      </c>
      <c r="K815" s="1" t="s">
        <v>26</v>
      </c>
      <c r="L815">
        <v>9</v>
      </c>
      <c r="M815" t="s">
        <v>19</v>
      </c>
    </row>
    <row r="816" spans="1:13" ht="15.75" customHeight="1" x14ac:dyDescent="0.35">
      <c r="A816" s="1" t="s">
        <v>192</v>
      </c>
      <c r="B816" s="1" t="s">
        <v>847</v>
      </c>
      <c r="C816" t="s">
        <v>1084</v>
      </c>
      <c r="D816" s="4">
        <v>44999</v>
      </c>
      <c r="E816" s="1" t="s">
        <v>16</v>
      </c>
      <c r="F816" t="s">
        <v>1085</v>
      </c>
      <c r="G816" t="s">
        <v>1086</v>
      </c>
      <c r="H816" s="1">
        <v>2481</v>
      </c>
      <c r="I816" s="1">
        <v>914.18</v>
      </c>
      <c r="J816" s="1" t="s">
        <v>25</v>
      </c>
      <c r="K816" s="1" t="s">
        <v>18</v>
      </c>
      <c r="L816">
        <v>9</v>
      </c>
      <c r="M816" t="s">
        <v>42</v>
      </c>
    </row>
    <row r="817" spans="1:13" ht="15.75" customHeight="1" x14ac:dyDescent="0.35">
      <c r="A817" s="1" t="s">
        <v>38</v>
      </c>
      <c r="B817" s="1" t="s">
        <v>310</v>
      </c>
      <c r="C817" t="s">
        <v>1084</v>
      </c>
      <c r="D817" s="4">
        <v>44959</v>
      </c>
      <c r="E817" s="1" t="s">
        <v>16</v>
      </c>
      <c r="F817" s="1" t="s">
        <v>53</v>
      </c>
      <c r="G817" t="s">
        <v>1086</v>
      </c>
      <c r="H817" s="1">
        <v>2481</v>
      </c>
      <c r="I817">
        <v>2575.83</v>
      </c>
      <c r="J817" s="1" t="s">
        <v>25</v>
      </c>
      <c r="K817" s="1" t="s">
        <v>18</v>
      </c>
      <c r="L817">
        <v>9</v>
      </c>
      <c r="M817" t="s">
        <v>19</v>
      </c>
    </row>
    <row r="818" spans="1:13" ht="15.75" customHeight="1" x14ac:dyDescent="0.35">
      <c r="A818" s="1" t="s">
        <v>249</v>
      </c>
      <c r="B818" t="s">
        <v>1083</v>
      </c>
      <c r="C818" t="s">
        <v>1084</v>
      </c>
      <c r="D818" s="4">
        <v>45172</v>
      </c>
      <c r="E818" s="1" t="s">
        <v>16</v>
      </c>
      <c r="F818" s="1" t="s">
        <v>31</v>
      </c>
      <c r="G818" s="1" t="s">
        <v>24</v>
      </c>
      <c r="H818" s="1">
        <v>1212.3499999999999</v>
      </c>
      <c r="I818" s="1">
        <v>4979.3999999999996</v>
      </c>
      <c r="J818" s="1" t="s">
        <v>17</v>
      </c>
      <c r="K818" s="1" t="s">
        <v>1093</v>
      </c>
      <c r="L818">
        <v>9</v>
      </c>
      <c r="M818" t="s">
        <v>65</v>
      </c>
    </row>
    <row r="819" spans="1:13" ht="15.75" customHeight="1" x14ac:dyDescent="0.35">
      <c r="A819" s="1" t="s">
        <v>179</v>
      </c>
      <c r="B819" t="s">
        <v>1083</v>
      </c>
      <c r="C819" s="1" t="s">
        <v>133</v>
      </c>
      <c r="D819" s="4">
        <v>44972</v>
      </c>
      <c r="E819" s="1" t="s">
        <v>92</v>
      </c>
      <c r="F819" s="1" t="s">
        <v>53</v>
      </c>
      <c r="G819" s="1" t="s">
        <v>48</v>
      </c>
      <c r="H819">
        <v>2481</v>
      </c>
      <c r="I819">
        <v>2575.83</v>
      </c>
      <c r="J819" s="1" t="s">
        <v>17</v>
      </c>
      <c r="K819" s="1" t="s">
        <v>32</v>
      </c>
      <c r="L819">
        <v>9</v>
      </c>
      <c r="M819" t="s">
        <v>19</v>
      </c>
    </row>
    <row r="820" spans="1:13" ht="15.75" customHeight="1" x14ac:dyDescent="0.35">
      <c r="A820" s="1" t="s">
        <v>70</v>
      </c>
      <c r="B820" t="s">
        <v>1083</v>
      </c>
      <c r="C820" t="s">
        <v>1084</v>
      </c>
      <c r="D820" s="4">
        <v>45166</v>
      </c>
      <c r="E820" s="1" t="s">
        <v>85</v>
      </c>
      <c r="F820" t="s">
        <v>1085</v>
      </c>
      <c r="G820" s="1" t="s">
        <v>48</v>
      </c>
      <c r="H820">
        <v>2481</v>
      </c>
      <c r="I820" s="1">
        <v>4808.8599999999997</v>
      </c>
      <c r="J820" s="1" t="s">
        <v>17</v>
      </c>
      <c r="K820" s="1" t="s">
        <v>32</v>
      </c>
      <c r="L820" s="1">
        <v>56</v>
      </c>
      <c r="M820" s="1" t="s">
        <v>19</v>
      </c>
    </row>
    <row r="821" spans="1:13" ht="15.75" customHeight="1" x14ac:dyDescent="0.35">
      <c r="A821" s="1" t="s">
        <v>28</v>
      </c>
      <c r="B821" t="s">
        <v>1083</v>
      </c>
      <c r="C821" s="1" t="s">
        <v>232</v>
      </c>
      <c r="D821" s="4">
        <v>45186</v>
      </c>
      <c r="E821" s="1" t="s">
        <v>85</v>
      </c>
      <c r="F821" s="1" t="s">
        <v>47</v>
      </c>
      <c r="G821" s="1" t="s">
        <v>41</v>
      </c>
      <c r="H821">
        <v>2481</v>
      </c>
      <c r="I821">
        <v>2575.83</v>
      </c>
      <c r="J821" s="1" t="s">
        <v>17</v>
      </c>
      <c r="K821" s="1" t="s">
        <v>18</v>
      </c>
      <c r="L821">
        <v>9</v>
      </c>
      <c r="M821" t="s">
        <v>65</v>
      </c>
    </row>
    <row r="822" spans="1:13" ht="15.75" customHeight="1" x14ac:dyDescent="0.35">
      <c r="A822" s="1" t="s">
        <v>96</v>
      </c>
      <c r="B822" s="1" t="s">
        <v>959</v>
      </c>
      <c r="C822" s="1" t="s">
        <v>613</v>
      </c>
      <c r="D822" s="4">
        <v>45193</v>
      </c>
      <c r="E822" s="1" t="s">
        <v>92</v>
      </c>
      <c r="F822" s="1" t="s">
        <v>47</v>
      </c>
      <c r="G822" t="s">
        <v>1086</v>
      </c>
      <c r="H822">
        <v>2481</v>
      </c>
      <c r="I822">
        <v>2575.83</v>
      </c>
      <c r="J822" s="1" t="s">
        <v>25</v>
      </c>
      <c r="K822" s="1" t="s">
        <v>26</v>
      </c>
      <c r="L822">
        <v>9</v>
      </c>
      <c r="M822" t="s">
        <v>19</v>
      </c>
    </row>
    <row r="823" spans="1:13" ht="15.75" customHeight="1" x14ac:dyDescent="0.35">
      <c r="A823" s="1" t="s">
        <v>20</v>
      </c>
      <c r="B823" t="s">
        <v>1083</v>
      </c>
      <c r="C823" t="s">
        <v>1084</v>
      </c>
      <c r="D823" s="4">
        <v>45106</v>
      </c>
      <c r="E823" s="1" t="s">
        <v>77</v>
      </c>
      <c r="F823" t="s">
        <v>1085</v>
      </c>
      <c r="G823" s="1" t="s">
        <v>61</v>
      </c>
      <c r="H823" s="1">
        <v>2481</v>
      </c>
      <c r="I823">
        <v>2575.83</v>
      </c>
      <c r="J823" s="1" t="s">
        <v>17</v>
      </c>
      <c r="K823" s="1" t="s">
        <v>26</v>
      </c>
      <c r="L823">
        <v>9</v>
      </c>
      <c r="M823" t="s">
        <v>19</v>
      </c>
    </row>
    <row r="824" spans="1:13" ht="15.75" customHeight="1" x14ac:dyDescent="0.35">
      <c r="A824" s="1" t="s">
        <v>117</v>
      </c>
      <c r="B824" s="1" t="s">
        <v>961</v>
      </c>
      <c r="C824" t="s">
        <v>1084</v>
      </c>
      <c r="D824" s="4">
        <v>45050</v>
      </c>
      <c r="E824" s="1" t="s">
        <v>30</v>
      </c>
      <c r="F824" t="s">
        <v>1085</v>
      </c>
      <c r="G824" s="1" t="s">
        <v>61</v>
      </c>
      <c r="H824" s="1">
        <v>4760.18</v>
      </c>
      <c r="I824">
        <v>2575.83</v>
      </c>
      <c r="J824" s="1" t="s">
        <v>25</v>
      </c>
      <c r="K824" s="1" t="s">
        <v>18</v>
      </c>
      <c r="L824">
        <v>9</v>
      </c>
      <c r="M824" t="s">
        <v>19</v>
      </c>
    </row>
    <row r="825" spans="1:13" ht="15.75" customHeight="1" x14ac:dyDescent="0.35">
      <c r="A825" s="1" t="s">
        <v>430</v>
      </c>
      <c r="B825" t="s">
        <v>1083</v>
      </c>
      <c r="C825" t="s">
        <v>1084</v>
      </c>
      <c r="D825" s="4">
        <v>45110</v>
      </c>
      <c r="E825" s="1" t="s">
        <v>16</v>
      </c>
      <c r="F825" s="1" t="s">
        <v>47</v>
      </c>
      <c r="G825" s="1" t="s">
        <v>41</v>
      </c>
      <c r="H825">
        <v>2481</v>
      </c>
      <c r="I825">
        <v>2575.83</v>
      </c>
      <c r="J825" s="1" t="s">
        <v>17</v>
      </c>
      <c r="K825" s="1" t="s">
        <v>1093</v>
      </c>
      <c r="L825">
        <v>9</v>
      </c>
      <c r="M825" t="s">
        <v>42</v>
      </c>
    </row>
    <row r="826" spans="1:13" ht="15.75" customHeight="1" x14ac:dyDescent="0.35">
      <c r="A826" s="1" t="s">
        <v>166</v>
      </c>
      <c r="B826" t="s">
        <v>1083</v>
      </c>
      <c r="C826" t="s">
        <v>1084</v>
      </c>
      <c r="D826" s="4">
        <v>45106</v>
      </c>
      <c r="E826" s="1" t="s">
        <v>16</v>
      </c>
      <c r="F826" s="1" t="s">
        <v>53</v>
      </c>
      <c r="G826" s="1" t="s">
        <v>48</v>
      </c>
      <c r="H826" s="1">
        <v>2481</v>
      </c>
      <c r="I826">
        <v>2575.83</v>
      </c>
      <c r="J826" s="1" t="s">
        <v>42</v>
      </c>
      <c r="K826" s="1" t="s">
        <v>1093</v>
      </c>
      <c r="L826">
        <v>9</v>
      </c>
      <c r="M826" t="s">
        <v>19</v>
      </c>
    </row>
    <row r="827" spans="1:13" ht="15.75" customHeight="1" x14ac:dyDescent="0.35">
      <c r="A827" s="1" t="s">
        <v>117</v>
      </c>
      <c r="B827" s="1" t="s">
        <v>141</v>
      </c>
      <c r="C827" t="s">
        <v>1084</v>
      </c>
      <c r="D827" s="4">
        <v>45205</v>
      </c>
      <c r="E827" s="1" t="s">
        <v>16</v>
      </c>
      <c r="F827" t="s">
        <v>1085</v>
      </c>
      <c r="G827" t="s">
        <v>1086</v>
      </c>
      <c r="H827" s="1">
        <v>2481</v>
      </c>
      <c r="I827" s="1">
        <v>3757.81</v>
      </c>
      <c r="J827" s="1" t="s">
        <v>17</v>
      </c>
      <c r="K827" s="1" t="s">
        <v>1093</v>
      </c>
      <c r="L827">
        <v>9</v>
      </c>
      <c r="M827" t="s">
        <v>19</v>
      </c>
    </row>
    <row r="828" spans="1:13" ht="15.75" customHeight="1" x14ac:dyDescent="0.35">
      <c r="A828" s="1" t="s">
        <v>20</v>
      </c>
      <c r="B828" t="s">
        <v>1083</v>
      </c>
      <c r="C828" s="1" t="s">
        <v>232</v>
      </c>
      <c r="D828" s="4">
        <v>45241</v>
      </c>
      <c r="E828" s="1" t="s">
        <v>16</v>
      </c>
      <c r="F828" s="1" t="s">
        <v>93</v>
      </c>
      <c r="G828" s="1" t="s">
        <v>54</v>
      </c>
      <c r="H828" s="1">
        <v>2481</v>
      </c>
      <c r="I828" s="1">
        <v>392.04</v>
      </c>
      <c r="J828" s="1" t="s">
        <v>25</v>
      </c>
      <c r="K828" s="1" t="s">
        <v>32</v>
      </c>
      <c r="L828">
        <v>9</v>
      </c>
      <c r="M828" t="s">
        <v>65</v>
      </c>
    </row>
    <row r="829" spans="1:13" ht="15.75" customHeight="1" x14ac:dyDescent="0.35">
      <c r="A829" s="1" t="s">
        <v>73</v>
      </c>
      <c r="B829" t="s">
        <v>1083</v>
      </c>
      <c r="C829" t="s">
        <v>1084</v>
      </c>
      <c r="D829" s="4">
        <v>45284</v>
      </c>
      <c r="E829" s="1" t="s">
        <v>77</v>
      </c>
      <c r="F829" s="1" t="s">
        <v>93</v>
      </c>
      <c r="G829" s="1" t="s">
        <v>48</v>
      </c>
      <c r="H829" s="1">
        <v>1502.28</v>
      </c>
      <c r="I829">
        <v>2575.83</v>
      </c>
      <c r="J829" s="1" t="s">
        <v>25</v>
      </c>
      <c r="K829" s="1" t="s">
        <v>26</v>
      </c>
      <c r="L829" s="1">
        <v>43</v>
      </c>
      <c r="M829" s="1" t="s">
        <v>19</v>
      </c>
    </row>
    <row r="830" spans="1:13" ht="15.75" customHeight="1" x14ac:dyDescent="0.35">
      <c r="A830" s="1" t="s">
        <v>212</v>
      </c>
      <c r="B830" t="s">
        <v>1083</v>
      </c>
      <c r="C830" s="1" t="s">
        <v>455</v>
      </c>
      <c r="D830" s="4">
        <v>45261</v>
      </c>
      <c r="E830" s="1" t="s">
        <v>16</v>
      </c>
      <c r="F830" s="1" t="s">
        <v>31</v>
      </c>
      <c r="G830" s="1" t="s">
        <v>24</v>
      </c>
      <c r="H830" s="1">
        <v>2481</v>
      </c>
      <c r="I830">
        <v>2575.83</v>
      </c>
      <c r="J830" s="1" t="s">
        <v>25</v>
      </c>
      <c r="K830" s="1" t="s">
        <v>26</v>
      </c>
      <c r="L830" s="1">
        <v>10</v>
      </c>
      <c r="M830" s="1" t="s">
        <v>65</v>
      </c>
    </row>
    <row r="831" spans="1:13" ht="15.75" customHeight="1" x14ac:dyDescent="0.35">
      <c r="A831" s="1" t="s">
        <v>148</v>
      </c>
      <c r="B831" t="s">
        <v>1083</v>
      </c>
      <c r="C831" t="s">
        <v>1084</v>
      </c>
      <c r="D831" s="4">
        <v>45114</v>
      </c>
      <c r="E831" s="1" t="s">
        <v>16</v>
      </c>
      <c r="F831" t="s">
        <v>1085</v>
      </c>
      <c r="G831" s="1" t="s">
        <v>54</v>
      </c>
      <c r="H831" s="1">
        <v>4493.5600000000004</v>
      </c>
      <c r="I831" s="1">
        <v>2122.19</v>
      </c>
      <c r="J831" s="1" t="s">
        <v>42</v>
      </c>
      <c r="K831" s="1" t="s">
        <v>1093</v>
      </c>
      <c r="L831">
        <v>9</v>
      </c>
      <c r="M831" t="s">
        <v>65</v>
      </c>
    </row>
    <row r="832" spans="1:13" ht="15.75" customHeight="1" x14ac:dyDescent="0.35">
      <c r="A832" s="1" t="s">
        <v>430</v>
      </c>
      <c r="B832" s="1" t="s">
        <v>965</v>
      </c>
      <c r="C832" t="s">
        <v>1084</v>
      </c>
      <c r="D832" s="4">
        <v>45170</v>
      </c>
      <c r="E832" s="1" t="s">
        <v>85</v>
      </c>
      <c r="F832" s="1" t="s">
        <v>23</v>
      </c>
      <c r="G832" s="1" t="s">
        <v>61</v>
      </c>
      <c r="H832">
        <v>2481</v>
      </c>
      <c r="I832">
        <v>2575.83</v>
      </c>
      <c r="J832" s="1" t="s">
        <v>17</v>
      </c>
      <c r="K832" s="1" t="s">
        <v>32</v>
      </c>
      <c r="L832">
        <v>9</v>
      </c>
      <c r="M832" t="s">
        <v>65</v>
      </c>
    </row>
    <row r="833" spans="1:13" ht="15.75" customHeight="1" x14ac:dyDescent="0.35">
      <c r="A833" s="1" t="s">
        <v>430</v>
      </c>
      <c r="B833" s="1" t="s">
        <v>966</v>
      </c>
      <c r="C833" t="s">
        <v>1084</v>
      </c>
      <c r="D833" s="4">
        <v>44986</v>
      </c>
      <c r="E833" s="1" t="s">
        <v>85</v>
      </c>
      <c r="F833" s="1" t="s">
        <v>93</v>
      </c>
      <c r="G833" s="1" t="s">
        <v>41</v>
      </c>
      <c r="H833" s="1">
        <v>2481</v>
      </c>
      <c r="I833" s="1">
        <v>105.41</v>
      </c>
      <c r="J833" s="1" t="s">
        <v>17</v>
      </c>
      <c r="K833" s="1" t="s">
        <v>26</v>
      </c>
      <c r="L833">
        <v>9</v>
      </c>
      <c r="M833" t="s">
        <v>19</v>
      </c>
    </row>
    <row r="834" spans="1:13" ht="15.75" customHeight="1" x14ac:dyDescent="0.35">
      <c r="A834" s="1" t="s">
        <v>66</v>
      </c>
      <c r="B834" s="1" t="s">
        <v>967</v>
      </c>
      <c r="C834" s="1" t="s">
        <v>94</v>
      </c>
      <c r="D834" s="4">
        <v>45090</v>
      </c>
      <c r="E834" s="1" t="s">
        <v>85</v>
      </c>
      <c r="F834" t="s">
        <v>1085</v>
      </c>
      <c r="G834" s="1" t="s">
        <v>48</v>
      </c>
      <c r="H834" s="1">
        <v>2417.46</v>
      </c>
      <c r="I834">
        <v>2575.83</v>
      </c>
      <c r="J834" s="1" t="s">
        <v>17</v>
      </c>
      <c r="K834" s="1" t="s">
        <v>26</v>
      </c>
      <c r="L834">
        <v>9</v>
      </c>
      <c r="M834" t="s">
        <v>65</v>
      </c>
    </row>
    <row r="835" spans="1:13" ht="15.75" customHeight="1" x14ac:dyDescent="0.35">
      <c r="A835" s="1" t="s">
        <v>163</v>
      </c>
      <c r="B835" s="1" t="s">
        <v>694</v>
      </c>
      <c r="C835" s="1" t="s">
        <v>642</v>
      </c>
      <c r="D835" s="4">
        <v>45053</v>
      </c>
      <c r="E835" s="1" t="s">
        <v>85</v>
      </c>
      <c r="F835" s="1" t="s">
        <v>53</v>
      </c>
      <c r="G835" t="s">
        <v>1086</v>
      </c>
      <c r="H835">
        <v>2481</v>
      </c>
      <c r="I835">
        <v>2575.83</v>
      </c>
      <c r="J835" s="1" t="s">
        <v>25</v>
      </c>
      <c r="K835" s="1" t="s">
        <v>32</v>
      </c>
      <c r="L835">
        <v>9</v>
      </c>
      <c r="M835" t="s">
        <v>19</v>
      </c>
    </row>
    <row r="836" spans="1:13" ht="15.75" customHeight="1" x14ac:dyDescent="0.35">
      <c r="A836" s="1" t="s">
        <v>212</v>
      </c>
      <c r="B836" t="s">
        <v>1083</v>
      </c>
      <c r="C836" t="s">
        <v>1084</v>
      </c>
      <c r="D836" s="4">
        <v>45042</v>
      </c>
      <c r="E836" s="1" t="s">
        <v>85</v>
      </c>
      <c r="F836" s="1" t="s">
        <v>53</v>
      </c>
      <c r="G836" s="1" t="s">
        <v>54</v>
      </c>
      <c r="H836" s="1">
        <v>2481</v>
      </c>
      <c r="I836">
        <v>2575.83</v>
      </c>
      <c r="J836" s="1" t="s">
        <v>17</v>
      </c>
      <c r="K836" s="1" t="s">
        <v>18</v>
      </c>
      <c r="L836">
        <v>9</v>
      </c>
      <c r="M836" t="s">
        <v>19</v>
      </c>
    </row>
    <row r="837" spans="1:13" ht="15.75" customHeight="1" x14ac:dyDescent="0.35">
      <c r="A837" s="1" t="s">
        <v>117</v>
      </c>
      <c r="B837" s="1" t="s">
        <v>970</v>
      </c>
      <c r="C837" s="1" t="s">
        <v>100</v>
      </c>
      <c r="D837" s="4">
        <v>45140</v>
      </c>
      <c r="E837" s="1" t="s">
        <v>16</v>
      </c>
      <c r="F837" s="1" t="s">
        <v>93</v>
      </c>
      <c r="G837" t="s">
        <v>1086</v>
      </c>
      <c r="H837" s="1">
        <v>2481</v>
      </c>
      <c r="I837">
        <v>2575.83</v>
      </c>
      <c r="J837" s="1" t="s">
        <v>42</v>
      </c>
      <c r="K837" s="1" t="s">
        <v>32</v>
      </c>
      <c r="L837">
        <v>9</v>
      </c>
      <c r="M837" t="s">
        <v>42</v>
      </c>
    </row>
    <row r="838" spans="1:13" ht="15.75" customHeight="1" x14ac:dyDescent="0.35">
      <c r="A838" s="1" t="s">
        <v>58</v>
      </c>
      <c r="B838" t="s">
        <v>1083</v>
      </c>
      <c r="C838" t="s">
        <v>1084</v>
      </c>
      <c r="D838" s="4">
        <v>45228</v>
      </c>
      <c r="E838" s="1" t="s">
        <v>30</v>
      </c>
      <c r="F838" t="s">
        <v>1085</v>
      </c>
      <c r="G838" s="1" t="s">
        <v>54</v>
      </c>
      <c r="H838">
        <v>2481</v>
      </c>
      <c r="I838" s="1">
        <v>2373.17</v>
      </c>
      <c r="J838" s="1" t="s">
        <v>25</v>
      </c>
      <c r="K838" s="1" t="s">
        <v>32</v>
      </c>
      <c r="L838">
        <v>9</v>
      </c>
      <c r="M838" t="s">
        <v>42</v>
      </c>
    </row>
    <row r="839" spans="1:13" ht="15.75" customHeight="1" x14ac:dyDescent="0.35">
      <c r="A839" s="1" t="s">
        <v>13</v>
      </c>
      <c r="B839" t="s">
        <v>1083</v>
      </c>
      <c r="C839" t="s">
        <v>1084</v>
      </c>
      <c r="D839" s="4">
        <v>45231</v>
      </c>
      <c r="E839" s="1" t="s">
        <v>85</v>
      </c>
      <c r="F839" s="1" t="s">
        <v>31</v>
      </c>
      <c r="G839" s="1" t="s">
        <v>41</v>
      </c>
      <c r="H839">
        <v>2481</v>
      </c>
      <c r="I839">
        <v>2575.83</v>
      </c>
      <c r="J839" s="1" t="s">
        <v>17</v>
      </c>
      <c r="K839" s="1" t="s">
        <v>32</v>
      </c>
      <c r="L839">
        <v>9</v>
      </c>
      <c r="M839" t="s">
        <v>65</v>
      </c>
    </row>
    <row r="840" spans="1:13" ht="15.75" customHeight="1" x14ac:dyDescent="0.35">
      <c r="A840" s="1" t="s">
        <v>38</v>
      </c>
      <c r="B840" t="s">
        <v>1083</v>
      </c>
      <c r="C840" s="1" t="s">
        <v>75</v>
      </c>
      <c r="D840" s="4">
        <v>44998</v>
      </c>
      <c r="E840" s="1" t="s">
        <v>85</v>
      </c>
      <c r="F840" t="s">
        <v>1085</v>
      </c>
      <c r="G840" t="s">
        <v>1086</v>
      </c>
      <c r="H840">
        <v>2481</v>
      </c>
      <c r="I840">
        <v>2575.83</v>
      </c>
      <c r="J840" s="1" t="s">
        <v>17</v>
      </c>
      <c r="K840" s="1" t="s">
        <v>57</v>
      </c>
      <c r="L840" s="1">
        <v>11</v>
      </c>
      <c r="M840" s="1" t="s">
        <v>19</v>
      </c>
    </row>
    <row r="841" spans="1:13" ht="15.75" customHeight="1" x14ac:dyDescent="0.35">
      <c r="A841" s="1" t="s">
        <v>13</v>
      </c>
      <c r="B841" s="1" t="s">
        <v>973</v>
      </c>
      <c r="C841" t="s">
        <v>1084</v>
      </c>
      <c r="D841" s="4">
        <v>45258</v>
      </c>
      <c r="E841" s="1" t="s">
        <v>85</v>
      </c>
      <c r="F841" s="1" t="s">
        <v>53</v>
      </c>
      <c r="G841" s="1" t="s">
        <v>48</v>
      </c>
      <c r="H841" s="1">
        <v>2481</v>
      </c>
      <c r="I841" s="1">
        <v>2710.17</v>
      </c>
      <c r="J841" s="1" t="s">
        <v>42</v>
      </c>
      <c r="K841" s="1" t="s">
        <v>57</v>
      </c>
      <c r="L841">
        <v>9</v>
      </c>
      <c r="M841" t="s">
        <v>19</v>
      </c>
    </row>
    <row r="842" spans="1:13" ht="15.75" customHeight="1" x14ac:dyDescent="0.35">
      <c r="A842" s="1" t="s">
        <v>33</v>
      </c>
      <c r="B842" t="s">
        <v>1083</v>
      </c>
      <c r="C842" s="1" t="s">
        <v>290</v>
      </c>
      <c r="D842" s="4">
        <v>45057</v>
      </c>
      <c r="E842" s="1" t="s">
        <v>30</v>
      </c>
      <c r="F842" s="1" t="s">
        <v>47</v>
      </c>
      <c r="G842" s="1" t="s">
        <v>41</v>
      </c>
      <c r="H842">
        <v>2481</v>
      </c>
      <c r="I842">
        <v>2575.83</v>
      </c>
      <c r="J842" s="1" t="s">
        <v>25</v>
      </c>
      <c r="K842" s="1" t="s">
        <v>57</v>
      </c>
      <c r="L842">
        <v>9</v>
      </c>
      <c r="M842" t="s">
        <v>65</v>
      </c>
    </row>
    <row r="843" spans="1:13" ht="15.75" customHeight="1" x14ac:dyDescent="0.35">
      <c r="A843" s="1" t="s">
        <v>33</v>
      </c>
      <c r="B843" s="1" t="s">
        <v>975</v>
      </c>
      <c r="C843" s="1" t="s">
        <v>422</v>
      </c>
      <c r="D843" s="4">
        <v>44989</v>
      </c>
      <c r="E843" s="1" t="s">
        <v>85</v>
      </c>
      <c r="F843" s="1" t="s">
        <v>23</v>
      </c>
      <c r="G843" s="1" t="s">
        <v>41</v>
      </c>
      <c r="H843">
        <v>2481</v>
      </c>
      <c r="I843" s="1">
        <v>680.74</v>
      </c>
      <c r="J843" s="1" t="s">
        <v>25</v>
      </c>
      <c r="K843" s="1" t="s">
        <v>18</v>
      </c>
      <c r="L843">
        <v>9</v>
      </c>
      <c r="M843" t="s">
        <v>42</v>
      </c>
    </row>
    <row r="844" spans="1:13" ht="15.75" customHeight="1" x14ac:dyDescent="0.35">
      <c r="A844" s="1" t="s">
        <v>82</v>
      </c>
      <c r="B844" s="1" t="s">
        <v>976</v>
      </c>
      <c r="C844" t="s">
        <v>1084</v>
      </c>
      <c r="D844" s="4">
        <v>45072</v>
      </c>
      <c r="E844" s="1" t="s">
        <v>85</v>
      </c>
      <c r="F844" s="1" t="s">
        <v>47</v>
      </c>
      <c r="G844" s="1" t="s">
        <v>54</v>
      </c>
      <c r="H844">
        <v>2481</v>
      </c>
      <c r="I844" s="1">
        <v>4211.8</v>
      </c>
      <c r="J844" s="1" t="s">
        <v>25</v>
      </c>
      <c r="K844" s="1" t="s">
        <v>57</v>
      </c>
      <c r="L844">
        <v>9</v>
      </c>
      <c r="M844" t="s">
        <v>65</v>
      </c>
    </row>
    <row r="845" spans="1:13" ht="15.75" customHeight="1" x14ac:dyDescent="0.35">
      <c r="A845" s="1" t="s">
        <v>132</v>
      </c>
      <c r="B845" s="1" t="s">
        <v>977</v>
      </c>
      <c r="C845" s="1" t="s">
        <v>174</v>
      </c>
      <c r="D845" s="4">
        <v>45219</v>
      </c>
      <c r="E845" s="1" t="s">
        <v>30</v>
      </c>
      <c r="F845" s="1" t="s">
        <v>31</v>
      </c>
      <c r="G845" s="1" t="s">
        <v>48</v>
      </c>
      <c r="H845" s="1">
        <v>2481</v>
      </c>
      <c r="I845">
        <v>2575.83</v>
      </c>
      <c r="J845" s="1" t="s">
        <v>17</v>
      </c>
      <c r="K845" s="1" t="s">
        <v>18</v>
      </c>
      <c r="L845" s="1">
        <v>57</v>
      </c>
      <c r="M845" s="1" t="s">
        <v>65</v>
      </c>
    </row>
    <row r="846" spans="1:13" ht="15.75" customHeight="1" x14ac:dyDescent="0.35">
      <c r="A846" s="1" t="s">
        <v>38</v>
      </c>
      <c r="B846" s="1" t="s">
        <v>978</v>
      </c>
      <c r="C846" t="s">
        <v>1084</v>
      </c>
      <c r="D846" s="4">
        <v>45223</v>
      </c>
      <c r="E846" s="1" t="s">
        <v>77</v>
      </c>
      <c r="F846" s="1" t="s">
        <v>93</v>
      </c>
      <c r="G846" s="1" t="s">
        <v>24</v>
      </c>
      <c r="H846" s="1">
        <v>2481</v>
      </c>
      <c r="I846">
        <v>2575.83</v>
      </c>
      <c r="J846" s="1" t="s">
        <v>17</v>
      </c>
      <c r="K846" s="1" t="s">
        <v>1093</v>
      </c>
      <c r="L846">
        <v>9</v>
      </c>
      <c r="M846" t="s">
        <v>65</v>
      </c>
    </row>
    <row r="847" spans="1:13" ht="15.75" customHeight="1" x14ac:dyDescent="0.35">
      <c r="A847" s="1" t="s">
        <v>105</v>
      </c>
      <c r="B847" t="s">
        <v>1083</v>
      </c>
      <c r="C847" t="s">
        <v>1084</v>
      </c>
      <c r="D847" s="4">
        <v>45195</v>
      </c>
      <c r="E847" s="1" t="s">
        <v>16</v>
      </c>
      <c r="F847" s="1" t="s">
        <v>53</v>
      </c>
      <c r="G847" s="1" t="s">
        <v>54</v>
      </c>
      <c r="H847">
        <v>2481</v>
      </c>
      <c r="I847">
        <v>2575.83</v>
      </c>
      <c r="J847" s="1" t="s">
        <v>25</v>
      </c>
      <c r="K847" s="1" t="s">
        <v>57</v>
      </c>
      <c r="L847">
        <v>9</v>
      </c>
      <c r="M847" t="s">
        <v>65</v>
      </c>
    </row>
    <row r="848" spans="1:13" ht="15.75" customHeight="1" x14ac:dyDescent="0.35">
      <c r="A848" s="1" t="s">
        <v>132</v>
      </c>
      <c r="B848" s="1" t="s">
        <v>979</v>
      </c>
      <c r="C848" t="s">
        <v>1084</v>
      </c>
      <c r="D848" s="4">
        <v>45107</v>
      </c>
      <c r="E848" s="1" t="s">
        <v>16</v>
      </c>
      <c r="F848" s="1" t="s">
        <v>31</v>
      </c>
      <c r="G848" s="1" t="s">
        <v>24</v>
      </c>
      <c r="H848" s="1">
        <v>1928.25</v>
      </c>
      <c r="I848">
        <v>2575.83</v>
      </c>
      <c r="J848" s="1" t="s">
        <v>17</v>
      </c>
      <c r="K848" s="1" t="s">
        <v>26</v>
      </c>
      <c r="L848">
        <v>9</v>
      </c>
      <c r="M848" t="s">
        <v>19</v>
      </c>
    </row>
    <row r="849" spans="1:13" ht="15.75" customHeight="1" x14ac:dyDescent="0.35">
      <c r="A849" s="1" t="s">
        <v>33</v>
      </c>
      <c r="B849" t="s">
        <v>1083</v>
      </c>
      <c r="C849" t="s">
        <v>1084</v>
      </c>
      <c r="D849" s="4">
        <v>45150</v>
      </c>
      <c r="E849" s="1" t="s">
        <v>77</v>
      </c>
      <c r="F849" s="1" t="s">
        <v>53</v>
      </c>
      <c r="G849" s="1" t="s">
        <v>61</v>
      </c>
      <c r="H849">
        <v>2481</v>
      </c>
      <c r="I849">
        <v>2575.83</v>
      </c>
      <c r="J849" s="1" t="s">
        <v>25</v>
      </c>
      <c r="K849" s="1" t="s">
        <v>18</v>
      </c>
      <c r="L849" s="1">
        <v>10</v>
      </c>
      <c r="M849" s="1" t="s">
        <v>42</v>
      </c>
    </row>
    <row r="850" spans="1:13" ht="15.75" customHeight="1" x14ac:dyDescent="0.35">
      <c r="A850" s="1" t="s">
        <v>43</v>
      </c>
      <c r="B850" t="s">
        <v>1083</v>
      </c>
      <c r="C850" s="1" t="s">
        <v>530</v>
      </c>
      <c r="D850" s="4">
        <v>44945</v>
      </c>
      <c r="E850" s="1" t="s">
        <v>85</v>
      </c>
      <c r="F850" s="1" t="s">
        <v>93</v>
      </c>
      <c r="G850" s="1" t="s">
        <v>61</v>
      </c>
      <c r="H850" s="1">
        <v>3550.17</v>
      </c>
      <c r="I850">
        <v>2575.83</v>
      </c>
      <c r="J850" s="1" t="s">
        <v>25</v>
      </c>
      <c r="K850" s="1" t="s">
        <v>32</v>
      </c>
      <c r="L850">
        <v>9</v>
      </c>
      <c r="M850" t="s">
        <v>19</v>
      </c>
    </row>
    <row r="851" spans="1:13" ht="15.75" customHeight="1" x14ac:dyDescent="0.35">
      <c r="A851" s="1" t="s">
        <v>215</v>
      </c>
      <c r="B851" t="s">
        <v>1083</v>
      </c>
      <c r="C851" t="s">
        <v>1084</v>
      </c>
      <c r="D851" s="4">
        <v>45022</v>
      </c>
      <c r="E851" s="1" t="s">
        <v>92</v>
      </c>
      <c r="F851" s="1" t="s">
        <v>93</v>
      </c>
      <c r="G851" s="1" t="s">
        <v>54</v>
      </c>
      <c r="H851" s="1">
        <v>380.56</v>
      </c>
      <c r="I851">
        <v>2575.83</v>
      </c>
      <c r="J851" s="1" t="s">
        <v>17</v>
      </c>
      <c r="K851" s="1" t="s">
        <v>32</v>
      </c>
      <c r="L851">
        <v>9</v>
      </c>
      <c r="M851" t="s">
        <v>65</v>
      </c>
    </row>
    <row r="852" spans="1:13" ht="15.75" customHeight="1" x14ac:dyDescent="0.35">
      <c r="A852" s="1" t="s">
        <v>132</v>
      </c>
      <c r="B852" s="1" t="s">
        <v>949</v>
      </c>
      <c r="C852" s="1" t="s">
        <v>982</v>
      </c>
      <c r="D852" s="4">
        <v>44961</v>
      </c>
      <c r="E852" s="1" t="s">
        <v>30</v>
      </c>
      <c r="F852" s="1" t="s">
        <v>23</v>
      </c>
      <c r="G852" s="1" t="s">
        <v>48</v>
      </c>
      <c r="H852">
        <v>2481</v>
      </c>
      <c r="I852" s="1">
        <v>805.96</v>
      </c>
      <c r="J852" s="1" t="s">
        <v>17</v>
      </c>
      <c r="K852" s="1" t="s">
        <v>26</v>
      </c>
      <c r="L852" s="1">
        <v>20</v>
      </c>
      <c r="M852" s="1" t="s">
        <v>19</v>
      </c>
    </row>
    <row r="853" spans="1:13" ht="15.75" customHeight="1" x14ac:dyDescent="0.35">
      <c r="A853" s="1" t="s">
        <v>163</v>
      </c>
      <c r="B853" t="s">
        <v>1083</v>
      </c>
      <c r="C853" s="1" t="s">
        <v>613</v>
      </c>
      <c r="D853" s="4">
        <v>45128</v>
      </c>
      <c r="E853" s="1" t="s">
        <v>77</v>
      </c>
      <c r="F853" s="1" t="s">
        <v>93</v>
      </c>
      <c r="G853" s="1" t="s">
        <v>24</v>
      </c>
      <c r="H853">
        <v>2481</v>
      </c>
      <c r="I853">
        <v>2575.83</v>
      </c>
      <c r="J853" s="1" t="s">
        <v>25</v>
      </c>
      <c r="K853" s="1" t="s">
        <v>18</v>
      </c>
      <c r="L853" s="1">
        <v>29</v>
      </c>
      <c r="M853" s="1" t="s">
        <v>19</v>
      </c>
    </row>
    <row r="854" spans="1:13" ht="15.75" customHeight="1" x14ac:dyDescent="0.35">
      <c r="A854" s="1" t="s">
        <v>137</v>
      </c>
      <c r="B854" s="1" t="s">
        <v>146</v>
      </c>
      <c r="C854" s="1" t="s">
        <v>308</v>
      </c>
      <c r="D854" s="4">
        <v>44961</v>
      </c>
      <c r="E854" s="1" t="s">
        <v>92</v>
      </c>
      <c r="F854" s="1" t="s">
        <v>53</v>
      </c>
      <c r="G854" s="1" t="s">
        <v>54</v>
      </c>
      <c r="H854" s="1">
        <v>2481</v>
      </c>
      <c r="I854">
        <v>2575.83</v>
      </c>
      <c r="J854" s="1" t="s">
        <v>25</v>
      </c>
      <c r="K854" s="1" t="s">
        <v>57</v>
      </c>
      <c r="L854">
        <v>9</v>
      </c>
      <c r="M854" t="s">
        <v>42</v>
      </c>
    </row>
    <row r="855" spans="1:13" ht="15.75" customHeight="1" x14ac:dyDescent="0.35">
      <c r="A855" s="1" t="s">
        <v>28</v>
      </c>
      <c r="B855" t="s">
        <v>1083</v>
      </c>
      <c r="C855" t="s">
        <v>1084</v>
      </c>
      <c r="D855" s="4">
        <v>45055</v>
      </c>
      <c r="E855" s="1" t="s">
        <v>30</v>
      </c>
      <c r="F855" s="1" t="s">
        <v>53</v>
      </c>
      <c r="G855" s="1" t="s">
        <v>24</v>
      </c>
      <c r="H855" s="1">
        <v>4033.95</v>
      </c>
      <c r="I855">
        <v>2575.83</v>
      </c>
      <c r="J855" s="1" t="s">
        <v>42</v>
      </c>
      <c r="K855" s="1" t="s">
        <v>26</v>
      </c>
      <c r="L855">
        <v>9</v>
      </c>
      <c r="M855" t="s">
        <v>65</v>
      </c>
    </row>
    <row r="856" spans="1:13" ht="15.75" customHeight="1" x14ac:dyDescent="0.35">
      <c r="A856" s="1" t="s">
        <v>33</v>
      </c>
      <c r="B856" t="s">
        <v>1083</v>
      </c>
      <c r="C856" t="s">
        <v>1084</v>
      </c>
      <c r="D856" s="4">
        <v>45176</v>
      </c>
      <c r="E856" s="1" t="s">
        <v>77</v>
      </c>
      <c r="F856" t="s">
        <v>1085</v>
      </c>
      <c r="G856" s="1" t="s">
        <v>24</v>
      </c>
      <c r="H856">
        <v>2481</v>
      </c>
      <c r="I856">
        <v>2575.83</v>
      </c>
      <c r="J856" s="1" t="s">
        <v>25</v>
      </c>
      <c r="K856" s="1" t="s">
        <v>18</v>
      </c>
      <c r="L856" s="1">
        <v>9</v>
      </c>
      <c r="M856" s="1" t="s">
        <v>65</v>
      </c>
    </row>
    <row r="857" spans="1:13" ht="15.75" customHeight="1" x14ac:dyDescent="0.35">
      <c r="A857" s="1" t="s">
        <v>215</v>
      </c>
      <c r="B857" t="s">
        <v>1083</v>
      </c>
      <c r="C857" t="s">
        <v>1084</v>
      </c>
      <c r="D857" s="4">
        <v>45291</v>
      </c>
      <c r="E857" s="1" t="s">
        <v>77</v>
      </c>
      <c r="F857" s="1" t="s">
        <v>93</v>
      </c>
      <c r="G857" s="1" t="s">
        <v>48</v>
      </c>
      <c r="H857">
        <v>2481</v>
      </c>
      <c r="I857" s="1">
        <v>4490.34</v>
      </c>
      <c r="J857" s="1" t="s">
        <v>42</v>
      </c>
      <c r="K857" s="1" t="s">
        <v>32</v>
      </c>
      <c r="L857">
        <v>9</v>
      </c>
      <c r="M857" t="s">
        <v>65</v>
      </c>
    </row>
    <row r="858" spans="1:13" ht="15.75" customHeight="1" x14ac:dyDescent="0.35">
      <c r="A858" s="1" t="s">
        <v>33</v>
      </c>
      <c r="B858" t="s">
        <v>1083</v>
      </c>
      <c r="C858" t="s">
        <v>1084</v>
      </c>
      <c r="D858" s="4">
        <v>45189</v>
      </c>
      <c r="E858" s="1" t="s">
        <v>16</v>
      </c>
      <c r="F858" s="1" t="s">
        <v>53</v>
      </c>
      <c r="G858" s="1" t="s">
        <v>61</v>
      </c>
      <c r="H858">
        <v>2481</v>
      </c>
      <c r="I858" s="1">
        <v>4613.83</v>
      </c>
      <c r="J858" s="1" t="s">
        <v>25</v>
      </c>
      <c r="K858" s="1" t="s">
        <v>26</v>
      </c>
      <c r="L858">
        <v>9</v>
      </c>
      <c r="M858" t="s">
        <v>42</v>
      </c>
    </row>
    <row r="859" spans="1:13" ht="15.75" customHeight="1" x14ac:dyDescent="0.35">
      <c r="A859" s="1" t="s">
        <v>38</v>
      </c>
      <c r="B859" s="1" t="s">
        <v>79</v>
      </c>
      <c r="C859" s="1" t="s">
        <v>986</v>
      </c>
      <c r="D859" s="4">
        <v>45249</v>
      </c>
      <c r="E859" s="1" t="s">
        <v>77</v>
      </c>
      <c r="F859" s="1" t="s">
        <v>53</v>
      </c>
      <c r="G859" s="1" t="s">
        <v>41</v>
      </c>
      <c r="H859">
        <v>2481</v>
      </c>
      <c r="I859">
        <v>2575.83</v>
      </c>
      <c r="J859" s="1" t="s">
        <v>42</v>
      </c>
      <c r="K859" s="1" t="s">
        <v>26</v>
      </c>
      <c r="L859">
        <v>9</v>
      </c>
      <c r="M859" t="s">
        <v>42</v>
      </c>
    </row>
    <row r="860" spans="1:13" ht="15.75" customHeight="1" x14ac:dyDescent="0.35">
      <c r="A860" s="1" t="s">
        <v>55</v>
      </c>
      <c r="B860" t="s">
        <v>1083</v>
      </c>
      <c r="C860" s="1" t="s">
        <v>100</v>
      </c>
      <c r="D860" s="4">
        <v>45216</v>
      </c>
      <c r="E860" s="1" t="s">
        <v>16</v>
      </c>
      <c r="F860" s="1" t="s">
        <v>93</v>
      </c>
      <c r="G860" s="1" t="s">
        <v>48</v>
      </c>
      <c r="H860" s="1">
        <v>2481</v>
      </c>
      <c r="I860">
        <v>2575.83</v>
      </c>
      <c r="J860" s="1" t="s">
        <v>42</v>
      </c>
      <c r="K860" s="1" t="s">
        <v>18</v>
      </c>
      <c r="L860" s="1">
        <v>9</v>
      </c>
      <c r="M860" s="1" t="s">
        <v>19</v>
      </c>
    </row>
    <row r="861" spans="1:13" ht="15.75" customHeight="1" x14ac:dyDescent="0.35">
      <c r="A861" s="1" t="s">
        <v>110</v>
      </c>
      <c r="B861" t="s">
        <v>1083</v>
      </c>
      <c r="C861" s="1" t="s">
        <v>331</v>
      </c>
      <c r="D861" s="4">
        <v>44948</v>
      </c>
      <c r="E861" s="1" t="s">
        <v>85</v>
      </c>
      <c r="F861" s="1" t="s">
        <v>93</v>
      </c>
      <c r="G861" s="1" t="s">
        <v>48</v>
      </c>
      <c r="H861">
        <v>2481</v>
      </c>
      <c r="I861">
        <v>2575.83</v>
      </c>
      <c r="J861" s="1" t="s">
        <v>42</v>
      </c>
      <c r="K861" s="1" t="s">
        <v>18</v>
      </c>
      <c r="L861" s="1">
        <v>9</v>
      </c>
      <c r="M861" s="1" t="s">
        <v>65</v>
      </c>
    </row>
    <row r="862" spans="1:13" ht="15.75" customHeight="1" x14ac:dyDescent="0.35">
      <c r="A862" s="1" t="s">
        <v>166</v>
      </c>
      <c r="B862" t="s">
        <v>1083</v>
      </c>
      <c r="C862" s="1" t="s">
        <v>642</v>
      </c>
      <c r="D862" s="4">
        <v>45011</v>
      </c>
      <c r="E862" s="1" t="s">
        <v>77</v>
      </c>
      <c r="F862" s="1" t="s">
        <v>23</v>
      </c>
      <c r="G862" s="1" t="s">
        <v>61</v>
      </c>
      <c r="H862">
        <v>2481</v>
      </c>
      <c r="I862">
        <v>2575.83</v>
      </c>
      <c r="J862" s="1" t="s">
        <v>17</v>
      </c>
      <c r="K862" s="1" t="s">
        <v>57</v>
      </c>
      <c r="L862">
        <v>9</v>
      </c>
      <c r="M862" t="s">
        <v>19</v>
      </c>
    </row>
    <row r="863" spans="1:13" ht="15.75" customHeight="1" x14ac:dyDescent="0.35">
      <c r="A863" s="1" t="s">
        <v>13</v>
      </c>
      <c r="B863" t="s">
        <v>1083</v>
      </c>
      <c r="C863" s="1" t="s">
        <v>530</v>
      </c>
      <c r="D863" s="4">
        <v>45228</v>
      </c>
      <c r="E863" s="1" t="s">
        <v>16</v>
      </c>
      <c r="F863" s="1" t="s">
        <v>31</v>
      </c>
      <c r="G863" s="1" t="s">
        <v>54</v>
      </c>
      <c r="H863">
        <v>2481</v>
      </c>
      <c r="I863">
        <v>2575.83</v>
      </c>
      <c r="J863" s="1" t="s">
        <v>25</v>
      </c>
      <c r="K863" s="1" t="s">
        <v>32</v>
      </c>
      <c r="L863">
        <v>9</v>
      </c>
      <c r="M863" t="s">
        <v>19</v>
      </c>
    </row>
    <row r="864" spans="1:13" ht="15.75" customHeight="1" x14ac:dyDescent="0.35">
      <c r="A864" s="1" t="s">
        <v>117</v>
      </c>
      <c r="B864" t="s">
        <v>1083</v>
      </c>
      <c r="C864" t="s">
        <v>1084</v>
      </c>
      <c r="D864" s="4">
        <v>45002</v>
      </c>
      <c r="E864" s="1" t="s">
        <v>85</v>
      </c>
      <c r="F864" s="1" t="s">
        <v>93</v>
      </c>
      <c r="G864" s="1" t="s">
        <v>24</v>
      </c>
      <c r="H864" s="1">
        <v>2348.52</v>
      </c>
      <c r="I864">
        <v>2575.83</v>
      </c>
      <c r="J864" s="1" t="s">
        <v>42</v>
      </c>
      <c r="K864" s="1" t="s">
        <v>1093</v>
      </c>
      <c r="L864">
        <v>9</v>
      </c>
      <c r="M864" t="s">
        <v>65</v>
      </c>
    </row>
    <row r="865" spans="1:13" ht="15.75" customHeight="1" x14ac:dyDescent="0.35">
      <c r="A865" s="1" t="s">
        <v>209</v>
      </c>
      <c r="B865" t="s">
        <v>1083</v>
      </c>
      <c r="C865" s="1" t="s">
        <v>203</v>
      </c>
      <c r="D865" s="4">
        <v>45173</v>
      </c>
      <c r="E865" s="1" t="s">
        <v>16</v>
      </c>
      <c r="F865" s="1" t="s">
        <v>31</v>
      </c>
      <c r="G865" s="1" t="s">
        <v>61</v>
      </c>
      <c r="H865">
        <v>2481</v>
      </c>
      <c r="I865" s="1">
        <v>2100.4</v>
      </c>
      <c r="J865" s="1" t="s">
        <v>42</v>
      </c>
      <c r="K865" s="1" t="s">
        <v>32</v>
      </c>
      <c r="L865">
        <v>9</v>
      </c>
      <c r="M865" t="s">
        <v>65</v>
      </c>
    </row>
    <row r="866" spans="1:13" ht="15.75" customHeight="1" x14ac:dyDescent="0.35">
      <c r="A866" s="1" t="s">
        <v>117</v>
      </c>
      <c r="B866" t="s">
        <v>1083</v>
      </c>
      <c r="C866" s="1" t="s">
        <v>463</v>
      </c>
      <c r="D866" s="4">
        <v>45147</v>
      </c>
      <c r="E866" s="1" t="s">
        <v>85</v>
      </c>
      <c r="F866" s="1" t="s">
        <v>47</v>
      </c>
      <c r="G866" s="1" t="s">
        <v>24</v>
      </c>
      <c r="H866">
        <v>2481</v>
      </c>
      <c r="I866" s="1">
        <v>2987.56</v>
      </c>
      <c r="J866" s="1" t="s">
        <v>25</v>
      </c>
      <c r="K866" s="1" t="s">
        <v>26</v>
      </c>
      <c r="L866">
        <v>9</v>
      </c>
      <c r="M866" t="s">
        <v>19</v>
      </c>
    </row>
    <row r="867" spans="1:13" ht="15.75" customHeight="1" x14ac:dyDescent="0.35">
      <c r="A867" s="1" t="s">
        <v>50</v>
      </c>
      <c r="B867" t="s">
        <v>1083</v>
      </c>
      <c r="C867" s="1" t="s">
        <v>625</v>
      </c>
      <c r="D867" s="4">
        <v>45284</v>
      </c>
      <c r="E867" s="1" t="s">
        <v>16</v>
      </c>
      <c r="F867" s="1" t="s">
        <v>53</v>
      </c>
      <c r="G867" s="1" t="s">
        <v>24</v>
      </c>
      <c r="H867">
        <v>2481</v>
      </c>
      <c r="I867">
        <v>2575.83</v>
      </c>
      <c r="J867" s="1" t="s">
        <v>42</v>
      </c>
      <c r="K867" s="1" t="s">
        <v>57</v>
      </c>
      <c r="L867" s="1">
        <v>5</v>
      </c>
      <c r="M867" s="1" t="s">
        <v>65</v>
      </c>
    </row>
    <row r="868" spans="1:13" ht="15.75" customHeight="1" x14ac:dyDescent="0.35">
      <c r="A868" s="1" t="s">
        <v>192</v>
      </c>
      <c r="B868" s="1" t="s">
        <v>541</v>
      </c>
      <c r="C868" s="1" t="s">
        <v>469</v>
      </c>
      <c r="D868" s="4">
        <v>44947</v>
      </c>
      <c r="E868" s="1" t="s">
        <v>85</v>
      </c>
      <c r="F868" s="1" t="s">
        <v>93</v>
      </c>
      <c r="G868" s="1" t="s">
        <v>48</v>
      </c>
      <c r="H868" s="1">
        <v>4129.75</v>
      </c>
      <c r="I868">
        <v>2575.83</v>
      </c>
      <c r="J868" s="1" t="s">
        <v>17</v>
      </c>
      <c r="K868" s="1" t="s">
        <v>57</v>
      </c>
      <c r="L868">
        <v>9</v>
      </c>
      <c r="M868" t="s">
        <v>19</v>
      </c>
    </row>
    <row r="869" spans="1:13" ht="15.75" customHeight="1" x14ac:dyDescent="0.35">
      <c r="A869" s="1" t="s">
        <v>277</v>
      </c>
      <c r="B869" t="s">
        <v>1083</v>
      </c>
      <c r="C869" t="s">
        <v>1084</v>
      </c>
      <c r="D869" s="4">
        <v>45285</v>
      </c>
      <c r="E869" s="1" t="s">
        <v>16</v>
      </c>
      <c r="F869" s="1" t="s">
        <v>53</v>
      </c>
      <c r="G869" s="1" t="s">
        <v>54</v>
      </c>
      <c r="H869" s="1">
        <v>1157.77</v>
      </c>
      <c r="I869">
        <v>2575.83</v>
      </c>
      <c r="J869" s="1" t="s">
        <v>17</v>
      </c>
      <c r="K869" s="1" t="s">
        <v>1093</v>
      </c>
      <c r="L869">
        <v>9</v>
      </c>
      <c r="M869" t="s">
        <v>19</v>
      </c>
    </row>
    <row r="870" spans="1:13" ht="15.75" customHeight="1" x14ac:dyDescent="0.35">
      <c r="A870" s="1" t="s">
        <v>163</v>
      </c>
      <c r="B870" t="s">
        <v>1083</v>
      </c>
      <c r="C870" t="s">
        <v>1084</v>
      </c>
      <c r="D870" s="4">
        <v>45085</v>
      </c>
      <c r="E870" s="1" t="s">
        <v>92</v>
      </c>
      <c r="F870" s="1" t="s">
        <v>93</v>
      </c>
      <c r="G870" s="1" t="s">
        <v>24</v>
      </c>
      <c r="H870">
        <v>2481</v>
      </c>
      <c r="I870" s="1">
        <v>232.15</v>
      </c>
      <c r="J870" s="1" t="s">
        <v>17</v>
      </c>
      <c r="K870" s="1" t="s">
        <v>26</v>
      </c>
      <c r="L870" s="1">
        <v>9</v>
      </c>
      <c r="M870" s="1" t="s">
        <v>65</v>
      </c>
    </row>
    <row r="871" spans="1:13" ht="15.75" customHeight="1" x14ac:dyDescent="0.35">
      <c r="A871" s="1" t="s">
        <v>277</v>
      </c>
      <c r="B871" t="s">
        <v>1083</v>
      </c>
      <c r="C871" t="s">
        <v>1084</v>
      </c>
      <c r="D871" s="4">
        <v>45090</v>
      </c>
      <c r="E871" s="1" t="s">
        <v>85</v>
      </c>
      <c r="F871" t="s">
        <v>1085</v>
      </c>
      <c r="G871" s="1" t="s">
        <v>48</v>
      </c>
      <c r="H871">
        <v>2481</v>
      </c>
      <c r="I871" s="1">
        <v>4690.3100000000004</v>
      </c>
      <c r="J871" s="1" t="s">
        <v>25</v>
      </c>
      <c r="K871" s="1" t="s">
        <v>26</v>
      </c>
      <c r="L871" s="1">
        <v>23</v>
      </c>
      <c r="M871" s="1" t="s">
        <v>65</v>
      </c>
    </row>
    <row r="872" spans="1:13" ht="15.75" customHeight="1" x14ac:dyDescent="0.35">
      <c r="A872" s="1" t="s">
        <v>212</v>
      </c>
      <c r="B872" s="1" t="s">
        <v>917</v>
      </c>
      <c r="C872" s="1" t="s">
        <v>416</v>
      </c>
      <c r="D872" s="4">
        <v>45126</v>
      </c>
      <c r="E872" s="1" t="s">
        <v>77</v>
      </c>
      <c r="F872" t="s">
        <v>1085</v>
      </c>
      <c r="G872" s="1" t="s">
        <v>48</v>
      </c>
      <c r="H872" s="1">
        <v>2481</v>
      </c>
      <c r="I872">
        <v>2575.83</v>
      </c>
      <c r="J872" s="1" t="s">
        <v>25</v>
      </c>
      <c r="K872" s="1" t="s">
        <v>32</v>
      </c>
      <c r="L872">
        <v>9</v>
      </c>
      <c r="M872" t="s">
        <v>65</v>
      </c>
    </row>
    <row r="873" spans="1:13" ht="15.75" customHeight="1" x14ac:dyDescent="0.35">
      <c r="A873" s="1" t="s">
        <v>89</v>
      </c>
      <c r="B873" t="s">
        <v>1083</v>
      </c>
      <c r="C873" s="1" t="s">
        <v>363</v>
      </c>
      <c r="D873" s="4">
        <v>45176</v>
      </c>
      <c r="E873" s="1" t="s">
        <v>85</v>
      </c>
      <c r="F873" s="1" t="s">
        <v>93</v>
      </c>
      <c r="G873" s="1" t="s">
        <v>54</v>
      </c>
      <c r="H873">
        <v>2481</v>
      </c>
      <c r="I873">
        <v>2575.83</v>
      </c>
      <c r="J873" s="1" t="s">
        <v>25</v>
      </c>
      <c r="K873" s="1" t="s">
        <v>26</v>
      </c>
      <c r="L873">
        <v>9</v>
      </c>
      <c r="M873" t="s">
        <v>19</v>
      </c>
    </row>
    <row r="874" spans="1:13" ht="15.75" customHeight="1" x14ac:dyDescent="0.35">
      <c r="A874" s="1" t="s">
        <v>110</v>
      </c>
      <c r="B874" t="s">
        <v>1083</v>
      </c>
      <c r="C874" s="1" t="s">
        <v>290</v>
      </c>
      <c r="D874" s="4">
        <v>45174</v>
      </c>
      <c r="E874" s="1" t="s">
        <v>85</v>
      </c>
      <c r="F874" s="1" t="s">
        <v>31</v>
      </c>
      <c r="G874" t="s">
        <v>1086</v>
      </c>
      <c r="H874">
        <v>2481</v>
      </c>
      <c r="I874">
        <v>2575.83</v>
      </c>
      <c r="J874" s="1" t="s">
        <v>17</v>
      </c>
      <c r="K874" s="1" t="s">
        <v>57</v>
      </c>
      <c r="L874">
        <v>9</v>
      </c>
      <c r="M874" t="s">
        <v>65</v>
      </c>
    </row>
    <row r="875" spans="1:13" ht="15.75" customHeight="1" x14ac:dyDescent="0.35">
      <c r="A875" s="1" t="s">
        <v>62</v>
      </c>
      <c r="B875" t="s">
        <v>1083</v>
      </c>
      <c r="C875" t="s">
        <v>1084</v>
      </c>
      <c r="D875" s="4">
        <v>45075</v>
      </c>
      <c r="E875" s="1" t="s">
        <v>85</v>
      </c>
      <c r="F875" s="1" t="s">
        <v>53</v>
      </c>
      <c r="G875" s="1" t="s">
        <v>61</v>
      </c>
      <c r="H875" s="1">
        <v>2481</v>
      </c>
      <c r="I875" s="1">
        <v>2967.14</v>
      </c>
      <c r="J875" s="1" t="s">
        <v>25</v>
      </c>
      <c r="K875" s="1" t="s">
        <v>1093</v>
      </c>
      <c r="L875">
        <v>9</v>
      </c>
      <c r="M875" t="s">
        <v>42</v>
      </c>
    </row>
    <row r="876" spans="1:13" ht="15.75" customHeight="1" x14ac:dyDescent="0.35">
      <c r="A876" s="1" t="s">
        <v>209</v>
      </c>
      <c r="B876" t="s">
        <v>1083</v>
      </c>
      <c r="C876" s="1" t="s">
        <v>463</v>
      </c>
      <c r="D876" s="4">
        <v>45080</v>
      </c>
      <c r="E876" s="1" t="s">
        <v>85</v>
      </c>
      <c r="F876" s="1" t="s">
        <v>23</v>
      </c>
      <c r="G876" s="1" t="s">
        <v>24</v>
      </c>
      <c r="H876">
        <v>2481</v>
      </c>
      <c r="I876" s="1">
        <v>2004.32</v>
      </c>
      <c r="J876" s="1" t="s">
        <v>17</v>
      </c>
      <c r="K876" s="1" t="s">
        <v>18</v>
      </c>
      <c r="L876" s="1">
        <v>2</v>
      </c>
      <c r="M876" s="1" t="s">
        <v>65</v>
      </c>
    </row>
    <row r="877" spans="1:13" ht="15.75" customHeight="1" x14ac:dyDescent="0.35">
      <c r="A877" s="1" t="s">
        <v>170</v>
      </c>
      <c r="B877" s="1" t="s">
        <v>994</v>
      </c>
      <c r="C877" s="1" t="s">
        <v>100</v>
      </c>
      <c r="D877" s="4">
        <v>45201</v>
      </c>
      <c r="E877" s="1" t="s">
        <v>77</v>
      </c>
      <c r="F877" s="1" t="s">
        <v>23</v>
      </c>
      <c r="G877" s="1" t="s">
        <v>54</v>
      </c>
      <c r="H877">
        <v>2481</v>
      </c>
      <c r="I877">
        <v>2575.83</v>
      </c>
      <c r="J877" s="1" t="s">
        <v>25</v>
      </c>
      <c r="K877" s="1" t="s">
        <v>1093</v>
      </c>
      <c r="L877" s="1">
        <v>37</v>
      </c>
      <c r="M877" s="1" t="s">
        <v>42</v>
      </c>
    </row>
    <row r="878" spans="1:13" ht="15.75" customHeight="1" x14ac:dyDescent="0.35">
      <c r="A878" s="1" t="s">
        <v>249</v>
      </c>
      <c r="B878" t="s">
        <v>1083</v>
      </c>
      <c r="C878" s="1" t="s">
        <v>509</v>
      </c>
      <c r="D878" s="4">
        <v>45214</v>
      </c>
      <c r="E878" s="1" t="s">
        <v>92</v>
      </c>
      <c r="F878" s="1" t="s">
        <v>93</v>
      </c>
      <c r="G878" s="1" t="s">
        <v>54</v>
      </c>
      <c r="H878" s="1">
        <v>2481</v>
      </c>
      <c r="I878">
        <v>2575.83</v>
      </c>
      <c r="J878" s="1" t="s">
        <v>17</v>
      </c>
      <c r="K878" s="1" t="s">
        <v>1093</v>
      </c>
      <c r="L878" s="1">
        <v>1</v>
      </c>
      <c r="M878" s="1" t="s">
        <v>65</v>
      </c>
    </row>
    <row r="879" spans="1:13" ht="15.75" customHeight="1" x14ac:dyDescent="0.35">
      <c r="A879" s="1" t="s">
        <v>148</v>
      </c>
      <c r="B879" t="s">
        <v>1083</v>
      </c>
      <c r="C879" t="s">
        <v>1084</v>
      </c>
      <c r="D879" s="4">
        <v>45270</v>
      </c>
      <c r="E879" s="1" t="s">
        <v>77</v>
      </c>
      <c r="F879" s="1" t="s">
        <v>93</v>
      </c>
      <c r="G879" t="s">
        <v>1086</v>
      </c>
      <c r="H879">
        <v>2481</v>
      </c>
      <c r="I879">
        <v>2575.83</v>
      </c>
      <c r="J879" s="1" t="s">
        <v>17</v>
      </c>
      <c r="K879" s="1" t="s">
        <v>26</v>
      </c>
      <c r="L879" s="1">
        <v>4</v>
      </c>
      <c r="M879" s="1" t="s">
        <v>19</v>
      </c>
    </row>
    <row r="880" spans="1:13" ht="15.75" customHeight="1" x14ac:dyDescent="0.35">
      <c r="A880" s="1" t="s">
        <v>89</v>
      </c>
      <c r="B880" s="1" t="s">
        <v>998</v>
      </c>
      <c r="C880" t="s">
        <v>1084</v>
      </c>
      <c r="D880" s="4">
        <v>44985</v>
      </c>
      <c r="E880" s="1" t="s">
        <v>16</v>
      </c>
      <c r="F880" s="1" t="s">
        <v>47</v>
      </c>
      <c r="G880" s="1" t="s">
        <v>54</v>
      </c>
      <c r="H880" s="1">
        <v>2481</v>
      </c>
      <c r="I880">
        <v>2575.83</v>
      </c>
      <c r="J880" s="1" t="s">
        <v>25</v>
      </c>
      <c r="K880" s="1" t="s">
        <v>32</v>
      </c>
      <c r="L880" s="1">
        <v>50</v>
      </c>
      <c r="M880" s="1" t="s">
        <v>19</v>
      </c>
    </row>
    <row r="881" spans="1:13" ht="15.75" customHeight="1" x14ac:dyDescent="0.35">
      <c r="A881" s="1" t="s">
        <v>102</v>
      </c>
      <c r="B881" s="1" t="s">
        <v>677</v>
      </c>
      <c r="C881" t="s">
        <v>1084</v>
      </c>
      <c r="D881" s="4">
        <v>44936</v>
      </c>
      <c r="E881" s="1" t="s">
        <v>85</v>
      </c>
      <c r="F881" s="1" t="s">
        <v>93</v>
      </c>
      <c r="G881" s="1" t="s">
        <v>41</v>
      </c>
      <c r="H881">
        <v>2481</v>
      </c>
      <c r="I881">
        <v>2575.83</v>
      </c>
      <c r="J881" s="1" t="s">
        <v>42</v>
      </c>
      <c r="K881" s="1" t="s">
        <v>26</v>
      </c>
      <c r="L881">
        <v>9</v>
      </c>
      <c r="M881" t="s">
        <v>65</v>
      </c>
    </row>
    <row r="882" spans="1:13" ht="15.75" customHeight="1" x14ac:dyDescent="0.35">
      <c r="A882" s="1" t="s">
        <v>108</v>
      </c>
      <c r="B882" t="s">
        <v>1083</v>
      </c>
      <c r="C882" s="1" t="s">
        <v>620</v>
      </c>
      <c r="D882" s="4">
        <v>45244</v>
      </c>
      <c r="E882" s="1" t="s">
        <v>85</v>
      </c>
      <c r="F882" s="1" t="s">
        <v>47</v>
      </c>
      <c r="G882" t="s">
        <v>1086</v>
      </c>
      <c r="H882">
        <v>2481</v>
      </c>
      <c r="I882">
        <v>2575.83</v>
      </c>
      <c r="J882" s="1" t="s">
        <v>17</v>
      </c>
      <c r="K882" s="1" t="s">
        <v>1093</v>
      </c>
      <c r="L882">
        <v>9</v>
      </c>
      <c r="M882" t="s">
        <v>19</v>
      </c>
    </row>
    <row r="883" spans="1:13" ht="15.75" customHeight="1" x14ac:dyDescent="0.35">
      <c r="A883" s="1" t="s">
        <v>212</v>
      </c>
      <c r="B883" s="1" t="s">
        <v>1000</v>
      </c>
      <c r="C883" s="1" t="s">
        <v>232</v>
      </c>
      <c r="D883" s="4">
        <v>44928</v>
      </c>
      <c r="E883" s="1" t="s">
        <v>16</v>
      </c>
      <c r="F883" s="1" t="s">
        <v>31</v>
      </c>
      <c r="G883" t="s">
        <v>1086</v>
      </c>
      <c r="H883">
        <v>2481</v>
      </c>
      <c r="I883" s="1">
        <v>4316.93</v>
      </c>
      <c r="J883" s="1" t="s">
        <v>17</v>
      </c>
      <c r="K883" s="1" t="s">
        <v>26</v>
      </c>
      <c r="L883">
        <v>9</v>
      </c>
      <c r="M883" t="s">
        <v>42</v>
      </c>
    </row>
    <row r="884" spans="1:13" ht="15.75" customHeight="1" x14ac:dyDescent="0.35">
      <c r="A884" s="1" t="s">
        <v>202</v>
      </c>
      <c r="B884" t="s">
        <v>1083</v>
      </c>
      <c r="C884" t="s">
        <v>1084</v>
      </c>
      <c r="D884" s="4">
        <v>45209</v>
      </c>
      <c r="E884" s="1" t="s">
        <v>85</v>
      </c>
      <c r="F884" s="1" t="s">
        <v>31</v>
      </c>
      <c r="G884" s="1" t="s">
        <v>61</v>
      </c>
      <c r="H884">
        <v>2481</v>
      </c>
      <c r="I884">
        <v>2575.83</v>
      </c>
      <c r="J884" s="1" t="s">
        <v>25</v>
      </c>
      <c r="K884" s="1" t="s">
        <v>32</v>
      </c>
      <c r="L884" s="1">
        <v>2</v>
      </c>
      <c r="M884" s="1" t="s">
        <v>19</v>
      </c>
    </row>
    <row r="885" spans="1:13" ht="15.75" customHeight="1" x14ac:dyDescent="0.35">
      <c r="A885" s="1" t="s">
        <v>192</v>
      </c>
      <c r="B885" s="1" t="s">
        <v>943</v>
      </c>
      <c r="C885" t="s">
        <v>1084</v>
      </c>
      <c r="D885" s="4">
        <v>45005</v>
      </c>
      <c r="E885" s="1" t="s">
        <v>85</v>
      </c>
      <c r="F885" s="1" t="s">
        <v>53</v>
      </c>
      <c r="G885" s="1" t="s">
        <v>61</v>
      </c>
      <c r="H885" s="1">
        <v>4876.8900000000003</v>
      </c>
      <c r="I885">
        <v>2575.83</v>
      </c>
      <c r="J885" s="1" t="s">
        <v>42</v>
      </c>
      <c r="K885" s="1" t="s">
        <v>1093</v>
      </c>
      <c r="L885" s="1">
        <v>1</v>
      </c>
      <c r="M885" s="1" t="s">
        <v>19</v>
      </c>
    </row>
    <row r="886" spans="1:13" ht="15.75" customHeight="1" x14ac:dyDescent="0.35">
      <c r="A886" s="1" t="s">
        <v>58</v>
      </c>
      <c r="B886" t="s">
        <v>1083</v>
      </c>
      <c r="C886" s="1" t="s">
        <v>816</v>
      </c>
      <c r="D886" s="4">
        <v>45195</v>
      </c>
      <c r="E886" s="1" t="s">
        <v>92</v>
      </c>
      <c r="F886" s="1" t="s">
        <v>23</v>
      </c>
      <c r="G886" s="1" t="s">
        <v>61</v>
      </c>
      <c r="H886">
        <v>2481</v>
      </c>
      <c r="I886" s="1">
        <v>4447.62</v>
      </c>
      <c r="J886" s="1" t="s">
        <v>17</v>
      </c>
      <c r="K886" s="1" t="s">
        <v>18</v>
      </c>
      <c r="L886" s="1">
        <v>37</v>
      </c>
      <c r="M886" s="1" t="s">
        <v>65</v>
      </c>
    </row>
    <row r="887" spans="1:13" ht="15.75" customHeight="1" x14ac:dyDescent="0.35">
      <c r="A887" s="1" t="s">
        <v>82</v>
      </c>
      <c r="B887" t="s">
        <v>1083</v>
      </c>
      <c r="C887" s="1" t="s">
        <v>245</v>
      </c>
      <c r="D887" s="4">
        <v>45222</v>
      </c>
      <c r="E887" s="1" t="s">
        <v>30</v>
      </c>
      <c r="F887" s="1" t="s">
        <v>31</v>
      </c>
      <c r="G887" s="1" t="s">
        <v>54</v>
      </c>
      <c r="H887" s="1">
        <v>2481</v>
      </c>
      <c r="I887" s="1">
        <v>3773.89</v>
      </c>
      <c r="J887" s="1" t="s">
        <v>42</v>
      </c>
      <c r="K887" s="1" t="s">
        <v>1093</v>
      </c>
      <c r="L887">
        <v>9</v>
      </c>
      <c r="M887" t="s">
        <v>19</v>
      </c>
    </row>
    <row r="888" spans="1:13" ht="15.75" customHeight="1" x14ac:dyDescent="0.35">
      <c r="A888" s="1" t="s">
        <v>38</v>
      </c>
      <c r="B888" s="1" t="s">
        <v>1005</v>
      </c>
      <c r="C888" s="1" t="s">
        <v>422</v>
      </c>
      <c r="D888" s="4">
        <v>44975</v>
      </c>
      <c r="E888" s="1" t="s">
        <v>77</v>
      </c>
      <c r="F888" s="1" t="s">
        <v>23</v>
      </c>
      <c r="G888" s="1" t="s">
        <v>48</v>
      </c>
      <c r="H888" s="1">
        <v>4057.03</v>
      </c>
      <c r="I888">
        <v>2575.83</v>
      </c>
      <c r="J888" s="1" t="s">
        <v>17</v>
      </c>
      <c r="K888" s="1" t="s">
        <v>18</v>
      </c>
      <c r="L888">
        <v>9</v>
      </c>
      <c r="M888" t="s">
        <v>65</v>
      </c>
    </row>
    <row r="889" spans="1:13" ht="15.75" customHeight="1" x14ac:dyDescent="0.35">
      <c r="A889" s="1" t="s">
        <v>102</v>
      </c>
      <c r="B889" t="s">
        <v>1083</v>
      </c>
      <c r="C889" s="1" t="s">
        <v>592</v>
      </c>
      <c r="D889" s="4">
        <v>45249</v>
      </c>
      <c r="E889" s="1" t="s">
        <v>16</v>
      </c>
      <c r="F889" t="s">
        <v>1085</v>
      </c>
      <c r="G889" s="1" t="s">
        <v>24</v>
      </c>
      <c r="H889">
        <v>2481</v>
      </c>
      <c r="I889" s="1">
        <v>4948.75</v>
      </c>
      <c r="J889" s="1" t="s">
        <v>17</v>
      </c>
      <c r="K889" s="1" t="s">
        <v>32</v>
      </c>
      <c r="L889">
        <v>9</v>
      </c>
      <c r="M889" t="s">
        <v>65</v>
      </c>
    </row>
    <row r="890" spans="1:13" ht="15.75" customHeight="1" x14ac:dyDescent="0.35">
      <c r="A890" s="1" t="s">
        <v>117</v>
      </c>
      <c r="B890" s="1" t="s">
        <v>1007</v>
      </c>
      <c r="C890" t="s">
        <v>1084</v>
      </c>
      <c r="D890" s="4">
        <v>45240</v>
      </c>
      <c r="E890" s="1" t="s">
        <v>85</v>
      </c>
      <c r="F890" s="1" t="s">
        <v>47</v>
      </c>
      <c r="G890" s="1" t="s">
        <v>41</v>
      </c>
      <c r="H890" s="1">
        <v>2481</v>
      </c>
      <c r="I890">
        <v>2575.83</v>
      </c>
      <c r="J890" s="1" t="s">
        <v>42</v>
      </c>
      <c r="K890" s="1" t="s">
        <v>18</v>
      </c>
      <c r="L890" s="1">
        <v>39</v>
      </c>
      <c r="M890" s="1" t="s">
        <v>65</v>
      </c>
    </row>
    <row r="891" spans="1:13" ht="15.75" customHeight="1" x14ac:dyDescent="0.35">
      <c r="A891" s="1" t="s">
        <v>247</v>
      </c>
      <c r="B891" t="s">
        <v>1083</v>
      </c>
      <c r="C891" s="1" t="s">
        <v>625</v>
      </c>
      <c r="D891" s="4">
        <v>44985</v>
      </c>
      <c r="E891" s="1" t="s">
        <v>16</v>
      </c>
      <c r="F891" s="1" t="s">
        <v>31</v>
      </c>
      <c r="G891" t="s">
        <v>1086</v>
      </c>
      <c r="H891" s="1">
        <v>684.55</v>
      </c>
      <c r="I891" s="1">
        <v>4837.51</v>
      </c>
      <c r="J891" s="1" t="s">
        <v>17</v>
      </c>
      <c r="K891" s="1" t="s">
        <v>26</v>
      </c>
      <c r="L891" s="1">
        <v>14</v>
      </c>
      <c r="M891" s="1" t="s">
        <v>19</v>
      </c>
    </row>
    <row r="892" spans="1:13" ht="15.75" customHeight="1" x14ac:dyDescent="0.35">
      <c r="A892" s="1" t="s">
        <v>168</v>
      </c>
      <c r="B892" t="s">
        <v>1083</v>
      </c>
      <c r="C892" s="1" t="s">
        <v>331</v>
      </c>
      <c r="D892" s="4">
        <v>44984</v>
      </c>
      <c r="E892" s="1" t="s">
        <v>16</v>
      </c>
      <c r="F892" t="s">
        <v>1085</v>
      </c>
      <c r="G892" s="1" t="s">
        <v>24</v>
      </c>
      <c r="H892" s="1">
        <v>3600.32</v>
      </c>
      <c r="I892">
        <v>2575.83</v>
      </c>
      <c r="J892" s="1" t="s">
        <v>17</v>
      </c>
      <c r="K892" s="1" t="s">
        <v>1093</v>
      </c>
      <c r="L892" s="1">
        <v>9</v>
      </c>
      <c r="M892" s="1" t="s">
        <v>19</v>
      </c>
    </row>
    <row r="893" spans="1:13" ht="15.75" customHeight="1" x14ac:dyDescent="0.35">
      <c r="A893" s="1" t="s">
        <v>242</v>
      </c>
      <c r="B893" t="s">
        <v>1083</v>
      </c>
      <c r="C893" t="s">
        <v>1084</v>
      </c>
      <c r="D893" s="4">
        <v>45030</v>
      </c>
      <c r="E893" s="1" t="s">
        <v>85</v>
      </c>
      <c r="F893" s="1" t="s">
        <v>93</v>
      </c>
      <c r="G893" s="1" t="s">
        <v>48</v>
      </c>
      <c r="H893">
        <v>2481</v>
      </c>
      <c r="I893">
        <v>2575.83</v>
      </c>
      <c r="J893" s="1" t="s">
        <v>25</v>
      </c>
      <c r="K893" s="1" t="s">
        <v>26</v>
      </c>
      <c r="L893" s="1">
        <v>16</v>
      </c>
      <c r="M893" s="1" t="s">
        <v>65</v>
      </c>
    </row>
    <row r="894" spans="1:13" ht="15.75" customHeight="1" x14ac:dyDescent="0.35">
      <c r="A894" s="1" t="s">
        <v>173</v>
      </c>
      <c r="B894" s="1" t="s">
        <v>950</v>
      </c>
      <c r="C894" t="s">
        <v>1084</v>
      </c>
      <c r="D894" s="4">
        <v>45075</v>
      </c>
      <c r="E894" s="1" t="s">
        <v>16</v>
      </c>
      <c r="F894" s="1" t="s">
        <v>31</v>
      </c>
      <c r="G894" s="1" t="s">
        <v>24</v>
      </c>
      <c r="H894" s="1">
        <v>2481</v>
      </c>
      <c r="I894">
        <v>2575.83</v>
      </c>
      <c r="J894" s="1" t="s">
        <v>17</v>
      </c>
      <c r="K894" s="1" t="s">
        <v>26</v>
      </c>
      <c r="L894">
        <v>9</v>
      </c>
      <c r="M894" t="s">
        <v>19</v>
      </c>
    </row>
    <row r="895" spans="1:13" ht="15.75" customHeight="1" x14ac:dyDescent="0.35">
      <c r="A895" s="1" t="s">
        <v>192</v>
      </c>
      <c r="B895" s="1" t="s">
        <v>578</v>
      </c>
      <c r="C895" s="1" t="s">
        <v>232</v>
      </c>
      <c r="D895" s="4">
        <v>45068</v>
      </c>
      <c r="E895" s="1" t="s">
        <v>92</v>
      </c>
      <c r="F895" s="1" t="s">
        <v>93</v>
      </c>
      <c r="G895" s="1" t="s">
        <v>48</v>
      </c>
      <c r="H895" s="1">
        <v>1141.8</v>
      </c>
      <c r="I895">
        <v>2575.83</v>
      </c>
      <c r="J895" s="1" t="s">
        <v>25</v>
      </c>
      <c r="K895" s="1" t="s">
        <v>1093</v>
      </c>
      <c r="L895">
        <v>9</v>
      </c>
      <c r="M895" t="s">
        <v>42</v>
      </c>
    </row>
    <row r="896" spans="1:13" ht="15.75" customHeight="1" x14ac:dyDescent="0.35">
      <c r="A896" s="1" t="s">
        <v>43</v>
      </c>
      <c r="B896" s="1" t="s">
        <v>694</v>
      </c>
      <c r="C896" t="s">
        <v>1084</v>
      </c>
      <c r="D896" s="4">
        <v>45194</v>
      </c>
      <c r="E896" s="1" t="s">
        <v>92</v>
      </c>
      <c r="F896" t="s">
        <v>1085</v>
      </c>
      <c r="G896" s="1" t="s">
        <v>54</v>
      </c>
      <c r="H896" s="1">
        <v>4007.33</v>
      </c>
      <c r="I896" s="1">
        <v>361.69</v>
      </c>
      <c r="J896" s="1" t="s">
        <v>17</v>
      </c>
      <c r="K896" s="1" t="s">
        <v>32</v>
      </c>
      <c r="L896" s="1">
        <v>16</v>
      </c>
      <c r="M896" s="1" t="s">
        <v>42</v>
      </c>
    </row>
    <row r="897" spans="1:13" ht="15.75" customHeight="1" x14ac:dyDescent="0.35">
      <c r="A897" s="1" t="s">
        <v>110</v>
      </c>
      <c r="B897" t="s">
        <v>1083</v>
      </c>
      <c r="C897" t="s">
        <v>1084</v>
      </c>
      <c r="D897" s="4">
        <v>45197</v>
      </c>
      <c r="E897" s="1" t="s">
        <v>92</v>
      </c>
      <c r="F897" t="s">
        <v>1085</v>
      </c>
      <c r="G897" s="1" t="s">
        <v>54</v>
      </c>
      <c r="H897" s="1">
        <v>2127.64</v>
      </c>
      <c r="I897" s="1">
        <v>2431.0500000000002</v>
      </c>
      <c r="J897" s="1" t="s">
        <v>25</v>
      </c>
      <c r="K897" s="1" t="s">
        <v>32</v>
      </c>
      <c r="L897">
        <v>9</v>
      </c>
      <c r="M897" t="s">
        <v>19</v>
      </c>
    </row>
    <row r="898" spans="1:13" ht="15.75" customHeight="1" x14ac:dyDescent="0.35">
      <c r="A898" s="1" t="s">
        <v>321</v>
      </c>
      <c r="B898" t="s">
        <v>1083</v>
      </c>
      <c r="C898" t="s">
        <v>1084</v>
      </c>
      <c r="D898" s="4">
        <v>45216</v>
      </c>
      <c r="E898" s="1" t="s">
        <v>92</v>
      </c>
      <c r="F898" s="1" t="s">
        <v>23</v>
      </c>
      <c r="G898" s="1" t="s">
        <v>48</v>
      </c>
      <c r="H898">
        <v>2481</v>
      </c>
      <c r="I898">
        <v>2575.83</v>
      </c>
      <c r="J898" s="1" t="s">
        <v>42</v>
      </c>
      <c r="K898" s="1" t="s">
        <v>1093</v>
      </c>
      <c r="L898" s="1">
        <v>48</v>
      </c>
      <c r="M898" s="1" t="s">
        <v>42</v>
      </c>
    </row>
    <row r="899" spans="1:13" ht="15.75" customHeight="1" x14ac:dyDescent="0.35">
      <c r="A899" s="1" t="s">
        <v>114</v>
      </c>
      <c r="B899" s="1" t="s">
        <v>688</v>
      </c>
      <c r="C899" s="1" t="s">
        <v>100</v>
      </c>
      <c r="D899" s="4">
        <v>44979</v>
      </c>
      <c r="E899" s="1" t="s">
        <v>85</v>
      </c>
      <c r="F899" s="1" t="s">
        <v>93</v>
      </c>
      <c r="G899" s="1" t="s">
        <v>48</v>
      </c>
      <c r="H899" s="1">
        <v>2481</v>
      </c>
      <c r="I899">
        <v>2575.83</v>
      </c>
      <c r="J899" s="1" t="s">
        <v>25</v>
      </c>
      <c r="K899" s="1" t="s">
        <v>26</v>
      </c>
      <c r="L899">
        <v>9</v>
      </c>
      <c r="M899" t="s">
        <v>65</v>
      </c>
    </row>
    <row r="900" spans="1:13" ht="15.75" customHeight="1" x14ac:dyDescent="0.35">
      <c r="A900" s="1" t="s">
        <v>137</v>
      </c>
      <c r="B900" s="1" t="s">
        <v>382</v>
      </c>
      <c r="C900" s="1" t="s">
        <v>278</v>
      </c>
      <c r="D900" s="4">
        <v>45038</v>
      </c>
      <c r="E900" s="1" t="s">
        <v>92</v>
      </c>
      <c r="F900" s="1" t="s">
        <v>23</v>
      </c>
      <c r="G900" s="1" t="s">
        <v>54</v>
      </c>
      <c r="H900" s="1">
        <v>2481</v>
      </c>
      <c r="I900" s="1">
        <v>4470.8599999999997</v>
      </c>
      <c r="J900" s="1" t="s">
        <v>42</v>
      </c>
      <c r="K900" s="1" t="s">
        <v>18</v>
      </c>
      <c r="L900" s="1">
        <v>39</v>
      </c>
      <c r="M900" s="1" t="s">
        <v>19</v>
      </c>
    </row>
    <row r="901" spans="1:13" ht="15.75" customHeight="1" x14ac:dyDescent="0.35">
      <c r="A901" s="1" t="s">
        <v>247</v>
      </c>
      <c r="B901" t="s">
        <v>1083</v>
      </c>
      <c r="C901" s="1" t="s">
        <v>133</v>
      </c>
      <c r="D901" s="4">
        <v>45170</v>
      </c>
      <c r="E901" s="1" t="s">
        <v>30</v>
      </c>
      <c r="F901" s="1" t="s">
        <v>93</v>
      </c>
      <c r="G901" t="s">
        <v>1086</v>
      </c>
      <c r="H901" s="1">
        <v>3798.77</v>
      </c>
      <c r="I901">
        <v>2575.83</v>
      </c>
      <c r="J901" s="1" t="s">
        <v>17</v>
      </c>
      <c r="K901" s="1" t="s">
        <v>1093</v>
      </c>
      <c r="L901">
        <v>9</v>
      </c>
      <c r="M901" t="s">
        <v>19</v>
      </c>
    </row>
    <row r="902" spans="1:13" ht="15.75" customHeight="1" x14ac:dyDescent="0.35">
      <c r="A902" s="1" t="s">
        <v>96</v>
      </c>
      <c r="B902" t="s">
        <v>1083</v>
      </c>
      <c r="C902" t="s">
        <v>1084</v>
      </c>
      <c r="D902" s="4">
        <v>45145</v>
      </c>
      <c r="E902" s="1" t="s">
        <v>92</v>
      </c>
      <c r="F902" s="1" t="s">
        <v>53</v>
      </c>
      <c r="G902" s="1" t="s">
        <v>54</v>
      </c>
      <c r="H902" s="1">
        <v>3494.9</v>
      </c>
      <c r="I902">
        <v>2575.83</v>
      </c>
      <c r="J902" s="1" t="s">
        <v>25</v>
      </c>
      <c r="K902" s="1" t="s">
        <v>32</v>
      </c>
      <c r="L902" s="1">
        <v>12</v>
      </c>
      <c r="M902" s="1" t="s">
        <v>65</v>
      </c>
    </row>
    <row r="903" spans="1:13" ht="15.75" customHeight="1" x14ac:dyDescent="0.35">
      <c r="A903" s="1" t="s">
        <v>198</v>
      </c>
      <c r="B903" s="1" t="s">
        <v>406</v>
      </c>
      <c r="C903" s="1" t="s">
        <v>183</v>
      </c>
      <c r="D903" s="4">
        <v>45027</v>
      </c>
      <c r="E903" s="1" t="s">
        <v>92</v>
      </c>
      <c r="F903" s="1" t="s">
        <v>53</v>
      </c>
      <c r="G903" s="1" t="s">
        <v>61</v>
      </c>
      <c r="H903">
        <v>2481</v>
      </c>
      <c r="I903">
        <v>2575.83</v>
      </c>
      <c r="J903" s="1" t="s">
        <v>17</v>
      </c>
      <c r="K903" s="1" t="s">
        <v>32</v>
      </c>
      <c r="L903">
        <v>9</v>
      </c>
      <c r="M903" t="s">
        <v>65</v>
      </c>
    </row>
    <row r="904" spans="1:13" ht="15.75" customHeight="1" x14ac:dyDescent="0.35">
      <c r="A904" s="1" t="s">
        <v>50</v>
      </c>
      <c r="B904" s="1" t="s">
        <v>1015</v>
      </c>
      <c r="C904" t="s">
        <v>1084</v>
      </c>
      <c r="D904" s="4">
        <v>44930</v>
      </c>
      <c r="E904" s="1" t="s">
        <v>16</v>
      </c>
      <c r="F904" s="1" t="s">
        <v>47</v>
      </c>
      <c r="G904" s="1" t="s">
        <v>24</v>
      </c>
      <c r="H904" s="1">
        <v>3437.98</v>
      </c>
      <c r="I904" s="1">
        <v>469.9</v>
      </c>
      <c r="J904" s="1" t="s">
        <v>17</v>
      </c>
      <c r="K904" s="1" t="s">
        <v>26</v>
      </c>
      <c r="L904">
        <v>9</v>
      </c>
      <c r="M904" t="s">
        <v>19</v>
      </c>
    </row>
    <row r="905" spans="1:13" ht="15.75" customHeight="1" x14ac:dyDescent="0.35">
      <c r="A905" s="1" t="s">
        <v>62</v>
      </c>
      <c r="B905" t="s">
        <v>1083</v>
      </c>
      <c r="C905" t="s">
        <v>1084</v>
      </c>
      <c r="D905" s="4">
        <v>45292</v>
      </c>
      <c r="E905" s="1" t="s">
        <v>16</v>
      </c>
      <c r="F905" s="1" t="s">
        <v>47</v>
      </c>
      <c r="G905" s="1" t="s">
        <v>54</v>
      </c>
      <c r="H905">
        <v>2481</v>
      </c>
      <c r="I905" s="1">
        <v>4437.62</v>
      </c>
      <c r="J905" s="1" t="s">
        <v>17</v>
      </c>
      <c r="K905" s="1" t="s">
        <v>57</v>
      </c>
      <c r="L905">
        <v>9</v>
      </c>
      <c r="M905" t="s">
        <v>65</v>
      </c>
    </row>
    <row r="906" spans="1:13" ht="15.75" customHeight="1" x14ac:dyDescent="0.35">
      <c r="A906" s="1" t="s">
        <v>215</v>
      </c>
      <c r="B906" s="1" t="s">
        <v>763</v>
      </c>
      <c r="C906" t="s">
        <v>1084</v>
      </c>
      <c r="D906" s="4">
        <v>45060</v>
      </c>
      <c r="E906" s="1" t="s">
        <v>85</v>
      </c>
      <c r="F906" t="s">
        <v>1085</v>
      </c>
      <c r="G906" s="1" t="s">
        <v>61</v>
      </c>
      <c r="H906" s="1">
        <v>2481</v>
      </c>
      <c r="I906">
        <v>2575.83</v>
      </c>
      <c r="J906" s="1" t="s">
        <v>25</v>
      </c>
      <c r="K906" s="1" t="s">
        <v>57</v>
      </c>
      <c r="L906">
        <v>9</v>
      </c>
      <c r="M906" t="s">
        <v>65</v>
      </c>
    </row>
    <row r="907" spans="1:13" ht="15.75" customHeight="1" x14ac:dyDescent="0.35">
      <c r="A907" s="1" t="s">
        <v>82</v>
      </c>
      <c r="B907" t="s">
        <v>1083</v>
      </c>
      <c r="C907" s="1" t="s">
        <v>592</v>
      </c>
      <c r="D907" s="4">
        <v>45129</v>
      </c>
      <c r="E907" s="1" t="s">
        <v>30</v>
      </c>
      <c r="F907" t="s">
        <v>1085</v>
      </c>
      <c r="G907" t="s">
        <v>1086</v>
      </c>
      <c r="H907">
        <v>2481</v>
      </c>
      <c r="I907" s="1">
        <v>2718.18</v>
      </c>
      <c r="J907" s="1" t="s">
        <v>17</v>
      </c>
      <c r="K907" s="1" t="s">
        <v>18</v>
      </c>
      <c r="L907" s="1">
        <v>58</v>
      </c>
      <c r="M907" s="1" t="s">
        <v>42</v>
      </c>
    </row>
    <row r="908" spans="1:13" ht="15.75" customHeight="1" x14ac:dyDescent="0.35">
      <c r="A908" s="1" t="s">
        <v>154</v>
      </c>
      <c r="B908" s="1" t="s">
        <v>1019</v>
      </c>
      <c r="C908" s="1" t="s">
        <v>453</v>
      </c>
      <c r="D908" s="4">
        <v>45100</v>
      </c>
      <c r="E908" s="1" t="s">
        <v>92</v>
      </c>
      <c r="F908" s="1" t="s">
        <v>31</v>
      </c>
      <c r="G908" s="1" t="s">
        <v>41</v>
      </c>
      <c r="H908" s="1">
        <v>2767.09</v>
      </c>
      <c r="I908" s="1">
        <v>2167.2199999999998</v>
      </c>
      <c r="J908" s="1" t="s">
        <v>17</v>
      </c>
      <c r="K908" s="1" t="s">
        <v>18</v>
      </c>
      <c r="L908">
        <v>9</v>
      </c>
      <c r="M908" t="s">
        <v>19</v>
      </c>
    </row>
    <row r="909" spans="1:13" ht="15.75" customHeight="1" x14ac:dyDescent="0.35">
      <c r="A909" s="1" t="s">
        <v>302</v>
      </c>
      <c r="B909" t="s">
        <v>1083</v>
      </c>
      <c r="C909" s="1" t="s">
        <v>218</v>
      </c>
      <c r="D909" s="4">
        <v>45143</v>
      </c>
      <c r="E909" s="1" t="s">
        <v>16</v>
      </c>
      <c r="F909" s="1" t="s">
        <v>31</v>
      </c>
      <c r="G909" s="1" t="s">
        <v>48</v>
      </c>
      <c r="H909">
        <v>2481</v>
      </c>
      <c r="I909" s="1">
        <v>198.3</v>
      </c>
      <c r="J909" s="1" t="s">
        <v>25</v>
      </c>
      <c r="K909" s="1" t="s">
        <v>26</v>
      </c>
      <c r="L909">
        <v>9</v>
      </c>
      <c r="M909" t="s">
        <v>19</v>
      </c>
    </row>
    <row r="910" spans="1:13" ht="15.75" customHeight="1" x14ac:dyDescent="0.35">
      <c r="A910" s="1" t="s">
        <v>96</v>
      </c>
      <c r="B910" s="1" t="s">
        <v>1021</v>
      </c>
      <c r="C910" s="1" t="s">
        <v>63</v>
      </c>
      <c r="D910" s="4">
        <v>45279</v>
      </c>
      <c r="E910" s="1" t="s">
        <v>85</v>
      </c>
      <c r="F910" s="1" t="s">
        <v>23</v>
      </c>
      <c r="G910" s="1" t="s">
        <v>48</v>
      </c>
      <c r="H910">
        <v>2481</v>
      </c>
      <c r="I910">
        <v>2575.83</v>
      </c>
      <c r="J910" s="1" t="s">
        <v>17</v>
      </c>
      <c r="K910" s="1" t="s">
        <v>26</v>
      </c>
      <c r="L910" s="1">
        <v>46</v>
      </c>
      <c r="M910" s="1" t="s">
        <v>19</v>
      </c>
    </row>
    <row r="911" spans="1:13" ht="15.75" customHeight="1" x14ac:dyDescent="0.35">
      <c r="A911" s="1" t="s">
        <v>58</v>
      </c>
      <c r="B911" t="s">
        <v>1083</v>
      </c>
      <c r="C911" t="s">
        <v>1084</v>
      </c>
      <c r="D911" s="4">
        <v>45076</v>
      </c>
      <c r="E911" s="1" t="s">
        <v>30</v>
      </c>
      <c r="F911" s="1" t="s">
        <v>93</v>
      </c>
      <c r="G911" s="1" t="s">
        <v>54</v>
      </c>
      <c r="H911" s="1">
        <v>2481</v>
      </c>
      <c r="I911">
        <v>2575.83</v>
      </c>
      <c r="J911" s="1" t="s">
        <v>25</v>
      </c>
      <c r="K911" s="1" t="s">
        <v>18</v>
      </c>
      <c r="L911">
        <v>9</v>
      </c>
      <c r="M911" t="s">
        <v>42</v>
      </c>
    </row>
    <row r="912" spans="1:13" ht="15.75" customHeight="1" x14ac:dyDescent="0.35">
      <c r="A912" s="1" t="s">
        <v>110</v>
      </c>
      <c r="B912" t="s">
        <v>1083</v>
      </c>
      <c r="C912" t="s">
        <v>1084</v>
      </c>
      <c r="D912" s="4">
        <v>45186</v>
      </c>
      <c r="E912" s="1" t="s">
        <v>16</v>
      </c>
      <c r="F912" s="1" t="s">
        <v>23</v>
      </c>
      <c r="G912" s="1" t="s">
        <v>54</v>
      </c>
      <c r="H912">
        <v>2481</v>
      </c>
      <c r="I912">
        <v>2575.83</v>
      </c>
      <c r="J912" s="1" t="s">
        <v>42</v>
      </c>
      <c r="K912" s="1" t="s">
        <v>32</v>
      </c>
      <c r="L912">
        <v>9</v>
      </c>
      <c r="M912" t="s">
        <v>42</v>
      </c>
    </row>
    <row r="913" spans="1:13" ht="15.75" customHeight="1" x14ac:dyDescent="0.35">
      <c r="A913" s="1" t="s">
        <v>38</v>
      </c>
      <c r="B913" s="1" t="s">
        <v>967</v>
      </c>
      <c r="C913" t="s">
        <v>1084</v>
      </c>
      <c r="D913" s="4">
        <v>44989</v>
      </c>
      <c r="E913" s="1" t="s">
        <v>85</v>
      </c>
      <c r="F913" s="1" t="s">
        <v>31</v>
      </c>
      <c r="G913" s="1" t="s">
        <v>54</v>
      </c>
      <c r="H913">
        <v>2481</v>
      </c>
      <c r="I913">
        <v>2575.83</v>
      </c>
      <c r="J913" s="1" t="s">
        <v>42</v>
      </c>
      <c r="K913" s="1" t="s">
        <v>18</v>
      </c>
      <c r="L913">
        <v>9</v>
      </c>
      <c r="M913" t="s">
        <v>65</v>
      </c>
    </row>
    <row r="914" spans="1:13" ht="15.75" customHeight="1" x14ac:dyDescent="0.35">
      <c r="A914" s="1" t="s">
        <v>168</v>
      </c>
      <c r="B914" t="s">
        <v>1083</v>
      </c>
      <c r="C914" s="1" t="s">
        <v>314</v>
      </c>
      <c r="D914" s="4">
        <v>45167</v>
      </c>
      <c r="E914" s="1" t="s">
        <v>85</v>
      </c>
      <c r="F914" s="1" t="s">
        <v>93</v>
      </c>
      <c r="G914" s="1" t="s">
        <v>48</v>
      </c>
      <c r="H914" s="1">
        <v>2481</v>
      </c>
      <c r="I914" s="1">
        <v>3109.55</v>
      </c>
      <c r="J914" s="1" t="s">
        <v>17</v>
      </c>
      <c r="K914" s="1" t="s">
        <v>57</v>
      </c>
      <c r="L914" s="1">
        <v>11</v>
      </c>
      <c r="M914" s="1" t="s">
        <v>19</v>
      </c>
    </row>
    <row r="915" spans="1:13" ht="15.75" customHeight="1" x14ac:dyDescent="0.35">
      <c r="A915" s="1" t="s">
        <v>82</v>
      </c>
      <c r="B915" s="1" t="s">
        <v>1023</v>
      </c>
      <c r="C915" t="s">
        <v>1084</v>
      </c>
      <c r="D915" s="4">
        <v>44990</v>
      </c>
      <c r="E915" s="1" t="s">
        <v>30</v>
      </c>
      <c r="F915" t="s">
        <v>1085</v>
      </c>
      <c r="G915" s="1" t="s">
        <v>61</v>
      </c>
      <c r="H915">
        <v>2481</v>
      </c>
      <c r="I915">
        <v>2575.83</v>
      </c>
      <c r="J915" s="1" t="s">
        <v>17</v>
      </c>
      <c r="K915" s="1" t="s">
        <v>57</v>
      </c>
      <c r="L915">
        <v>9</v>
      </c>
      <c r="M915" t="s">
        <v>65</v>
      </c>
    </row>
    <row r="916" spans="1:13" ht="15.75" customHeight="1" x14ac:dyDescent="0.35">
      <c r="A916" s="1" t="s">
        <v>170</v>
      </c>
      <c r="B916" s="1" t="s">
        <v>1025</v>
      </c>
      <c r="C916" s="1" t="s">
        <v>80</v>
      </c>
      <c r="D916" s="4">
        <v>45258</v>
      </c>
      <c r="E916" s="1" t="s">
        <v>92</v>
      </c>
      <c r="F916" s="1" t="s">
        <v>93</v>
      </c>
      <c r="G916" s="1" t="s">
        <v>24</v>
      </c>
      <c r="H916" s="1">
        <v>2481</v>
      </c>
      <c r="I916">
        <v>2575.83</v>
      </c>
      <c r="J916" s="1" t="s">
        <v>17</v>
      </c>
      <c r="K916" s="1" t="s">
        <v>57</v>
      </c>
      <c r="L916">
        <v>9</v>
      </c>
      <c r="M916" t="s">
        <v>19</v>
      </c>
    </row>
    <row r="917" spans="1:13" ht="15.75" customHeight="1" x14ac:dyDescent="0.35">
      <c r="A917" s="1" t="s">
        <v>70</v>
      </c>
      <c r="B917" s="1" t="s">
        <v>638</v>
      </c>
      <c r="C917" s="1" t="s">
        <v>792</v>
      </c>
      <c r="D917" s="4">
        <v>45115</v>
      </c>
      <c r="E917" s="1" t="s">
        <v>16</v>
      </c>
      <c r="F917" s="1" t="s">
        <v>47</v>
      </c>
      <c r="G917" s="1" t="s">
        <v>48</v>
      </c>
      <c r="H917">
        <v>2481</v>
      </c>
      <c r="I917" s="1">
        <v>456.73</v>
      </c>
      <c r="J917" s="1" t="s">
        <v>25</v>
      </c>
      <c r="K917" s="1" t="s">
        <v>32</v>
      </c>
      <c r="L917">
        <v>9</v>
      </c>
      <c r="M917" t="s">
        <v>65</v>
      </c>
    </row>
    <row r="918" spans="1:13" ht="15.75" customHeight="1" x14ac:dyDescent="0.35">
      <c r="A918" s="1" t="s">
        <v>132</v>
      </c>
      <c r="B918" t="s">
        <v>1083</v>
      </c>
      <c r="C918" t="s">
        <v>1084</v>
      </c>
      <c r="D918" s="4">
        <v>44948</v>
      </c>
      <c r="E918" s="1" t="s">
        <v>16</v>
      </c>
      <c r="F918" t="s">
        <v>1085</v>
      </c>
      <c r="G918" s="1" t="s">
        <v>41</v>
      </c>
      <c r="H918">
        <v>2481</v>
      </c>
      <c r="I918">
        <v>2575.83</v>
      </c>
      <c r="J918" s="1" t="s">
        <v>25</v>
      </c>
      <c r="K918" s="1" t="s">
        <v>26</v>
      </c>
      <c r="L918">
        <v>9</v>
      </c>
      <c r="M918" t="s">
        <v>19</v>
      </c>
    </row>
    <row r="919" spans="1:13" ht="15.75" customHeight="1" x14ac:dyDescent="0.35">
      <c r="A919" s="1" t="s">
        <v>70</v>
      </c>
      <c r="B919" t="s">
        <v>1083</v>
      </c>
      <c r="C919" s="1" t="s">
        <v>986</v>
      </c>
      <c r="D919" s="4">
        <v>45042</v>
      </c>
      <c r="E919" s="1" t="s">
        <v>30</v>
      </c>
      <c r="F919" t="s">
        <v>1085</v>
      </c>
      <c r="G919" s="1" t="s">
        <v>54</v>
      </c>
      <c r="H919">
        <v>2481</v>
      </c>
      <c r="I919" s="1">
        <v>3641.2</v>
      </c>
      <c r="J919" s="1" t="s">
        <v>25</v>
      </c>
      <c r="K919" s="1" t="s">
        <v>57</v>
      </c>
      <c r="L919">
        <v>9</v>
      </c>
      <c r="M919" t="s">
        <v>19</v>
      </c>
    </row>
    <row r="920" spans="1:13" ht="15.75" customHeight="1" x14ac:dyDescent="0.35">
      <c r="A920" s="1" t="s">
        <v>275</v>
      </c>
      <c r="B920" t="s">
        <v>1083</v>
      </c>
      <c r="C920" t="s">
        <v>1084</v>
      </c>
      <c r="D920" s="4">
        <v>45254</v>
      </c>
      <c r="E920" s="1" t="s">
        <v>85</v>
      </c>
      <c r="F920" s="1" t="s">
        <v>93</v>
      </c>
      <c r="G920" s="1" t="s">
        <v>24</v>
      </c>
      <c r="H920">
        <v>2481</v>
      </c>
      <c r="I920">
        <v>2575.83</v>
      </c>
      <c r="J920" s="1" t="s">
        <v>17</v>
      </c>
      <c r="K920" s="1" t="s">
        <v>32</v>
      </c>
      <c r="L920">
        <v>9</v>
      </c>
      <c r="M920" t="s">
        <v>19</v>
      </c>
    </row>
    <row r="921" spans="1:13" ht="15.75" customHeight="1" x14ac:dyDescent="0.35">
      <c r="A921" s="1" t="s">
        <v>78</v>
      </c>
      <c r="B921" s="1" t="s">
        <v>270</v>
      </c>
      <c r="C921" s="1" t="s">
        <v>119</v>
      </c>
      <c r="D921" s="4">
        <v>45291</v>
      </c>
      <c r="E921" s="1" t="s">
        <v>77</v>
      </c>
      <c r="F921" s="1" t="s">
        <v>47</v>
      </c>
      <c r="G921" s="1" t="s">
        <v>48</v>
      </c>
      <c r="H921" s="1">
        <v>3620.2</v>
      </c>
      <c r="I921" s="1">
        <v>3051.96</v>
      </c>
      <c r="J921" s="1" t="s">
        <v>17</v>
      </c>
      <c r="K921" s="1" t="s">
        <v>57</v>
      </c>
      <c r="L921">
        <v>9</v>
      </c>
      <c r="M921" t="s">
        <v>65</v>
      </c>
    </row>
    <row r="922" spans="1:13" ht="15.75" customHeight="1" x14ac:dyDescent="0.35">
      <c r="A922" s="1" t="s">
        <v>117</v>
      </c>
      <c r="B922" s="1" t="s">
        <v>1027</v>
      </c>
      <c r="C922" t="s">
        <v>1084</v>
      </c>
      <c r="D922" s="4">
        <v>45042</v>
      </c>
      <c r="E922" s="1" t="s">
        <v>16</v>
      </c>
      <c r="F922" s="1" t="s">
        <v>23</v>
      </c>
      <c r="G922" s="1" t="s">
        <v>61</v>
      </c>
      <c r="H922" s="1">
        <v>2481</v>
      </c>
      <c r="I922">
        <v>2575.83</v>
      </c>
      <c r="J922" s="1" t="s">
        <v>25</v>
      </c>
      <c r="K922" s="1" t="s">
        <v>26</v>
      </c>
      <c r="L922">
        <v>9</v>
      </c>
      <c r="M922" t="s">
        <v>65</v>
      </c>
    </row>
    <row r="923" spans="1:13" ht="15.75" customHeight="1" x14ac:dyDescent="0.35">
      <c r="A923" s="1" t="s">
        <v>202</v>
      </c>
      <c r="B923" t="s">
        <v>1083</v>
      </c>
      <c r="C923" s="1" t="s">
        <v>530</v>
      </c>
      <c r="D923" s="4">
        <v>44932</v>
      </c>
      <c r="E923" s="1" t="s">
        <v>85</v>
      </c>
      <c r="F923" s="1" t="s">
        <v>23</v>
      </c>
      <c r="G923" s="1" t="s">
        <v>54</v>
      </c>
      <c r="H923" s="1">
        <v>578.39</v>
      </c>
      <c r="I923">
        <v>2575.83</v>
      </c>
      <c r="J923" s="1" t="s">
        <v>17</v>
      </c>
      <c r="K923" s="1" t="s">
        <v>26</v>
      </c>
      <c r="L923">
        <v>9</v>
      </c>
      <c r="M923" t="s">
        <v>65</v>
      </c>
    </row>
    <row r="924" spans="1:13" ht="15.75" customHeight="1" x14ac:dyDescent="0.35">
      <c r="A924" s="1" t="s">
        <v>114</v>
      </c>
      <c r="B924" t="s">
        <v>1083</v>
      </c>
      <c r="C924" t="s">
        <v>1084</v>
      </c>
      <c r="D924" s="4">
        <v>45062</v>
      </c>
      <c r="E924" s="1" t="s">
        <v>16</v>
      </c>
      <c r="F924" s="1" t="s">
        <v>53</v>
      </c>
      <c r="G924" s="1" t="s">
        <v>61</v>
      </c>
      <c r="H924">
        <v>2481</v>
      </c>
      <c r="I924">
        <v>2575.83</v>
      </c>
      <c r="J924" s="1" t="s">
        <v>42</v>
      </c>
      <c r="K924" s="1" t="s">
        <v>18</v>
      </c>
      <c r="L924" s="1">
        <v>56</v>
      </c>
      <c r="M924" s="1" t="s">
        <v>19</v>
      </c>
    </row>
    <row r="925" spans="1:13" ht="15.75" customHeight="1" x14ac:dyDescent="0.35">
      <c r="A925" s="1" t="s">
        <v>192</v>
      </c>
      <c r="B925" s="1" t="s">
        <v>575</v>
      </c>
      <c r="C925" t="s">
        <v>1084</v>
      </c>
      <c r="D925" s="4">
        <v>44982</v>
      </c>
      <c r="E925" s="1" t="s">
        <v>85</v>
      </c>
      <c r="F925" s="1" t="s">
        <v>53</v>
      </c>
      <c r="G925" s="1" t="s">
        <v>54</v>
      </c>
      <c r="H925">
        <v>2481</v>
      </c>
      <c r="I925">
        <v>2575.83</v>
      </c>
      <c r="J925" s="1" t="s">
        <v>17</v>
      </c>
      <c r="K925" s="1" t="s">
        <v>18</v>
      </c>
      <c r="L925">
        <v>9</v>
      </c>
      <c r="M925" t="s">
        <v>65</v>
      </c>
    </row>
    <row r="926" spans="1:13" ht="15.75" customHeight="1" x14ac:dyDescent="0.35">
      <c r="A926" s="1" t="s">
        <v>187</v>
      </c>
      <c r="B926" t="s">
        <v>1083</v>
      </c>
      <c r="C926" s="1" t="s">
        <v>613</v>
      </c>
      <c r="D926" s="4">
        <v>45049</v>
      </c>
      <c r="E926" s="1" t="s">
        <v>92</v>
      </c>
      <c r="F926" s="1" t="s">
        <v>31</v>
      </c>
      <c r="G926" s="1" t="s">
        <v>48</v>
      </c>
      <c r="H926" s="1">
        <v>429.89</v>
      </c>
      <c r="I926">
        <v>2575.83</v>
      </c>
      <c r="J926" s="1" t="s">
        <v>42</v>
      </c>
      <c r="K926" s="1" t="s">
        <v>18</v>
      </c>
      <c r="L926">
        <v>9</v>
      </c>
      <c r="M926" t="s">
        <v>65</v>
      </c>
    </row>
    <row r="927" spans="1:13" ht="15.75" customHeight="1" x14ac:dyDescent="0.35">
      <c r="A927" s="1" t="s">
        <v>148</v>
      </c>
      <c r="B927" t="s">
        <v>1083</v>
      </c>
      <c r="C927" s="1" t="s">
        <v>150</v>
      </c>
      <c r="D927" s="4">
        <v>45048</v>
      </c>
      <c r="E927" s="1" t="s">
        <v>77</v>
      </c>
      <c r="F927" s="1" t="s">
        <v>53</v>
      </c>
      <c r="G927" t="s">
        <v>1086</v>
      </c>
      <c r="H927" s="1">
        <v>279.47000000000003</v>
      </c>
      <c r="I927" s="1">
        <v>626.74</v>
      </c>
      <c r="J927" s="1" t="s">
        <v>25</v>
      </c>
      <c r="K927" s="1" t="s">
        <v>26</v>
      </c>
      <c r="L927" s="1">
        <v>60</v>
      </c>
      <c r="M927" s="1" t="s">
        <v>65</v>
      </c>
    </row>
    <row r="928" spans="1:13" ht="15.75" customHeight="1" x14ac:dyDescent="0.35">
      <c r="A928" s="1" t="s">
        <v>82</v>
      </c>
      <c r="B928" s="1" t="s">
        <v>691</v>
      </c>
      <c r="C928" t="s">
        <v>1084</v>
      </c>
      <c r="D928" s="4">
        <v>45130</v>
      </c>
      <c r="E928" s="1" t="s">
        <v>77</v>
      </c>
      <c r="F928" s="1" t="s">
        <v>93</v>
      </c>
      <c r="G928" t="s">
        <v>1086</v>
      </c>
      <c r="H928">
        <v>2481</v>
      </c>
      <c r="I928" s="1">
        <v>544.73</v>
      </c>
      <c r="J928" s="1" t="s">
        <v>17</v>
      </c>
      <c r="K928" s="1" t="s">
        <v>32</v>
      </c>
      <c r="L928">
        <v>9</v>
      </c>
      <c r="M928" t="s">
        <v>19</v>
      </c>
    </row>
    <row r="929" spans="1:13" ht="15.75" customHeight="1" x14ac:dyDescent="0.35">
      <c r="A929" s="1" t="s">
        <v>82</v>
      </c>
      <c r="B929" t="s">
        <v>1083</v>
      </c>
      <c r="C929" s="1" t="s">
        <v>228</v>
      </c>
      <c r="D929" s="4">
        <v>45219</v>
      </c>
      <c r="E929" s="1" t="s">
        <v>16</v>
      </c>
      <c r="F929" s="1" t="s">
        <v>53</v>
      </c>
      <c r="G929" s="1" t="s">
        <v>48</v>
      </c>
      <c r="H929">
        <v>2481</v>
      </c>
      <c r="I929">
        <v>2575.83</v>
      </c>
      <c r="J929" s="1" t="s">
        <v>42</v>
      </c>
      <c r="K929" s="1" t="s">
        <v>32</v>
      </c>
      <c r="L929" s="1">
        <v>47</v>
      </c>
      <c r="M929" s="1" t="s">
        <v>19</v>
      </c>
    </row>
    <row r="930" spans="1:13" ht="15.75" customHeight="1" x14ac:dyDescent="0.35">
      <c r="A930" s="1" t="s">
        <v>170</v>
      </c>
      <c r="B930" t="s">
        <v>1083</v>
      </c>
      <c r="C930" t="s">
        <v>1084</v>
      </c>
      <c r="D930" s="4">
        <v>45026</v>
      </c>
      <c r="E930" s="1" t="s">
        <v>77</v>
      </c>
      <c r="F930" t="s">
        <v>1085</v>
      </c>
      <c r="G930" s="1" t="s">
        <v>54</v>
      </c>
      <c r="H930">
        <v>2481</v>
      </c>
      <c r="I930" s="1">
        <v>2066.91</v>
      </c>
      <c r="J930" s="1" t="s">
        <v>17</v>
      </c>
      <c r="K930" s="1" t="s">
        <v>32</v>
      </c>
      <c r="L930">
        <v>9</v>
      </c>
      <c r="M930" t="s">
        <v>19</v>
      </c>
    </row>
    <row r="931" spans="1:13" ht="15.75" customHeight="1" x14ac:dyDescent="0.35">
      <c r="A931" s="1" t="s">
        <v>82</v>
      </c>
      <c r="B931" t="s">
        <v>1083</v>
      </c>
      <c r="C931" t="s">
        <v>1084</v>
      </c>
      <c r="D931" s="4">
        <v>44936</v>
      </c>
      <c r="E931" s="1" t="s">
        <v>85</v>
      </c>
      <c r="F931" s="1" t="s">
        <v>23</v>
      </c>
      <c r="G931" s="1" t="s">
        <v>54</v>
      </c>
      <c r="H931" s="1">
        <v>1872.8</v>
      </c>
      <c r="I931">
        <v>2575.83</v>
      </c>
      <c r="J931" s="1" t="s">
        <v>17</v>
      </c>
      <c r="K931" s="1" t="s">
        <v>18</v>
      </c>
      <c r="L931" s="1">
        <v>59</v>
      </c>
      <c r="M931" s="1" t="s">
        <v>65</v>
      </c>
    </row>
    <row r="932" spans="1:13" ht="15.75" customHeight="1" x14ac:dyDescent="0.35">
      <c r="A932" s="1" t="s">
        <v>247</v>
      </c>
      <c r="B932" s="1" t="s">
        <v>631</v>
      </c>
      <c r="C932" t="s">
        <v>1084</v>
      </c>
      <c r="D932" s="4">
        <v>45119</v>
      </c>
      <c r="E932" s="1" t="s">
        <v>92</v>
      </c>
      <c r="F932" s="1" t="s">
        <v>47</v>
      </c>
      <c r="G932" t="s">
        <v>1086</v>
      </c>
      <c r="H932" s="1">
        <v>2481</v>
      </c>
      <c r="I932">
        <v>2575.83</v>
      </c>
      <c r="J932" s="1" t="s">
        <v>42</v>
      </c>
      <c r="K932" s="1" t="s">
        <v>18</v>
      </c>
      <c r="L932">
        <v>9</v>
      </c>
      <c r="M932" t="s">
        <v>42</v>
      </c>
    </row>
    <row r="933" spans="1:13" ht="15.75" customHeight="1" x14ac:dyDescent="0.35">
      <c r="A933" s="1" t="s">
        <v>33</v>
      </c>
      <c r="B933" t="s">
        <v>1083</v>
      </c>
      <c r="C933" s="1" t="s">
        <v>455</v>
      </c>
      <c r="D933" s="4">
        <v>45216</v>
      </c>
      <c r="E933" s="1" t="s">
        <v>16</v>
      </c>
      <c r="F933" s="1" t="s">
        <v>47</v>
      </c>
      <c r="G933" s="1" t="s">
        <v>41</v>
      </c>
      <c r="H933">
        <v>2481</v>
      </c>
      <c r="I933" s="1">
        <v>4458.17</v>
      </c>
      <c r="J933" s="1" t="s">
        <v>17</v>
      </c>
      <c r="K933" s="1" t="s">
        <v>18</v>
      </c>
      <c r="L933" s="1">
        <v>18</v>
      </c>
      <c r="M933" s="1" t="s">
        <v>65</v>
      </c>
    </row>
    <row r="934" spans="1:13" ht="15.75" customHeight="1" x14ac:dyDescent="0.35">
      <c r="A934" s="1" t="s">
        <v>78</v>
      </c>
      <c r="B934" t="s">
        <v>1083</v>
      </c>
      <c r="C934" t="s">
        <v>1084</v>
      </c>
      <c r="D934" s="4">
        <v>44938</v>
      </c>
      <c r="E934" s="1" t="s">
        <v>77</v>
      </c>
      <c r="F934" s="1" t="s">
        <v>93</v>
      </c>
      <c r="G934" s="1" t="s">
        <v>48</v>
      </c>
      <c r="H934" s="1">
        <v>2481</v>
      </c>
      <c r="I934" s="1">
        <v>4863.1000000000004</v>
      </c>
      <c r="J934" s="1" t="s">
        <v>25</v>
      </c>
      <c r="K934" s="1" t="s">
        <v>18</v>
      </c>
      <c r="L934" s="1">
        <v>47</v>
      </c>
      <c r="M934" s="1" t="s">
        <v>19</v>
      </c>
    </row>
    <row r="935" spans="1:13" ht="15.75" customHeight="1" x14ac:dyDescent="0.35">
      <c r="A935" s="1" t="s">
        <v>20</v>
      </c>
      <c r="B935" s="1" t="s">
        <v>1033</v>
      </c>
      <c r="C935" s="1" t="s">
        <v>354</v>
      </c>
      <c r="D935" s="4">
        <v>45266</v>
      </c>
      <c r="E935" s="1" t="s">
        <v>92</v>
      </c>
      <c r="F935" t="s">
        <v>1085</v>
      </c>
      <c r="G935" s="1" t="s">
        <v>24</v>
      </c>
      <c r="H935">
        <v>2481</v>
      </c>
      <c r="I935">
        <v>2575.83</v>
      </c>
      <c r="J935" s="1" t="s">
        <v>25</v>
      </c>
      <c r="K935" s="1" t="s">
        <v>32</v>
      </c>
      <c r="L935" s="1">
        <v>52</v>
      </c>
      <c r="M935" s="1" t="s">
        <v>19</v>
      </c>
    </row>
    <row r="936" spans="1:13" ht="15.75" customHeight="1" x14ac:dyDescent="0.35">
      <c r="A936" s="1" t="s">
        <v>70</v>
      </c>
      <c r="B936" s="1" t="s">
        <v>898</v>
      </c>
      <c r="C936" t="s">
        <v>1084</v>
      </c>
      <c r="D936" s="4">
        <v>45101</v>
      </c>
      <c r="E936" s="1" t="s">
        <v>77</v>
      </c>
      <c r="F936" s="1" t="s">
        <v>47</v>
      </c>
      <c r="G936" s="1" t="s">
        <v>41</v>
      </c>
      <c r="H936" s="1">
        <v>2481</v>
      </c>
      <c r="I936" s="1">
        <v>3321.55</v>
      </c>
      <c r="J936" s="1" t="s">
        <v>17</v>
      </c>
      <c r="K936" s="1" t="s">
        <v>1093</v>
      </c>
      <c r="L936">
        <v>9</v>
      </c>
      <c r="M936" t="s">
        <v>19</v>
      </c>
    </row>
    <row r="937" spans="1:13" ht="15.75" customHeight="1" x14ac:dyDescent="0.35">
      <c r="A937" s="1" t="s">
        <v>70</v>
      </c>
      <c r="B937" s="1" t="s">
        <v>1034</v>
      </c>
      <c r="C937" s="1" t="s">
        <v>620</v>
      </c>
      <c r="D937" s="4">
        <v>45214</v>
      </c>
      <c r="E937" s="1" t="s">
        <v>16</v>
      </c>
      <c r="F937" t="s">
        <v>1085</v>
      </c>
      <c r="G937" s="1" t="s">
        <v>24</v>
      </c>
      <c r="H937">
        <v>2481</v>
      </c>
      <c r="I937" s="1">
        <v>2878.96</v>
      </c>
      <c r="J937" s="1" t="s">
        <v>42</v>
      </c>
      <c r="K937" s="1" t="s">
        <v>18</v>
      </c>
      <c r="L937">
        <v>9</v>
      </c>
      <c r="M937" t="s">
        <v>65</v>
      </c>
    </row>
    <row r="938" spans="1:13" ht="15.75" customHeight="1" x14ac:dyDescent="0.35">
      <c r="A938" s="1" t="s">
        <v>73</v>
      </c>
      <c r="B938" s="1" t="s">
        <v>1035</v>
      </c>
      <c r="C938" t="s">
        <v>1084</v>
      </c>
      <c r="D938" s="4">
        <v>45187</v>
      </c>
      <c r="E938" s="1" t="s">
        <v>85</v>
      </c>
      <c r="F938" s="1" t="s">
        <v>23</v>
      </c>
      <c r="G938" s="1" t="s">
        <v>24</v>
      </c>
      <c r="H938" s="1">
        <v>2418.17</v>
      </c>
      <c r="I938">
        <v>2575.83</v>
      </c>
      <c r="J938" s="1" t="s">
        <v>25</v>
      </c>
      <c r="K938" s="1" t="s">
        <v>57</v>
      </c>
      <c r="L938">
        <v>9</v>
      </c>
      <c r="M938" t="s">
        <v>19</v>
      </c>
    </row>
    <row r="939" spans="1:13" ht="15.75" customHeight="1" x14ac:dyDescent="0.35">
      <c r="A939" s="1" t="s">
        <v>82</v>
      </c>
      <c r="B939" t="s">
        <v>1083</v>
      </c>
      <c r="C939" s="1" t="s">
        <v>613</v>
      </c>
      <c r="D939" s="4">
        <v>44965</v>
      </c>
      <c r="E939" s="1" t="s">
        <v>85</v>
      </c>
      <c r="F939" s="1" t="s">
        <v>47</v>
      </c>
      <c r="G939" s="1" t="s">
        <v>41</v>
      </c>
      <c r="H939" s="1">
        <v>4126.62</v>
      </c>
      <c r="I939">
        <v>2575.83</v>
      </c>
      <c r="J939" s="1" t="s">
        <v>17</v>
      </c>
      <c r="K939" s="1" t="s">
        <v>26</v>
      </c>
      <c r="L939">
        <v>9</v>
      </c>
      <c r="M939" t="s">
        <v>19</v>
      </c>
    </row>
    <row r="940" spans="1:13" ht="15.75" customHeight="1" x14ac:dyDescent="0.35">
      <c r="A940" s="1" t="s">
        <v>96</v>
      </c>
      <c r="B940" t="s">
        <v>1083</v>
      </c>
      <c r="C940" s="1" t="s">
        <v>161</v>
      </c>
      <c r="D940" s="4">
        <v>44954</v>
      </c>
      <c r="E940" s="1" t="s">
        <v>85</v>
      </c>
      <c r="F940" s="1" t="s">
        <v>93</v>
      </c>
      <c r="G940" t="s">
        <v>1086</v>
      </c>
      <c r="H940" s="1">
        <v>2481</v>
      </c>
      <c r="I940">
        <v>2575.83</v>
      </c>
      <c r="J940" s="1" t="s">
        <v>17</v>
      </c>
      <c r="K940" s="1" t="s">
        <v>26</v>
      </c>
      <c r="L940">
        <v>9</v>
      </c>
      <c r="M940" t="s">
        <v>65</v>
      </c>
    </row>
    <row r="941" spans="1:13" ht="15.75" customHeight="1" x14ac:dyDescent="0.35">
      <c r="A941" s="1" t="s">
        <v>13</v>
      </c>
      <c r="B941" t="s">
        <v>1083</v>
      </c>
      <c r="C941" t="s">
        <v>1084</v>
      </c>
      <c r="D941" s="4">
        <v>45153</v>
      </c>
      <c r="E941" s="1" t="s">
        <v>77</v>
      </c>
      <c r="F941" s="1" t="s">
        <v>93</v>
      </c>
      <c r="G941" s="1" t="s">
        <v>61</v>
      </c>
      <c r="H941">
        <v>2481</v>
      </c>
      <c r="I941">
        <v>2575.83</v>
      </c>
      <c r="J941" s="1" t="s">
        <v>17</v>
      </c>
      <c r="K941" s="1" t="s">
        <v>57</v>
      </c>
      <c r="L941">
        <v>9</v>
      </c>
      <c r="M941" t="s">
        <v>19</v>
      </c>
    </row>
    <row r="942" spans="1:13" ht="15.75" customHeight="1" x14ac:dyDescent="0.35">
      <c r="A942" s="1" t="s">
        <v>20</v>
      </c>
      <c r="B942" t="s">
        <v>1083</v>
      </c>
      <c r="C942" t="s">
        <v>1084</v>
      </c>
      <c r="D942" s="4">
        <v>45009</v>
      </c>
      <c r="E942" s="1" t="s">
        <v>16</v>
      </c>
      <c r="F942" s="1" t="s">
        <v>47</v>
      </c>
      <c r="G942" s="1" t="s">
        <v>61</v>
      </c>
      <c r="H942" s="1">
        <v>3857.11</v>
      </c>
      <c r="I942">
        <v>2575.83</v>
      </c>
      <c r="J942" s="1" t="s">
        <v>17</v>
      </c>
      <c r="K942" s="1" t="s">
        <v>32</v>
      </c>
      <c r="L942" s="1">
        <v>4</v>
      </c>
      <c r="M942" s="1" t="s">
        <v>65</v>
      </c>
    </row>
    <row r="943" spans="1:13" ht="15.75" customHeight="1" x14ac:dyDescent="0.35">
      <c r="A943" s="1" t="s">
        <v>212</v>
      </c>
      <c r="B943" s="1" t="s">
        <v>1039</v>
      </c>
      <c r="C943" s="1" t="s">
        <v>816</v>
      </c>
      <c r="D943" s="4">
        <v>45087</v>
      </c>
      <c r="E943" s="1" t="s">
        <v>92</v>
      </c>
      <c r="F943" s="1" t="s">
        <v>53</v>
      </c>
      <c r="G943" s="1" t="s">
        <v>61</v>
      </c>
      <c r="H943" s="1">
        <v>2481</v>
      </c>
      <c r="I943" s="1">
        <v>102.67</v>
      </c>
      <c r="J943" s="1" t="s">
        <v>25</v>
      </c>
      <c r="K943" s="1" t="s">
        <v>26</v>
      </c>
      <c r="L943" s="1">
        <v>38</v>
      </c>
      <c r="M943" s="1" t="s">
        <v>19</v>
      </c>
    </row>
    <row r="944" spans="1:13" ht="15.75" customHeight="1" x14ac:dyDescent="0.35">
      <c r="A944" s="1" t="s">
        <v>33</v>
      </c>
      <c r="B944" s="1" t="s">
        <v>14</v>
      </c>
      <c r="C944" t="s">
        <v>1084</v>
      </c>
      <c r="D944" s="4">
        <v>45189</v>
      </c>
      <c r="E944" s="1" t="s">
        <v>85</v>
      </c>
      <c r="F944" s="1" t="s">
        <v>53</v>
      </c>
      <c r="G944" s="1" t="s">
        <v>48</v>
      </c>
      <c r="H944" s="1">
        <v>2481</v>
      </c>
      <c r="I944" s="1">
        <v>650.26</v>
      </c>
      <c r="J944" s="1" t="s">
        <v>25</v>
      </c>
      <c r="K944" s="1" t="s">
        <v>26</v>
      </c>
      <c r="L944">
        <v>9</v>
      </c>
      <c r="M944" t="s">
        <v>42</v>
      </c>
    </row>
    <row r="945" spans="1:13" ht="15.75" customHeight="1" x14ac:dyDescent="0.35">
      <c r="A945" s="1" t="s">
        <v>261</v>
      </c>
      <c r="B945" t="s">
        <v>1083</v>
      </c>
      <c r="C945" s="1" t="s">
        <v>463</v>
      </c>
      <c r="D945" s="4">
        <v>45013</v>
      </c>
      <c r="E945" s="1" t="s">
        <v>85</v>
      </c>
      <c r="F945" s="1" t="s">
        <v>53</v>
      </c>
      <c r="G945" s="1" t="s">
        <v>41</v>
      </c>
      <c r="H945" s="1">
        <v>2481</v>
      </c>
      <c r="I945" s="1">
        <v>1413.19</v>
      </c>
      <c r="J945" s="1" t="s">
        <v>17</v>
      </c>
      <c r="K945" s="1" t="s">
        <v>1093</v>
      </c>
      <c r="L945">
        <v>9</v>
      </c>
      <c r="M945" t="s">
        <v>19</v>
      </c>
    </row>
    <row r="946" spans="1:13" ht="15.75" customHeight="1" x14ac:dyDescent="0.35">
      <c r="A946" s="1" t="s">
        <v>108</v>
      </c>
      <c r="B946" t="s">
        <v>1083</v>
      </c>
      <c r="C946" s="1" t="s">
        <v>358</v>
      </c>
      <c r="D946" s="4">
        <v>45182</v>
      </c>
      <c r="E946" s="1" t="s">
        <v>30</v>
      </c>
      <c r="F946" s="1" t="s">
        <v>93</v>
      </c>
      <c r="G946" s="1" t="s">
        <v>24</v>
      </c>
      <c r="H946" s="1">
        <v>422.13</v>
      </c>
      <c r="I946">
        <v>2575.83</v>
      </c>
      <c r="J946" s="1" t="s">
        <v>17</v>
      </c>
      <c r="K946" s="1" t="s">
        <v>18</v>
      </c>
      <c r="L946">
        <v>9</v>
      </c>
      <c r="M946" t="s">
        <v>65</v>
      </c>
    </row>
    <row r="947" spans="1:13" ht="15.75" customHeight="1" x14ac:dyDescent="0.35">
      <c r="A947" s="1" t="s">
        <v>247</v>
      </c>
      <c r="B947" t="s">
        <v>1083</v>
      </c>
      <c r="C947" t="s">
        <v>1084</v>
      </c>
      <c r="D947" s="4">
        <v>45278</v>
      </c>
      <c r="E947" s="1" t="s">
        <v>85</v>
      </c>
      <c r="F947" s="1" t="s">
        <v>53</v>
      </c>
      <c r="G947" s="1" t="s">
        <v>24</v>
      </c>
      <c r="H947">
        <v>2481</v>
      </c>
      <c r="I947">
        <v>2575.83</v>
      </c>
      <c r="J947" s="1" t="s">
        <v>17</v>
      </c>
      <c r="K947" s="1" t="s">
        <v>57</v>
      </c>
      <c r="L947">
        <v>9</v>
      </c>
      <c r="M947" t="s">
        <v>65</v>
      </c>
    </row>
    <row r="948" spans="1:13" ht="15.75" customHeight="1" x14ac:dyDescent="0.35">
      <c r="A948" s="1" t="s">
        <v>105</v>
      </c>
      <c r="B948" s="1" t="s">
        <v>1043</v>
      </c>
      <c r="C948" t="s">
        <v>1084</v>
      </c>
      <c r="D948" s="4">
        <v>45286</v>
      </c>
      <c r="E948" s="1" t="s">
        <v>30</v>
      </c>
      <c r="F948" t="s">
        <v>1085</v>
      </c>
      <c r="G948" t="s">
        <v>1086</v>
      </c>
      <c r="H948" s="1">
        <v>2172.0100000000002</v>
      </c>
      <c r="I948">
        <v>2575.83</v>
      </c>
      <c r="J948" s="1" t="s">
        <v>25</v>
      </c>
      <c r="K948" s="1" t="s">
        <v>1093</v>
      </c>
      <c r="L948">
        <v>9</v>
      </c>
      <c r="M948" t="s">
        <v>65</v>
      </c>
    </row>
    <row r="949" spans="1:13" ht="15.75" customHeight="1" x14ac:dyDescent="0.35">
      <c r="A949" s="1" t="s">
        <v>78</v>
      </c>
      <c r="B949" s="1" t="s">
        <v>1045</v>
      </c>
      <c r="C949" t="s">
        <v>1084</v>
      </c>
      <c r="D949" s="4">
        <v>44928</v>
      </c>
      <c r="E949" s="1" t="s">
        <v>16</v>
      </c>
      <c r="F949" t="s">
        <v>1085</v>
      </c>
      <c r="G949" s="1" t="s">
        <v>24</v>
      </c>
      <c r="H949">
        <v>2481</v>
      </c>
      <c r="I949" s="1">
        <v>1673.06</v>
      </c>
      <c r="J949" s="1" t="s">
        <v>25</v>
      </c>
      <c r="K949" s="1" t="s">
        <v>1093</v>
      </c>
      <c r="L949">
        <v>9</v>
      </c>
      <c r="M949" t="s">
        <v>19</v>
      </c>
    </row>
    <row r="950" spans="1:13" ht="15.75" customHeight="1" x14ac:dyDescent="0.35">
      <c r="A950" s="1" t="s">
        <v>89</v>
      </c>
      <c r="B950" t="s">
        <v>1083</v>
      </c>
      <c r="C950" t="s">
        <v>1084</v>
      </c>
      <c r="D950" s="4">
        <v>45278</v>
      </c>
      <c r="E950" s="1" t="s">
        <v>30</v>
      </c>
      <c r="F950" s="1" t="s">
        <v>93</v>
      </c>
      <c r="G950" t="s">
        <v>1086</v>
      </c>
      <c r="H950">
        <v>2481</v>
      </c>
      <c r="I950">
        <v>2575.83</v>
      </c>
      <c r="J950" s="1" t="s">
        <v>17</v>
      </c>
      <c r="K950" s="1" t="s">
        <v>32</v>
      </c>
      <c r="L950">
        <v>9</v>
      </c>
      <c r="M950" t="s">
        <v>65</v>
      </c>
    </row>
    <row r="951" spans="1:13" ht="15.75" customHeight="1" x14ac:dyDescent="0.35">
      <c r="A951" s="1" t="s">
        <v>231</v>
      </c>
      <c r="B951" s="1" t="s">
        <v>86</v>
      </c>
      <c r="C951" t="s">
        <v>1084</v>
      </c>
      <c r="D951" s="4">
        <v>45246</v>
      </c>
      <c r="E951" s="1" t="s">
        <v>30</v>
      </c>
      <c r="F951" s="1" t="s">
        <v>31</v>
      </c>
      <c r="G951" s="1" t="s">
        <v>54</v>
      </c>
      <c r="H951">
        <v>2481</v>
      </c>
      <c r="I951" s="1">
        <v>4466.2700000000004</v>
      </c>
      <c r="J951" s="1" t="s">
        <v>42</v>
      </c>
      <c r="K951" s="1" t="s">
        <v>26</v>
      </c>
      <c r="L951">
        <v>9</v>
      </c>
      <c r="M951" t="s">
        <v>65</v>
      </c>
    </row>
    <row r="952" spans="1:13" ht="15.75" customHeight="1" x14ac:dyDescent="0.35">
      <c r="A952" s="1" t="s">
        <v>249</v>
      </c>
      <c r="B952" t="s">
        <v>1083</v>
      </c>
      <c r="C952" t="s">
        <v>1084</v>
      </c>
      <c r="D952" s="4">
        <v>45186</v>
      </c>
      <c r="E952" s="1" t="s">
        <v>92</v>
      </c>
      <c r="F952" s="1" t="s">
        <v>47</v>
      </c>
      <c r="G952" s="1" t="s">
        <v>41</v>
      </c>
      <c r="H952" s="1">
        <v>4238.37</v>
      </c>
      <c r="I952">
        <v>2575.83</v>
      </c>
      <c r="J952" s="1" t="s">
        <v>42</v>
      </c>
      <c r="K952" s="1" t="s">
        <v>1093</v>
      </c>
      <c r="L952">
        <v>9</v>
      </c>
      <c r="M952" t="s">
        <v>42</v>
      </c>
    </row>
    <row r="953" spans="1:13" ht="15.75" customHeight="1" x14ac:dyDescent="0.35">
      <c r="A953" s="1" t="s">
        <v>173</v>
      </c>
      <c r="B953" s="1" t="s">
        <v>858</v>
      </c>
      <c r="C953" t="s">
        <v>1084</v>
      </c>
      <c r="D953" s="4">
        <v>44973</v>
      </c>
      <c r="E953" s="1" t="s">
        <v>30</v>
      </c>
      <c r="F953" s="1" t="s">
        <v>53</v>
      </c>
      <c r="G953" s="1" t="s">
        <v>48</v>
      </c>
      <c r="H953">
        <v>2481</v>
      </c>
      <c r="I953">
        <v>2575.83</v>
      </c>
      <c r="J953" s="1" t="s">
        <v>25</v>
      </c>
      <c r="K953" s="1" t="s">
        <v>32</v>
      </c>
      <c r="L953" s="1">
        <v>24</v>
      </c>
      <c r="M953" s="1" t="s">
        <v>42</v>
      </c>
    </row>
    <row r="954" spans="1:13" ht="15.75" customHeight="1" x14ac:dyDescent="0.35">
      <c r="A954" s="1" t="s">
        <v>430</v>
      </c>
      <c r="B954" t="s">
        <v>1083</v>
      </c>
      <c r="C954" t="s">
        <v>1084</v>
      </c>
      <c r="D954" s="4">
        <v>45239</v>
      </c>
      <c r="E954" s="1" t="s">
        <v>77</v>
      </c>
      <c r="F954" s="1" t="s">
        <v>47</v>
      </c>
      <c r="G954" s="1" t="s">
        <v>24</v>
      </c>
      <c r="H954" s="1">
        <v>2481</v>
      </c>
      <c r="I954">
        <v>2575.83</v>
      </c>
      <c r="J954" s="1" t="s">
        <v>17</v>
      </c>
      <c r="K954" s="1" t="s">
        <v>18</v>
      </c>
      <c r="L954">
        <v>9</v>
      </c>
      <c r="M954" t="s">
        <v>42</v>
      </c>
    </row>
    <row r="955" spans="1:13" ht="15.75" customHeight="1" x14ac:dyDescent="0.35">
      <c r="A955" s="1" t="s">
        <v>212</v>
      </c>
      <c r="B955" t="s">
        <v>1083</v>
      </c>
      <c r="C955" t="s">
        <v>1084</v>
      </c>
      <c r="D955" s="4">
        <v>45195</v>
      </c>
      <c r="E955" s="1" t="s">
        <v>16</v>
      </c>
      <c r="F955" s="1" t="s">
        <v>93</v>
      </c>
      <c r="G955" t="s">
        <v>1086</v>
      </c>
      <c r="H955">
        <v>2481</v>
      </c>
      <c r="I955">
        <v>2575.83</v>
      </c>
      <c r="J955" s="1" t="s">
        <v>25</v>
      </c>
      <c r="K955" s="1" t="s">
        <v>32</v>
      </c>
      <c r="L955">
        <v>9</v>
      </c>
      <c r="M955" t="s">
        <v>65</v>
      </c>
    </row>
    <row r="956" spans="1:13" ht="15.75" customHeight="1" x14ac:dyDescent="0.35">
      <c r="A956" s="1" t="s">
        <v>168</v>
      </c>
      <c r="B956" t="s">
        <v>1083</v>
      </c>
      <c r="C956" t="s">
        <v>1084</v>
      </c>
      <c r="D956" s="4">
        <v>44942</v>
      </c>
      <c r="E956" s="1" t="s">
        <v>16</v>
      </c>
      <c r="F956" s="1" t="s">
        <v>93</v>
      </c>
      <c r="G956" s="1" t="s">
        <v>41</v>
      </c>
      <c r="H956">
        <v>2481</v>
      </c>
      <c r="I956">
        <v>2575.83</v>
      </c>
      <c r="J956" s="1" t="s">
        <v>42</v>
      </c>
      <c r="K956" s="1" t="s">
        <v>18</v>
      </c>
      <c r="L956">
        <v>9</v>
      </c>
      <c r="M956" t="s">
        <v>65</v>
      </c>
    </row>
    <row r="957" spans="1:13" ht="15.75" customHeight="1" x14ac:dyDescent="0.35">
      <c r="A957" s="1" t="s">
        <v>173</v>
      </c>
      <c r="B957" t="s">
        <v>1083</v>
      </c>
      <c r="C957" s="1" t="s">
        <v>982</v>
      </c>
      <c r="D957" s="4">
        <v>45107</v>
      </c>
      <c r="E957" s="1" t="s">
        <v>16</v>
      </c>
      <c r="F957" s="1" t="s">
        <v>93</v>
      </c>
      <c r="G957" t="s">
        <v>1086</v>
      </c>
      <c r="H957">
        <v>2481</v>
      </c>
      <c r="I957" s="1">
        <v>3958.2</v>
      </c>
      <c r="J957" s="1" t="s">
        <v>17</v>
      </c>
      <c r="K957" s="1" t="s">
        <v>57</v>
      </c>
      <c r="L957">
        <v>9</v>
      </c>
      <c r="M957" t="s">
        <v>19</v>
      </c>
    </row>
    <row r="958" spans="1:13" ht="15.75" customHeight="1" x14ac:dyDescent="0.35">
      <c r="A958" s="1" t="s">
        <v>114</v>
      </c>
      <c r="B958" s="1" t="s">
        <v>1050</v>
      </c>
      <c r="C958" s="1" t="s">
        <v>45</v>
      </c>
      <c r="D958" s="4">
        <v>45277</v>
      </c>
      <c r="E958" s="1" t="s">
        <v>30</v>
      </c>
      <c r="F958" s="1" t="s">
        <v>31</v>
      </c>
      <c r="G958" t="s">
        <v>1086</v>
      </c>
      <c r="H958">
        <v>2481</v>
      </c>
      <c r="I958">
        <v>2575.83</v>
      </c>
      <c r="J958" s="1" t="s">
        <v>25</v>
      </c>
      <c r="K958" s="1" t="s">
        <v>18</v>
      </c>
      <c r="L958" s="1">
        <v>36</v>
      </c>
      <c r="M958" s="1" t="s">
        <v>65</v>
      </c>
    </row>
    <row r="959" spans="1:13" ht="15.75" customHeight="1" x14ac:dyDescent="0.35">
      <c r="A959" s="1" t="s">
        <v>66</v>
      </c>
      <c r="B959" t="s">
        <v>1083</v>
      </c>
      <c r="C959" t="s">
        <v>1084</v>
      </c>
      <c r="D959" s="4">
        <v>45238</v>
      </c>
      <c r="E959" s="1" t="s">
        <v>16</v>
      </c>
      <c r="F959" s="1" t="s">
        <v>93</v>
      </c>
      <c r="G959" s="1" t="s">
        <v>54</v>
      </c>
      <c r="H959" s="1">
        <v>2481</v>
      </c>
      <c r="I959" s="1">
        <v>1877.7</v>
      </c>
      <c r="J959" s="1" t="s">
        <v>25</v>
      </c>
      <c r="K959" s="1" t="s">
        <v>57</v>
      </c>
      <c r="L959">
        <v>9</v>
      </c>
      <c r="M959" t="s">
        <v>42</v>
      </c>
    </row>
    <row r="960" spans="1:13" ht="15.75" customHeight="1" x14ac:dyDescent="0.35">
      <c r="A960" s="1" t="s">
        <v>58</v>
      </c>
      <c r="B960" t="s">
        <v>1083</v>
      </c>
      <c r="C960" t="s">
        <v>1084</v>
      </c>
      <c r="D960" s="4">
        <v>45275</v>
      </c>
      <c r="E960" s="1" t="s">
        <v>16</v>
      </c>
      <c r="F960" s="1" t="s">
        <v>93</v>
      </c>
      <c r="G960" s="1" t="s">
        <v>41</v>
      </c>
      <c r="H960" s="1">
        <v>3159.23</v>
      </c>
      <c r="I960" s="1">
        <v>4635.28</v>
      </c>
      <c r="J960" s="1" t="s">
        <v>25</v>
      </c>
      <c r="K960" s="1" t="s">
        <v>57</v>
      </c>
      <c r="L960" s="1">
        <v>30</v>
      </c>
      <c r="M960" s="1" t="s">
        <v>19</v>
      </c>
    </row>
    <row r="961" spans="1:13" ht="15.75" customHeight="1" x14ac:dyDescent="0.35">
      <c r="A961" s="1" t="s">
        <v>212</v>
      </c>
      <c r="B961" t="s">
        <v>1083</v>
      </c>
      <c r="C961" s="1" t="s">
        <v>666</v>
      </c>
      <c r="D961" s="4">
        <v>44946</v>
      </c>
      <c r="E961" s="1" t="s">
        <v>85</v>
      </c>
      <c r="F961" s="1" t="s">
        <v>53</v>
      </c>
      <c r="G961" s="1" t="s">
        <v>41</v>
      </c>
      <c r="H961" s="1">
        <v>2481</v>
      </c>
      <c r="I961">
        <v>2575.83</v>
      </c>
      <c r="J961" s="1" t="s">
        <v>17</v>
      </c>
      <c r="K961" s="1" t="s">
        <v>26</v>
      </c>
      <c r="L961">
        <v>9</v>
      </c>
      <c r="M961" t="s">
        <v>65</v>
      </c>
    </row>
    <row r="962" spans="1:13" ht="15.75" customHeight="1" x14ac:dyDescent="0.35">
      <c r="A962" s="1" t="s">
        <v>242</v>
      </c>
      <c r="B962" s="1" t="s">
        <v>956</v>
      </c>
      <c r="C962" t="s">
        <v>1084</v>
      </c>
      <c r="D962" s="4">
        <v>44976</v>
      </c>
      <c r="E962" s="1" t="s">
        <v>77</v>
      </c>
      <c r="F962" s="1" t="s">
        <v>31</v>
      </c>
      <c r="G962" s="1" t="s">
        <v>61</v>
      </c>
      <c r="H962">
        <v>2481</v>
      </c>
      <c r="I962" s="1">
        <v>4766.0200000000004</v>
      </c>
      <c r="J962" s="1" t="s">
        <v>25</v>
      </c>
      <c r="K962" s="1" t="s">
        <v>32</v>
      </c>
      <c r="L962" s="1">
        <v>60</v>
      </c>
      <c r="M962" s="1" t="s">
        <v>19</v>
      </c>
    </row>
    <row r="963" spans="1:13" ht="15.75" customHeight="1" x14ac:dyDescent="0.35">
      <c r="A963" s="1" t="s">
        <v>202</v>
      </c>
      <c r="B963" s="1" t="s">
        <v>1053</v>
      </c>
      <c r="C963" t="s">
        <v>1084</v>
      </c>
      <c r="D963" s="4">
        <v>44989</v>
      </c>
      <c r="E963" s="1" t="s">
        <v>30</v>
      </c>
      <c r="F963" s="1" t="s">
        <v>47</v>
      </c>
      <c r="G963" s="1" t="s">
        <v>48</v>
      </c>
      <c r="H963">
        <v>2481</v>
      </c>
      <c r="I963" s="1">
        <v>3800.94</v>
      </c>
      <c r="J963" s="1" t="s">
        <v>42</v>
      </c>
      <c r="K963" s="1" t="s">
        <v>32</v>
      </c>
      <c r="L963" s="1">
        <v>8</v>
      </c>
      <c r="M963" s="1" t="s">
        <v>42</v>
      </c>
    </row>
    <row r="964" spans="1:13" ht="15.75" customHeight="1" x14ac:dyDescent="0.35">
      <c r="A964" s="1" t="s">
        <v>302</v>
      </c>
      <c r="B964" t="s">
        <v>1083</v>
      </c>
      <c r="C964" s="1" t="s">
        <v>442</v>
      </c>
      <c r="D964" s="4">
        <v>45096</v>
      </c>
      <c r="E964" s="1" t="s">
        <v>77</v>
      </c>
      <c r="F964" s="1" t="s">
        <v>23</v>
      </c>
      <c r="G964" s="1" t="s">
        <v>41</v>
      </c>
      <c r="H964" s="1">
        <v>2481</v>
      </c>
      <c r="I964">
        <v>2575.83</v>
      </c>
      <c r="J964" s="1" t="s">
        <v>17</v>
      </c>
      <c r="K964" s="1" t="s">
        <v>1093</v>
      </c>
      <c r="L964">
        <v>9</v>
      </c>
      <c r="M964" t="s">
        <v>65</v>
      </c>
    </row>
    <row r="965" spans="1:13" ht="15.75" customHeight="1" x14ac:dyDescent="0.35">
      <c r="A965" s="1" t="s">
        <v>277</v>
      </c>
      <c r="B965" t="s">
        <v>1083</v>
      </c>
      <c r="C965" t="s">
        <v>1084</v>
      </c>
      <c r="D965" s="4">
        <v>45204</v>
      </c>
      <c r="E965" s="1" t="s">
        <v>92</v>
      </c>
      <c r="F965" t="s">
        <v>1085</v>
      </c>
      <c r="G965" s="1" t="s">
        <v>54</v>
      </c>
      <c r="H965">
        <v>2481</v>
      </c>
      <c r="I965">
        <v>2575.83</v>
      </c>
      <c r="J965" s="1" t="s">
        <v>42</v>
      </c>
      <c r="K965" s="1" t="s">
        <v>18</v>
      </c>
      <c r="L965" s="1">
        <v>32</v>
      </c>
      <c r="M965" s="1" t="s">
        <v>19</v>
      </c>
    </row>
    <row r="966" spans="1:13" ht="15.75" customHeight="1" x14ac:dyDescent="0.35">
      <c r="A966" s="1" t="s">
        <v>110</v>
      </c>
      <c r="B966" s="1" t="s">
        <v>704</v>
      </c>
      <c r="C966" t="s">
        <v>1084</v>
      </c>
      <c r="D966" s="4">
        <v>45097</v>
      </c>
      <c r="E966" s="1" t="s">
        <v>16</v>
      </c>
      <c r="F966" s="1" t="s">
        <v>23</v>
      </c>
      <c r="G966" s="1" t="s">
        <v>24</v>
      </c>
      <c r="H966">
        <v>2481</v>
      </c>
      <c r="I966" s="1">
        <v>2952.34</v>
      </c>
      <c r="J966" s="1" t="s">
        <v>25</v>
      </c>
      <c r="K966" s="1" t="s">
        <v>18</v>
      </c>
      <c r="L966">
        <v>9</v>
      </c>
      <c r="M966" t="s">
        <v>19</v>
      </c>
    </row>
    <row r="967" spans="1:13" ht="15.75" customHeight="1" x14ac:dyDescent="0.35">
      <c r="A967" s="1" t="s">
        <v>58</v>
      </c>
      <c r="B967" s="1" t="s">
        <v>1058</v>
      </c>
      <c r="C967" s="1" t="s">
        <v>484</v>
      </c>
      <c r="D967" s="4">
        <v>45092</v>
      </c>
      <c r="E967" s="1" t="s">
        <v>30</v>
      </c>
      <c r="F967" s="1" t="s">
        <v>93</v>
      </c>
      <c r="G967" t="s">
        <v>1086</v>
      </c>
      <c r="H967">
        <v>2481</v>
      </c>
      <c r="I967">
        <v>2575.83</v>
      </c>
      <c r="J967" s="1" t="s">
        <v>42</v>
      </c>
      <c r="K967" s="1" t="s">
        <v>32</v>
      </c>
      <c r="L967">
        <v>9</v>
      </c>
      <c r="M967" t="s">
        <v>42</v>
      </c>
    </row>
    <row r="968" spans="1:13" ht="15.75" customHeight="1" x14ac:dyDescent="0.35">
      <c r="A968" s="1" t="s">
        <v>110</v>
      </c>
      <c r="B968" t="s">
        <v>1083</v>
      </c>
      <c r="C968" t="s">
        <v>1084</v>
      </c>
      <c r="D968" s="4">
        <v>45000</v>
      </c>
      <c r="E968" s="1" t="s">
        <v>77</v>
      </c>
      <c r="F968" s="1" t="s">
        <v>53</v>
      </c>
      <c r="G968" t="s">
        <v>1086</v>
      </c>
      <c r="H968">
        <v>2481</v>
      </c>
      <c r="I968" s="1">
        <v>3233.57</v>
      </c>
      <c r="J968" s="1" t="s">
        <v>25</v>
      </c>
      <c r="K968" s="1" t="s">
        <v>18</v>
      </c>
      <c r="L968">
        <v>9</v>
      </c>
      <c r="M968" t="s">
        <v>65</v>
      </c>
    </row>
    <row r="969" spans="1:13" ht="15.75" customHeight="1" x14ac:dyDescent="0.35">
      <c r="A969" s="1" t="s">
        <v>242</v>
      </c>
      <c r="B969" s="1" t="s">
        <v>482</v>
      </c>
      <c r="C969" s="1" t="s">
        <v>636</v>
      </c>
      <c r="D969" s="4">
        <v>45015</v>
      </c>
      <c r="E969" s="1" t="s">
        <v>16</v>
      </c>
      <c r="F969" s="1" t="s">
        <v>93</v>
      </c>
      <c r="G969" s="1" t="s">
        <v>24</v>
      </c>
      <c r="H969">
        <v>2481</v>
      </c>
      <c r="I969">
        <v>2575.83</v>
      </c>
      <c r="J969" s="1" t="s">
        <v>25</v>
      </c>
      <c r="K969" s="1" t="s">
        <v>32</v>
      </c>
      <c r="L969" s="1">
        <v>39</v>
      </c>
      <c r="M969" s="1" t="s">
        <v>19</v>
      </c>
    </row>
    <row r="970" spans="1:13" ht="15.75" customHeight="1" x14ac:dyDescent="0.35">
      <c r="A970" s="1" t="s">
        <v>33</v>
      </c>
      <c r="B970" s="1" t="s">
        <v>932</v>
      </c>
      <c r="C970" s="1" t="s">
        <v>816</v>
      </c>
      <c r="D970" s="4">
        <v>45139</v>
      </c>
      <c r="E970" s="1" t="s">
        <v>85</v>
      </c>
      <c r="F970" t="s">
        <v>1085</v>
      </c>
      <c r="G970" s="1" t="s">
        <v>54</v>
      </c>
      <c r="H970">
        <v>2481</v>
      </c>
      <c r="I970">
        <v>2575.83</v>
      </c>
      <c r="J970" s="1" t="s">
        <v>17</v>
      </c>
      <c r="K970" s="1" t="s">
        <v>26</v>
      </c>
      <c r="L970">
        <v>9</v>
      </c>
      <c r="M970" t="s">
        <v>65</v>
      </c>
    </row>
    <row r="971" spans="1:13" ht="15.75" customHeight="1" x14ac:dyDescent="0.35">
      <c r="A971" s="1" t="s">
        <v>179</v>
      </c>
      <c r="B971" t="s">
        <v>1083</v>
      </c>
      <c r="C971" t="s">
        <v>1084</v>
      </c>
      <c r="D971" s="4">
        <v>45112</v>
      </c>
      <c r="E971" s="1" t="s">
        <v>16</v>
      </c>
      <c r="F971" s="1" t="s">
        <v>31</v>
      </c>
      <c r="G971" s="1" t="s">
        <v>48</v>
      </c>
      <c r="H971" s="1">
        <v>721.55</v>
      </c>
      <c r="I971">
        <v>2575.83</v>
      </c>
      <c r="J971" s="1" t="s">
        <v>25</v>
      </c>
      <c r="K971" s="1" t="s">
        <v>57</v>
      </c>
      <c r="L971">
        <v>9</v>
      </c>
      <c r="M971" t="s">
        <v>65</v>
      </c>
    </row>
    <row r="972" spans="1:13" ht="15.75" customHeight="1" x14ac:dyDescent="0.35">
      <c r="A972" s="1" t="s">
        <v>33</v>
      </c>
      <c r="B972" t="s">
        <v>1083</v>
      </c>
      <c r="C972" s="1" t="s">
        <v>453</v>
      </c>
      <c r="D972" s="4">
        <v>45127</v>
      </c>
      <c r="E972" s="1" t="s">
        <v>16</v>
      </c>
      <c r="F972" s="1" t="s">
        <v>53</v>
      </c>
      <c r="G972" s="1" t="s">
        <v>61</v>
      </c>
      <c r="H972" s="1">
        <v>3244.83</v>
      </c>
      <c r="I972" s="1">
        <v>2312.98</v>
      </c>
      <c r="J972" s="1" t="s">
        <v>17</v>
      </c>
      <c r="K972" s="1" t="s">
        <v>1093</v>
      </c>
      <c r="L972">
        <v>9</v>
      </c>
      <c r="M972" t="s">
        <v>65</v>
      </c>
    </row>
    <row r="973" spans="1:13" ht="15.75" customHeight="1" x14ac:dyDescent="0.35">
      <c r="A973" s="1" t="s">
        <v>209</v>
      </c>
      <c r="B973" t="s">
        <v>1083</v>
      </c>
      <c r="C973" s="1" t="s">
        <v>200</v>
      </c>
      <c r="D973" s="4">
        <v>45093</v>
      </c>
      <c r="E973" s="1" t="s">
        <v>30</v>
      </c>
      <c r="F973" s="1" t="s">
        <v>47</v>
      </c>
      <c r="G973" s="1" t="s">
        <v>54</v>
      </c>
      <c r="H973">
        <v>2481</v>
      </c>
      <c r="I973">
        <v>2575.83</v>
      </c>
      <c r="J973" s="1" t="s">
        <v>25</v>
      </c>
      <c r="K973" s="1" t="s">
        <v>32</v>
      </c>
      <c r="L973">
        <v>9</v>
      </c>
      <c r="M973" t="s">
        <v>19</v>
      </c>
    </row>
    <row r="974" spans="1:13" ht="15.75" customHeight="1" x14ac:dyDescent="0.35">
      <c r="A974" s="1" t="s">
        <v>13</v>
      </c>
      <c r="B974" s="1" t="s">
        <v>1062</v>
      </c>
      <c r="C974" s="1" t="s">
        <v>228</v>
      </c>
      <c r="D974" s="4">
        <v>45093</v>
      </c>
      <c r="E974" s="1" t="s">
        <v>92</v>
      </c>
      <c r="F974" t="s">
        <v>1085</v>
      </c>
      <c r="G974" s="1" t="s">
        <v>24</v>
      </c>
      <c r="H974">
        <v>2481</v>
      </c>
      <c r="I974">
        <v>2575.83</v>
      </c>
      <c r="J974" s="1" t="s">
        <v>42</v>
      </c>
      <c r="K974" s="1" t="s">
        <v>1093</v>
      </c>
      <c r="L974">
        <v>9</v>
      </c>
      <c r="M974" t="s">
        <v>65</v>
      </c>
    </row>
    <row r="975" spans="1:13" ht="15.75" customHeight="1" x14ac:dyDescent="0.35">
      <c r="A975" s="1" t="s">
        <v>148</v>
      </c>
      <c r="B975" t="s">
        <v>1083</v>
      </c>
      <c r="C975" s="1" t="s">
        <v>581</v>
      </c>
      <c r="D975" s="4">
        <v>45128</v>
      </c>
      <c r="E975" s="1" t="s">
        <v>30</v>
      </c>
      <c r="F975" s="1" t="s">
        <v>31</v>
      </c>
      <c r="G975" s="1" t="s">
        <v>41</v>
      </c>
      <c r="H975" s="1">
        <v>2481</v>
      </c>
      <c r="I975">
        <v>2575.83</v>
      </c>
      <c r="J975" s="1" t="s">
        <v>25</v>
      </c>
      <c r="K975" s="1" t="s">
        <v>18</v>
      </c>
      <c r="L975">
        <v>9</v>
      </c>
      <c r="M975" t="s">
        <v>42</v>
      </c>
    </row>
    <row r="976" spans="1:13" ht="15.75" customHeight="1" x14ac:dyDescent="0.35">
      <c r="A976" s="1" t="s">
        <v>66</v>
      </c>
      <c r="B976" s="1" t="s">
        <v>1063</v>
      </c>
      <c r="C976" s="1" t="s">
        <v>200</v>
      </c>
      <c r="D976" s="4">
        <v>45152</v>
      </c>
      <c r="E976" s="1" t="s">
        <v>92</v>
      </c>
      <c r="F976" s="1" t="s">
        <v>93</v>
      </c>
      <c r="G976" t="s">
        <v>1086</v>
      </c>
      <c r="H976" s="1">
        <v>2481</v>
      </c>
      <c r="I976" s="1">
        <v>3607.88</v>
      </c>
      <c r="J976" s="1" t="s">
        <v>25</v>
      </c>
      <c r="K976" s="1" t="s">
        <v>32</v>
      </c>
      <c r="L976">
        <v>9</v>
      </c>
      <c r="M976" t="s">
        <v>42</v>
      </c>
    </row>
    <row r="977" spans="1:13" ht="15.75" customHeight="1" x14ac:dyDescent="0.35">
      <c r="A977" s="1" t="s">
        <v>302</v>
      </c>
      <c r="B977" s="1" t="s">
        <v>1065</v>
      </c>
      <c r="C977" s="1" t="s">
        <v>213</v>
      </c>
      <c r="D977" s="4">
        <v>44977</v>
      </c>
      <c r="E977" s="1" t="s">
        <v>77</v>
      </c>
      <c r="F977" t="s">
        <v>1085</v>
      </c>
      <c r="G977" t="s">
        <v>1086</v>
      </c>
      <c r="H977">
        <v>2481</v>
      </c>
      <c r="I977" s="1">
        <v>907.67</v>
      </c>
      <c r="J977" s="1" t="s">
        <v>42</v>
      </c>
      <c r="K977" s="1" t="s">
        <v>57</v>
      </c>
      <c r="L977">
        <v>9</v>
      </c>
      <c r="M977" t="s">
        <v>65</v>
      </c>
    </row>
    <row r="978" spans="1:13" ht="15.75" customHeight="1" x14ac:dyDescent="0.35">
      <c r="A978" s="1" t="s">
        <v>302</v>
      </c>
      <c r="B978" t="s">
        <v>1083</v>
      </c>
      <c r="C978" t="s">
        <v>1084</v>
      </c>
      <c r="D978" s="4">
        <v>45034</v>
      </c>
      <c r="E978" s="1" t="s">
        <v>16</v>
      </c>
      <c r="F978" t="s">
        <v>1085</v>
      </c>
      <c r="G978" t="s">
        <v>1086</v>
      </c>
      <c r="H978">
        <v>2481</v>
      </c>
      <c r="I978">
        <v>2575.83</v>
      </c>
      <c r="J978" s="1" t="s">
        <v>17</v>
      </c>
      <c r="K978" s="1" t="s">
        <v>1093</v>
      </c>
      <c r="L978" s="1">
        <v>59</v>
      </c>
      <c r="M978" s="1" t="s">
        <v>19</v>
      </c>
    </row>
    <row r="979" spans="1:13" ht="15.75" customHeight="1" x14ac:dyDescent="0.35">
      <c r="A979" s="1" t="s">
        <v>212</v>
      </c>
      <c r="B979" t="s">
        <v>1083</v>
      </c>
      <c r="C979" s="1" t="s">
        <v>94</v>
      </c>
      <c r="D979" s="4">
        <v>44968</v>
      </c>
      <c r="E979" s="1" t="s">
        <v>85</v>
      </c>
      <c r="F979" s="1" t="s">
        <v>47</v>
      </c>
      <c r="G979" s="1" t="s">
        <v>41</v>
      </c>
      <c r="H979">
        <v>2481</v>
      </c>
      <c r="I979" s="1">
        <v>4184.16</v>
      </c>
      <c r="J979" s="1" t="s">
        <v>17</v>
      </c>
      <c r="K979" s="1" t="s">
        <v>57</v>
      </c>
      <c r="L979" s="1">
        <v>57</v>
      </c>
      <c r="M979" s="1" t="s">
        <v>19</v>
      </c>
    </row>
    <row r="980" spans="1:13" ht="15.75" customHeight="1" x14ac:dyDescent="0.35">
      <c r="A980" s="1" t="s">
        <v>202</v>
      </c>
      <c r="B980" t="s">
        <v>1083</v>
      </c>
      <c r="C980" s="1" t="s">
        <v>156</v>
      </c>
      <c r="D980" s="4">
        <v>45227</v>
      </c>
      <c r="E980" s="1" t="s">
        <v>16</v>
      </c>
      <c r="F980" s="1" t="s">
        <v>31</v>
      </c>
      <c r="G980" s="1" t="s">
        <v>24</v>
      </c>
      <c r="H980">
        <v>2481</v>
      </c>
      <c r="I980" s="1">
        <v>330.61</v>
      </c>
      <c r="J980" s="1" t="s">
        <v>25</v>
      </c>
      <c r="K980" s="1" t="s">
        <v>57</v>
      </c>
      <c r="L980">
        <v>9</v>
      </c>
      <c r="M980" t="s">
        <v>19</v>
      </c>
    </row>
    <row r="981" spans="1:13" ht="15.75" customHeight="1" x14ac:dyDescent="0.35">
      <c r="A981" s="1" t="s">
        <v>187</v>
      </c>
      <c r="B981" t="s">
        <v>1083</v>
      </c>
      <c r="C981" s="1" t="s">
        <v>625</v>
      </c>
      <c r="D981" s="4">
        <v>44985</v>
      </c>
      <c r="E981" s="1" t="s">
        <v>16</v>
      </c>
      <c r="F981" t="s">
        <v>1085</v>
      </c>
      <c r="G981" s="1" t="s">
        <v>24</v>
      </c>
      <c r="H981">
        <v>2481</v>
      </c>
      <c r="I981">
        <v>2575.83</v>
      </c>
      <c r="J981" s="1" t="s">
        <v>25</v>
      </c>
      <c r="K981" s="1" t="s">
        <v>1093</v>
      </c>
      <c r="L981">
        <v>9</v>
      </c>
      <c r="M981" t="s">
        <v>65</v>
      </c>
    </row>
    <row r="982" spans="1:13" ht="15.75" customHeight="1" x14ac:dyDescent="0.35">
      <c r="A982" s="1" t="s">
        <v>82</v>
      </c>
      <c r="B982" t="s">
        <v>1083</v>
      </c>
      <c r="C982" s="1" t="s">
        <v>224</v>
      </c>
      <c r="D982" s="4">
        <v>44984</v>
      </c>
      <c r="E982" s="1" t="s">
        <v>16</v>
      </c>
      <c r="F982" s="1" t="s">
        <v>93</v>
      </c>
      <c r="G982" s="1" t="s">
        <v>24</v>
      </c>
      <c r="H982" s="1">
        <v>257.16000000000003</v>
      </c>
      <c r="I982">
        <v>2575.83</v>
      </c>
      <c r="J982" s="1" t="s">
        <v>42</v>
      </c>
      <c r="K982" s="1" t="s">
        <v>57</v>
      </c>
      <c r="L982">
        <v>9</v>
      </c>
      <c r="M982" t="s">
        <v>65</v>
      </c>
    </row>
    <row r="983" spans="1:13" ht="15.75" customHeight="1" x14ac:dyDescent="0.35">
      <c r="A983" s="1" t="s">
        <v>212</v>
      </c>
      <c r="B983" t="s">
        <v>1083</v>
      </c>
      <c r="C983" s="1" t="s">
        <v>183</v>
      </c>
      <c r="D983" s="4">
        <v>44945</v>
      </c>
      <c r="E983" s="1" t="s">
        <v>77</v>
      </c>
      <c r="F983" s="1" t="s">
        <v>53</v>
      </c>
      <c r="G983" s="1" t="s">
        <v>41</v>
      </c>
      <c r="H983">
        <v>2481</v>
      </c>
      <c r="I983">
        <v>2575.83</v>
      </c>
      <c r="J983" s="1" t="s">
        <v>42</v>
      </c>
      <c r="K983" s="1" t="s">
        <v>57</v>
      </c>
      <c r="L983" s="1">
        <v>6</v>
      </c>
      <c r="M983" s="1" t="s">
        <v>19</v>
      </c>
    </row>
    <row r="984" spans="1:13" ht="15.75" customHeight="1" x14ac:dyDescent="0.35">
      <c r="A984" s="1" t="s">
        <v>102</v>
      </c>
      <c r="B984" s="1" t="s">
        <v>351</v>
      </c>
      <c r="C984" s="1" t="s">
        <v>112</v>
      </c>
      <c r="D984" s="4">
        <v>45129</v>
      </c>
      <c r="E984" s="1" t="s">
        <v>30</v>
      </c>
      <c r="F984" s="1" t="s">
        <v>93</v>
      </c>
      <c r="G984" s="1" t="s">
        <v>41</v>
      </c>
      <c r="H984">
        <v>2481</v>
      </c>
      <c r="I984" s="1">
        <v>4910.82</v>
      </c>
      <c r="J984" s="1" t="s">
        <v>17</v>
      </c>
      <c r="K984" s="1" t="s">
        <v>32</v>
      </c>
      <c r="L984" s="1">
        <v>24</v>
      </c>
      <c r="M984" s="1" t="s">
        <v>19</v>
      </c>
    </row>
    <row r="985" spans="1:13" ht="15.75" customHeight="1" x14ac:dyDescent="0.35">
      <c r="A985" s="1" t="s">
        <v>66</v>
      </c>
      <c r="B985" t="s">
        <v>1083</v>
      </c>
      <c r="C985" t="s">
        <v>1084</v>
      </c>
      <c r="D985" s="4">
        <v>45121</v>
      </c>
      <c r="E985" s="1" t="s">
        <v>85</v>
      </c>
      <c r="F985" s="1" t="s">
        <v>93</v>
      </c>
      <c r="G985" t="s">
        <v>1086</v>
      </c>
      <c r="H985">
        <v>2481</v>
      </c>
      <c r="I985">
        <v>2575.83</v>
      </c>
      <c r="J985" s="1" t="s">
        <v>17</v>
      </c>
      <c r="K985" s="1" t="s">
        <v>1093</v>
      </c>
      <c r="L985" s="1">
        <v>52</v>
      </c>
      <c r="M985" s="1" t="s">
        <v>19</v>
      </c>
    </row>
    <row r="986" spans="1:13" ht="15.75" customHeight="1" x14ac:dyDescent="0.35">
      <c r="A986" s="1" t="s">
        <v>198</v>
      </c>
      <c r="B986" s="1" t="s">
        <v>1039</v>
      </c>
      <c r="C986" t="s">
        <v>1084</v>
      </c>
      <c r="D986" s="4">
        <v>45110</v>
      </c>
      <c r="E986" s="1" t="s">
        <v>92</v>
      </c>
      <c r="F986" s="1" t="s">
        <v>47</v>
      </c>
      <c r="G986" s="1" t="s">
        <v>41</v>
      </c>
      <c r="H986">
        <v>2481</v>
      </c>
      <c r="I986">
        <v>2575.83</v>
      </c>
      <c r="J986" s="1" t="s">
        <v>25</v>
      </c>
      <c r="K986" s="1" t="s">
        <v>18</v>
      </c>
      <c r="L986" s="1">
        <v>1</v>
      </c>
      <c r="M986" s="1" t="s">
        <v>65</v>
      </c>
    </row>
    <row r="987" spans="1:13" ht="15.75" customHeight="1" x14ac:dyDescent="0.35">
      <c r="A987" s="1" t="s">
        <v>82</v>
      </c>
      <c r="B987" s="1" t="s">
        <v>661</v>
      </c>
      <c r="C987" s="1" t="s">
        <v>356</v>
      </c>
      <c r="D987" s="4">
        <v>45045</v>
      </c>
      <c r="E987" s="1" t="s">
        <v>92</v>
      </c>
      <c r="F987" s="1" t="s">
        <v>23</v>
      </c>
      <c r="G987" s="1" t="s">
        <v>24</v>
      </c>
      <c r="H987" s="1">
        <v>2481</v>
      </c>
      <c r="I987" s="1">
        <v>3608.26</v>
      </c>
      <c r="J987" s="1" t="s">
        <v>25</v>
      </c>
      <c r="K987" s="1" t="s">
        <v>1093</v>
      </c>
      <c r="L987">
        <v>9</v>
      </c>
      <c r="M987" t="s">
        <v>19</v>
      </c>
    </row>
    <row r="988" spans="1:13" ht="15.75" customHeight="1" x14ac:dyDescent="0.35">
      <c r="A988" s="1" t="s">
        <v>70</v>
      </c>
      <c r="B988" s="1" t="s">
        <v>497</v>
      </c>
      <c r="C988" t="s">
        <v>1084</v>
      </c>
      <c r="D988" s="4">
        <v>45259</v>
      </c>
      <c r="E988" s="1" t="s">
        <v>92</v>
      </c>
      <c r="F988" s="1" t="s">
        <v>31</v>
      </c>
      <c r="G988" s="1" t="s">
        <v>24</v>
      </c>
      <c r="H988" s="1">
        <v>4147.45</v>
      </c>
      <c r="I988">
        <v>2575.83</v>
      </c>
      <c r="J988" s="1" t="s">
        <v>42</v>
      </c>
      <c r="K988" s="1" t="s">
        <v>26</v>
      </c>
      <c r="L988" s="1">
        <v>15</v>
      </c>
      <c r="M988" s="1" t="s">
        <v>19</v>
      </c>
    </row>
    <row r="989" spans="1:13" ht="15.75" customHeight="1" x14ac:dyDescent="0.35">
      <c r="A989" s="1" t="s">
        <v>105</v>
      </c>
      <c r="B989" t="s">
        <v>1083</v>
      </c>
      <c r="C989" t="s">
        <v>1084</v>
      </c>
      <c r="D989" s="4">
        <v>45254</v>
      </c>
      <c r="E989" s="1" t="s">
        <v>77</v>
      </c>
      <c r="F989" s="1" t="s">
        <v>31</v>
      </c>
      <c r="G989" s="1" t="s">
        <v>54</v>
      </c>
      <c r="H989">
        <v>2481</v>
      </c>
      <c r="I989">
        <v>2575.83</v>
      </c>
      <c r="J989" s="1" t="s">
        <v>17</v>
      </c>
      <c r="K989" s="1" t="s">
        <v>18</v>
      </c>
      <c r="L989">
        <v>9</v>
      </c>
      <c r="M989" t="s">
        <v>19</v>
      </c>
    </row>
    <row r="990" spans="1:13" ht="15.75" customHeight="1" x14ac:dyDescent="0.35">
      <c r="A990" s="1" t="s">
        <v>277</v>
      </c>
      <c r="B990" t="s">
        <v>1083</v>
      </c>
      <c r="C990" s="1" t="s">
        <v>100</v>
      </c>
      <c r="D990" s="4">
        <v>44983</v>
      </c>
      <c r="E990" s="1" t="s">
        <v>85</v>
      </c>
      <c r="F990" s="1" t="s">
        <v>23</v>
      </c>
      <c r="G990" s="1" t="s">
        <v>54</v>
      </c>
      <c r="H990" s="1">
        <v>657.05</v>
      </c>
      <c r="I990">
        <v>2575.83</v>
      </c>
      <c r="J990" s="1" t="s">
        <v>25</v>
      </c>
      <c r="K990" s="1" t="s">
        <v>57</v>
      </c>
      <c r="L990" s="1">
        <v>14</v>
      </c>
      <c r="M990" s="1" t="s">
        <v>65</v>
      </c>
    </row>
    <row r="991" spans="1:13" ht="15.75" customHeight="1" x14ac:dyDescent="0.35">
      <c r="A991" s="1" t="s">
        <v>78</v>
      </c>
      <c r="B991" s="1" t="s">
        <v>1071</v>
      </c>
      <c r="C991" s="1" t="s">
        <v>486</v>
      </c>
      <c r="D991" s="4">
        <v>44948</v>
      </c>
      <c r="E991" s="1" t="s">
        <v>16</v>
      </c>
      <c r="F991" s="1" t="s">
        <v>47</v>
      </c>
      <c r="G991" s="1" t="s">
        <v>61</v>
      </c>
      <c r="H991">
        <v>2481</v>
      </c>
      <c r="I991" s="1">
        <v>2266.42</v>
      </c>
      <c r="J991" s="1" t="s">
        <v>17</v>
      </c>
      <c r="K991" s="1" t="s">
        <v>26</v>
      </c>
      <c r="L991">
        <v>9</v>
      </c>
      <c r="M991" t="s">
        <v>19</v>
      </c>
    </row>
    <row r="992" spans="1:13" ht="15.75" customHeight="1" x14ac:dyDescent="0.35">
      <c r="A992" s="1" t="s">
        <v>114</v>
      </c>
      <c r="B992" s="1" t="s">
        <v>1073</v>
      </c>
      <c r="C992" s="1" t="s">
        <v>503</v>
      </c>
      <c r="D992" s="4">
        <v>45187</v>
      </c>
      <c r="E992" s="1" t="s">
        <v>77</v>
      </c>
      <c r="F992" s="1" t="s">
        <v>23</v>
      </c>
      <c r="G992" s="1" t="s">
        <v>24</v>
      </c>
      <c r="H992">
        <v>2481</v>
      </c>
      <c r="I992" s="1">
        <v>1694.09</v>
      </c>
      <c r="J992" s="1" t="s">
        <v>42</v>
      </c>
      <c r="K992" s="1" t="s">
        <v>32</v>
      </c>
      <c r="L992">
        <v>9</v>
      </c>
      <c r="M992" t="s">
        <v>65</v>
      </c>
    </row>
    <row r="993" spans="1:13" ht="15.75" customHeight="1" x14ac:dyDescent="0.35">
      <c r="A993" s="1" t="s">
        <v>192</v>
      </c>
      <c r="B993" t="s">
        <v>1083</v>
      </c>
      <c r="C993" s="1" t="s">
        <v>207</v>
      </c>
      <c r="D993" s="4">
        <v>45287</v>
      </c>
      <c r="E993" s="1" t="s">
        <v>30</v>
      </c>
      <c r="F993" s="1" t="s">
        <v>53</v>
      </c>
      <c r="G993" s="1" t="s">
        <v>24</v>
      </c>
      <c r="H993">
        <v>2481</v>
      </c>
      <c r="I993">
        <v>2575.83</v>
      </c>
      <c r="J993" s="1" t="s">
        <v>25</v>
      </c>
      <c r="K993" s="1" t="s">
        <v>57</v>
      </c>
      <c r="L993">
        <v>9</v>
      </c>
      <c r="M993" t="s">
        <v>19</v>
      </c>
    </row>
    <row r="994" spans="1:13" ht="15.75" customHeight="1" x14ac:dyDescent="0.35">
      <c r="A994" s="1" t="s">
        <v>187</v>
      </c>
      <c r="B994" t="s">
        <v>1083</v>
      </c>
      <c r="C994" t="s">
        <v>1084</v>
      </c>
      <c r="D994" s="4">
        <v>45029</v>
      </c>
      <c r="E994" s="1" t="s">
        <v>77</v>
      </c>
      <c r="F994" s="1" t="s">
        <v>93</v>
      </c>
      <c r="G994" s="1" t="s">
        <v>48</v>
      </c>
      <c r="H994" s="1">
        <v>2481</v>
      </c>
      <c r="I994" s="1">
        <v>2212.1999999999998</v>
      </c>
      <c r="J994" s="1" t="s">
        <v>25</v>
      </c>
      <c r="K994" s="1" t="s">
        <v>32</v>
      </c>
      <c r="L994" s="1">
        <v>37</v>
      </c>
      <c r="M994" s="1" t="s">
        <v>42</v>
      </c>
    </row>
    <row r="995" spans="1:13" ht="15.75" customHeight="1" x14ac:dyDescent="0.35">
      <c r="A995" s="1" t="s">
        <v>170</v>
      </c>
      <c r="B995" t="s">
        <v>1083</v>
      </c>
      <c r="C995" s="1" t="s">
        <v>458</v>
      </c>
      <c r="D995" s="4">
        <v>44956</v>
      </c>
      <c r="E995" s="1" t="s">
        <v>77</v>
      </c>
      <c r="F995" s="1" t="s">
        <v>53</v>
      </c>
      <c r="G995" s="1" t="s">
        <v>61</v>
      </c>
      <c r="H995" s="1">
        <v>1587.48</v>
      </c>
      <c r="I995" s="1">
        <v>3787.73</v>
      </c>
      <c r="J995" s="1" t="s">
        <v>25</v>
      </c>
      <c r="K995" s="1" t="s">
        <v>1093</v>
      </c>
      <c r="L995">
        <v>9</v>
      </c>
      <c r="M995" t="s">
        <v>65</v>
      </c>
    </row>
    <row r="996" spans="1:13" ht="15.75" customHeight="1" x14ac:dyDescent="0.35">
      <c r="A996" s="1" t="s">
        <v>55</v>
      </c>
      <c r="B996" s="1" t="s">
        <v>451</v>
      </c>
      <c r="C996" t="s">
        <v>1084</v>
      </c>
      <c r="D996" s="4">
        <v>45205</v>
      </c>
      <c r="E996" s="1" t="s">
        <v>16</v>
      </c>
      <c r="F996" t="s">
        <v>1085</v>
      </c>
      <c r="G996" s="1" t="s">
        <v>54</v>
      </c>
      <c r="H996">
        <v>2481</v>
      </c>
      <c r="I996">
        <v>2575.83</v>
      </c>
      <c r="J996" s="1" t="s">
        <v>17</v>
      </c>
      <c r="K996" s="1" t="s">
        <v>26</v>
      </c>
      <c r="L996" s="1">
        <v>20</v>
      </c>
      <c r="M996" s="1" t="s">
        <v>19</v>
      </c>
    </row>
    <row r="997" spans="1:13" ht="15.75" customHeight="1" x14ac:dyDescent="0.35">
      <c r="A997" s="1" t="s">
        <v>247</v>
      </c>
      <c r="B997" t="s">
        <v>1083</v>
      </c>
      <c r="C997" s="1" t="s">
        <v>613</v>
      </c>
      <c r="D997" s="4">
        <v>45258</v>
      </c>
      <c r="E997" s="1" t="s">
        <v>85</v>
      </c>
      <c r="F997" s="1" t="s">
        <v>53</v>
      </c>
      <c r="G997" s="1" t="s">
        <v>48</v>
      </c>
      <c r="H997" s="1">
        <v>2481</v>
      </c>
      <c r="I997">
        <v>2575.83</v>
      </c>
      <c r="J997" s="1" t="s">
        <v>25</v>
      </c>
      <c r="K997" s="1" t="s">
        <v>18</v>
      </c>
      <c r="L997">
        <v>9</v>
      </c>
      <c r="M997" t="s">
        <v>65</v>
      </c>
    </row>
    <row r="998" spans="1:13" ht="15.75" customHeight="1" x14ac:dyDescent="0.35">
      <c r="A998" s="1" t="s">
        <v>275</v>
      </c>
      <c r="B998" t="s">
        <v>1083</v>
      </c>
      <c r="C998" t="s">
        <v>1084</v>
      </c>
      <c r="D998" s="4">
        <v>44979</v>
      </c>
      <c r="E998" s="1" t="s">
        <v>85</v>
      </c>
      <c r="F998" s="1" t="s">
        <v>93</v>
      </c>
      <c r="G998" s="1" t="s">
        <v>48</v>
      </c>
      <c r="H998" s="1">
        <v>2481</v>
      </c>
      <c r="I998">
        <v>2575.83</v>
      </c>
      <c r="J998" s="1" t="s">
        <v>17</v>
      </c>
      <c r="K998" s="1" t="s">
        <v>18</v>
      </c>
      <c r="L998" s="1">
        <v>53</v>
      </c>
      <c r="M998" s="1" t="s">
        <v>19</v>
      </c>
    </row>
    <row r="999" spans="1:13" ht="15.75" customHeight="1" x14ac:dyDescent="0.35">
      <c r="A999" s="1" t="s">
        <v>62</v>
      </c>
      <c r="B999" s="1" t="s">
        <v>600</v>
      </c>
      <c r="C999" t="s">
        <v>1084</v>
      </c>
      <c r="D999" s="4">
        <v>44985</v>
      </c>
      <c r="E999" s="1" t="s">
        <v>77</v>
      </c>
      <c r="F999" s="1" t="s">
        <v>23</v>
      </c>
      <c r="G999" s="1" t="s">
        <v>61</v>
      </c>
      <c r="H999">
        <v>2481</v>
      </c>
      <c r="I999">
        <v>2575.83</v>
      </c>
      <c r="J999" s="1" t="s">
        <v>17</v>
      </c>
      <c r="K999" s="1" t="s">
        <v>26</v>
      </c>
      <c r="L999">
        <v>9</v>
      </c>
      <c r="M999" t="s">
        <v>19</v>
      </c>
    </row>
    <row r="1000" spans="1:13" ht="15.75" customHeight="1" x14ac:dyDescent="0.35">
      <c r="A1000" s="1" t="s">
        <v>163</v>
      </c>
      <c r="B1000" t="s">
        <v>1083</v>
      </c>
      <c r="C1000" s="1" t="s">
        <v>632</v>
      </c>
      <c r="D1000" s="4">
        <v>44972</v>
      </c>
      <c r="E1000" s="1" t="s">
        <v>16</v>
      </c>
      <c r="F1000" t="s">
        <v>1085</v>
      </c>
      <c r="G1000" t="s">
        <v>1086</v>
      </c>
      <c r="H1000">
        <v>2481</v>
      </c>
      <c r="I1000">
        <v>2575.83</v>
      </c>
      <c r="J1000" s="1" t="s">
        <v>25</v>
      </c>
      <c r="K1000" s="1" t="s">
        <v>18</v>
      </c>
      <c r="L1000">
        <v>9</v>
      </c>
      <c r="M1000" t="s">
        <v>42</v>
      </c>
    </row>
    <row r="1001" spans="1:13" ht="15.75" customHeight="1" x14ac:dyDescent="0.35">
      <c r="A1001" s="1" t="s">
        <v>209</v>
      </c>
      <c r="B1001" t="s">
        <v>1083</v>
      </c>
      <c r="C1001" t="s">
        <v>1084</v>
      </c>
      <c r="D1001" s="4">
        <v>44984</v>
      </c>
      <c r="E1001" s="1" t="s">
        <v>16</v>
      </c>
      <c r="F1001" t="s">
        <v>1085</v>
      </c>
      <c r="G1001" s="1" t="s">
        <v>54</v>
      </c>
      <c r="H1001">
        <v>2481</v>
      </c>
      <c r="I1001">
        <v>2575.83</v>
      </c>
      <c r="J1001" s="1" t="s">
        <v>25</v>
      </c>
      <c r="K1001" s="1" t="s">
        <v>26</v>
      </c>
      <c r="L1001">
        <v>9</v>
      </c>
      <c r="M1001" t="s">
        <v>19</v>
      </c>
    </row>
    <row r="1002" spans="1:13" ht="15.75" customHeight="1" x14ac:dyDescent="0.35">
      <c r="A1002" s="9" t="s">
        <v>1089</v>
      </c>
      <c r="D1002" s="9"/>
      <c r="E1002" s="9"/>
      <c r="F1002" s="9"/>
      <c r="G1002" s="9"/>
      <c r="J1002" s="9"/>
      <c r="K1002" s="9"/>
    </row>
    <row r="1003" spans="1:13" ht="15.75" customHeight="1" x14ac:dyDescent="0.35"/>
    <row r="1004" spans="1:13" ht="15.75" customHeight="1" x14ac:dyDescent="0.35"/>
    <row r="1005" spans="1:13" ht="15.75" customHeight="1" x14ac:dyDescent="0.35"/>
    <row r="1006" spans="1:13" ht="15.75" customHeight="1" x14ac:dyDescent="0.35"/>
    <row r="1007" spans="1:13" ht="15.75" customHeight="1" x14ac:dyDescent="0.35"/>
    <row r="1008" spans="1:13"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row r="1018" ht="15.75" customHeight="1" x14ac:dyDescent="0.35"/>
    <row r="1019" ht="15.75" customHeight="1" x14ac:dyDescent="0.35"/>
    <row r="1020" ht="15.75" customHeight="1" x14ac:dyDescent="0.35"/>
    <row r="1021" ht="15.75" customHeight="1" x14ac:dyDescent="0.35"/>
    <row r="1022" ht="15.75" customHeight="1" x14ac:dyDescent="0.35"/>
    <row r="1023" ht="15.75" customHeight="1" x14ac:dyDescent="0.35"/>
    <row r="1024" ht="15.75" customHeight="1" x14ac:dyDescent="0.35"/>
    <row r="1025" ht="15.75" customHeight="1" x14ac:dyDescent="0.35"/>
    <row r="1026" ht="15.75" customHeight="1" x14ac:dyDescent="0.35"/>
    <row r="1027" ht="15.75" customHeight="1" x14ac:dyDescent="0.35"/>
    <row r="1028" ht="15.75" customHeight="1" x14ac:dyDescent="0.35"/>
    <row r="1029" ht="15.75" customHeight="1" x14ac:dyDescent="0.35"/>
    <row r="1030" ht="15.75" customHeight="1" x14ac:dyDescent="0.35"/>
    <row r="1031" ht="15.75" customHeight="1" x14ac:dyDescent="0.35"/>
    <row r="1032" ht="15.75" customHeight="1" x14ac:dyDescent="0.35"/>
    <row r="1033" ht="15.75" customHeight="1" x14ac:dyDescent="0.35"/>
    <row r="1034" ht="15.75" customHeight="1" x14ac:dyDescent="0.35"/>
    <row r="1035" ht="15.75" customHeight="1" x14ac:dyDescent="0.35"/>
    <row r="1036" ht="15.75" customHeight="1" x14ac:dyDescent="0.35"/>
    <row r="1037" ht="15.75" customHeight="1" x14ac:dyDescent="0.35"/>
    <row r="1038" ht="15.75" customHeight="1" x14ac:dyDescent="0.35"/>
    <row r="1039" ht="15.75" customHeight="1" x14ac:dyDescent="0.35"/>
    <row r="1040" ht="15.75" customHeight="1" x14ac:dyDescent="0.35"/>
    <row r="1041" ht="15.75" customHeight="1" x14ac:dyDescent="0.35"/>
    <row r="1042" ht="15.75" customHeight="1" x14ac:dyDescent="0.35"/>
    <row r="1043" ht="15.75" customHeight="1" x14ac:dyDescent="0.35"/>
    <row r="1044" ht="15.75" customHeight="1" x14ac:dyDescent="0.35"/>
    <row r="1045" ht="15.75" customHeight="1" x14ac:dyDescent="0.35"/>
    <row r="1046" ht="15.75" customHeight="1" x14ac:dyDescent="0.35"/>
    <row r="1047" ht="15.75" customHeight="1" x14ac:dyDescent="0.35"/>
    <row r="1048" ht="15.75" customHeight="1" x14ac:dyDescent="0.35"/>
    <row r="1049" ht="15.75" customHeight="1" x14ac:dyDescent="0.35"/>
    <row r="1050" ht="15.75" customHeight="1" x14ac:dyDescent="0.35"/>
    <row r="1051" ht="15.75" customHeight="1" x14ac:dyDescent="0.35"/>
    <row r="1052" ht="15.75" customHeight="1" x14ac:dyDescent="0.35"/>
    <row r="1053" ht="15.75" customHeight="1" x14ac:dyDescent="0.35"/>
    <row r="1054" ht="15.75" customHeight="1" x14ac:dyDescent="0.35"/>
    <row r="1055" ht="15.75" customHeight="1" x14ac:dyDescent="0.35"/>
    <row r="1056" ht="15.75" customHeight="1" x14ac:dyDescent="0.35"/>
    <row r="1057" ht="15.75" customHeight="1" x14ac:dyDescent="0.35"/>
    <row r="1058" ht="15.75" customHeight="1" x14ac:dyDescent="0.35"/>
    <row r="1059" ht="15.75" customHeight="1" x14ac:dyDescent="0.35"/>
    <row r="1060" ht="15.75" customHeight="1" x14ac:dyDescent="0.35"/>
    <row r="1061" ht="15.75" customHeight="1" x14ac:dyDescent="0.35"/>
    <row r="1062" ht="15.75" customHeight="1" x14ac:dyDescent="0.35"/>
    <row r="1063" ht="15.75" customHeight="1" x14ac:dyDescent="0.35"/>
    <row r="1064" ht="15.75" customHeight="1" x14ac:dyDescent="0.35"/>
    <row r="1065" ht="15.75" customHeight="1" x14ac:dyDescent="0.35"/>
    <row r="1066" ht="15.75" customHeight="1" x14ac:dyDescent="0.35"/>
    <row r="1067" ht="15.75" customHeight="1" x14ac:dyDescent="0.35"/>
    <row r="1068" ht="15.75" customHeight="1" x14ac:dyDescent="0.35"/>
    <row r="1069" ht="15.75" customHeight="1" x14ac:dyDescent="0.35"/>
    <row r="1070" ht="15.75" customHeight="1" x14ac:dyDescent="0.35"/>
    <row r="1071" ht="15.75" customHeight="1" x14ac:dyDescent="0.35"/>
    <row r="1072" ht="15.75" customHeight="1" x14ac:dyDescent="0.35"/>
    <row r="1073" ht="15.75" customHeight="1" x14ac:dyDescent="0.35"/>
    <row r="1074" ht="15.75" customHeight="1" x14ac:dyDescent="0.35"/>
    <row r="1075" ht="15.75" customHeight="1" x14ac:dyDescent="0.35"/>
    <row r="1076" ht="15.75" customHeight="1" x14ac:dyDescent="0.35"/>
    <row r="1077" ht="15.75" customHeight="1" x14ac:dyDescent="0.35"/>
    <row r="1078" ht="15.75" customHeight="1" x14ac:dyDescent="0.35"/>
    <row r="1079" ht="15.75" customHeight="1" x14ac:dyDescent="0.35"/>
    <row r="1080" ht="15.75" customHeight="1" x14ac:dyDescent="0.35"/>
    <row r="1081" ht="15.75" customHeight="1" x14ac:dyDescent="0.35"/>
    <row r="1082" ht="15.75" customHeight="1" x14ac:dyDescent="0.35"/>
    <row r="1083" ht="15.75" customHeight="1" x14ac:dyDescent="0.35"/>
    <row r="1084" ht="15.75" customHeight="1" x14ac:dyDescent="0.35"/>
    <row r="1085" ht="15.75" customHeight="1" x14ac:dyDescent="0.35"/>
    <row r="1086" ht="15.75" customHeight="1" x14ac:dyDescent="0.35"/>
    <row r="1087" ht="15.75" customHeight="1" x14ac:dyDescent="0.35"/>
    <row r="1088" ht="15.75" customHeight="1" x14ac:dyDescent="0.35"/>
    <row r="1089" ht="15.75" customHeight="1" x14ac:dyDescent="0.35"/>
    <row r="1090" ht="15.75" customHeight="1" x14ac:dyDescent="0.35"/>
    <row r="1091" ht="15.75" customHeight="1" x14ac:dyDescent="0.35"/>
    <row r="1092" ht="15.75" customHeight="1" x14ac:dyDescent="0.35"/>
    <row r="1093" ht="15.75" customHeight="1" x14ac:dyDescent="0.35"/>
    <row r="1094" ht="15.75" customHeight="1" x14ac:dyDescent="0.35"/>
    <row r="1095" ht="15.75" customHeight="1" x14ac:dyDescent="0.35"/>
    <row r="1096" ht="15.75" customHeight="1" x14ac:dyDescent="0.35"/>
    <row r="1097" ht="15.75" customHeight="1" x14ac:dyDescent="0.35"/>
    <row r="1098" ht="15.75" customHeight="1" x14ac:dyDescent="0.35"/>
    <row r="1099" ht="15.75" customHeight="1" x14ac:dyDescent="0.35"/>
    <row r="1100" ht="15.75" customHeight="1" x14ac:dyDescent="0.35"/>
    <row r="1101" ht="15.75" customHeight="1" x14ac:dyDescent="0.35"/>
    <row r="1102" ht="15.75" customHeight="1" x14ac:dyDescent="0.35"/>
    <row r="1103" ht="15.75" customHeight="1" x14ac:dyDescent="0.35"/>
    <row r="1104" ht="15.75" customHeight="1" x14ac:dyDescent="0.35"/>
    <row r="1105" ht="15.75" customHeight="1" x14ac:dyDescent="0.35"/>
    <row r="1106" ht="15.75" customHeight="1" x14ac:dyDescent="0.35"/>
    <row r="1107" ht="15.75" customHeight="1" x14ac:dyDescent="0.35"/>
    <row r="1108" ht="15.75" customHeight="1" x14ac:dyDescent="0.35"/>
    <row r="1109" ht="15.75" customHeight="1" x14ac:dyDescent="0.35"/>
    <row r="1110" ht="15.75" customHeight="1" x14ac:dyDescent="0.35"/>
    <row r="1111" ht="15.75" customHeight="1" x14ac:dyDescent="0.35"/>
    <row r="1112" ht="15.75" customHeight="1" x14ac:dyDescent="0.35"/>
    <row r="1113" ht="15.75" customHeight="1" x14ac:dyDescent="0.35"/>
    <row r="1114" ht="15.75" customHeight="1" x14ac:dyDescent="0.35"/>
    <row r="1115" ht="15.75" customHeight="1" x14ac:dyDescent="0.35"/>
    <row r="1116" ht="15.75" customHeight="1" x14ac:dyDescent="0.35"/>
    <row r="1117" ht="15.75" customHeight="1" x14ac:dyDescent="0.35"/>
    <row r="1118" ht="15.75" customHeight="1" x14ac:dyDescent="0.35"/>
    <row r="1119" ht="15.75" customHeight="1" x14ac:dyDescent="0.35"/>
    <row r="1120" ht="15.75" customHeight="1" x14ac:dyDescent="0.35"/>
    <row r="1121" ht="15.75" customHeight="1" x14ac:dyDescent="0.35"/>
    <row r="1122" ht="15.75" customHeight="1" x14ac:dyDescent="0.35"/>
    <row r="1123" ht="15.75" customHeight="1" x14ac:dyDescent="0.35"/>
    <row r="1124" ht="15.75" customHeight="1" x14ac:dyDescent="0.35"/>
    <row r="1125" ht="15.75" customHeight="1" x14ac:dyDescent="0.35"/>
    <row r="1126" ht="15.75" customHeight="1" x14ac:dyDescent="0.35"/>
    <row r="1127" ht="15.75" customHeight="1" x14ac:dyDescent="0.35"/>
    <row r="1128" ht="15.75" customHeight="1" x14ac:dyDescent="0.35"/>
    <row r="1129" ht="15.75" customHeight="1" x14ac:dyDescent="0.35"/>
    <row r="1130" ht="15.75" customHeight="1" x14ac:dyDescent="0.35"/>
    <row r="1131" ht="15.75" customHeight="1" x14ac:dyDescent="0.35"/>
    <row r="1132" ht="15.75" customHeight="1" x14ac:dyDescent="0.35"/>
    <row r="1133" ht="15.75" customHeight="1" x14ac:dyDescent="0.35"/>
    <row r="1134" ht="15.75" customHeight="1" x14ac:dyDescent="0.35"/>
    <row r="1135" ht="15.75" customHeight="1" x14ac:dyDescent="0.35"/>
    <row r="1136" ht="15.75" customHeight="1" x14ac:dyDescent="0.35"/>
    <row r="1137" ht="15.75" customHeight="1" x14ac:dyDescent="0.35"/>
    <row r="1138" ht="15.75" customHeight="1" x14ac:dyDescent="0.35"/>
    <row r="1139" ht="15.75" customHeight="1" x14ac:dyDescent="0.35"/>
    <row r="1140" ht="15.75" customHeight="1" x14ac:dyDescent="0.35"/>
    <row r="1141" ht="15.75" customHeight="1" x14ac:dyDescent="0.35"/>
    <row r="1142" ht="15.75" customHeight="1" x14ac:dyDescent="0.35"/>
    <row r="1143" ht="15.75" customHeight="1" x14ac:dyDescent="0.35"/>
    <row r="1144" ht="15.75" customHeight="1" x14ac:dyDescent="0.35"/>
    <row r="1145" ht="15.75" customHeight="1" x14ac:dyDescent="0.35"/>
    <row r="1146" ht="15.75" customHeight="1" x14ac:dyDescent="0.35"/>
    <row r="1147" ht="15.75" customHeight="1" x14ac:dyDescent="0.35"/>
    <row r="1148" ht="15.75" customHeight="1" x14ac:dyDescent="0.35"/>
    <row r="1149" ht="15.75" customHeight="1" x14ac:dyDescent="0.35"/>
    <row r="1150" ht="15.75" customHeight="1" x14ac:dyDescent="0.35"/>
    <row r="1151" ht="15.75" customHeight="1" x14ac:dyDescent="0.35"/>
    <row r="1152" ht="15.75" customHeight="1" x14ac:dyDescent="0.35"/>
    <row r="1153" ht="15.75" customHeight="1" x14ac:dyDescent="0.35"/>
    <row r="1154" ht="15.75" customHeight="1" x14ac:dyDescent="0.35"/>
    <row r="1155" ht="15.75" customHeight="1" x14ac:dyDescent="0.35"/>
    <row r="1156" ht="15.75" customHeight="1" x14ac:dyDescent="0.35"/>
    <row r="1157" ht="15.75" customHeight="1" x14ac:dyDescent="0.35"/>
    <row r="1158" ht="15.75" customHeight="1" x14ac:dyDescent="0.35"/>
    <row r="1159" ht="15.75" customHeight="1" x14ac:dyDescent="0.35"/>
    <row r="1160" ht="15.75" customHeight="1" x14ac:dyDescent="0.35"/>
    <row r="1161" ht="15.75" customHeight="1" x14ac:dyDescent="0.35"/>
    <row r="1162" ht="15.75" customHeight="1" x14ac:dyDescent="0.35"/>
    <row r="1163" ht="15.75" customHeight="1" x14ac:dyDescent="0.35"/>
    <row r="1164" ht="15.75" customHeight="1" x14ac:dyDescent="0.35"/>
    <row r="1165" ht="15.75" customHeight="1" x14ac:dyDescent="0.35"/>
    <row r="1166" ht="15.75" customHeight="1" x14ac:dyDescent="0.35"/>
    <row r="1167" ht="15.75" customHeight="1" x14ac:dyDescent="0.35"/>
    <row r="1168" ht="15.75" customHeight="1" x14ac:dyDescent="0.35"/>
    <row r="1169" ht="15.75" customHeight="1" x14ac:dyDescent="0.35"/>
    <row r="1170" ht="15.75" customHeight="1" x14ac:dyDescent="0.35"/>
    <row r="1171" ht="15.75" customHeight="1" x14ac:dyDescent="0.35"/>
    <row r="1172" ht="15.75" customHeight="1" x14ac:dyDescent="0.35"/>
    <row r="1173" ht="15.75" customHeight="1" x14ac:dyDescent="0.35"/>
    <row r="1174" ht="15.75" customHeight="1" x14ac:dyDescent="0.35"/>
    <row r="1175" ht="15.75" customHeight="1" x14ac:dyDescent="0.35"/>
    <row r="1176" ht="15.75" customHeight="1" x14ac:dyDescent="0.35"/>
    <row r="1177" ht="15.75" customHeight="1" x14ac:dyDescent="0.35"/>
    <row r="1178" ht="15.75" customHeight="1" x14ac:dyDescent="0.35"/>
    <row r="1179" ht="15.75" customHeight="1" x14ac:dyDescent="0.35"/>
    <row r="1180" ht="15.75" customHeight="1" x14ac:dyDescent="0.35"/>
    <row r="1181" ht="15.75" customHeight="1" x14ac:dyDescent="0.35"/>
    <row r="1182" ht="15.75" customHeight="1" x14ac:dyDescent="0.35"/>
    <row r="1183" ht="15.75" customHeight="1" x14ac:dyDescent="0.35"/>
    <row r="1184" ht="15.75" customHeight="1" x14ac:dyDescent="0.35"/>
    <row r="1185" ht="15.75" customHeight="1" x14ac:dyDescent="0.35"/>
    <row r="1186" ht="15.75" customHeight="1" x14ac:dyDescent="0.35"/>
    <row r="1187" ht="15.75" customHeight="1" x14ac:dyDescent="0.35"/>
    <row r="1188" ht="15.75" customHeight="1" x14ac:dyDescent="0.35"/>
    <row r="1189" ht="15.75" customHeight="1" x14ac:dyDescent="0.35"/>
    <row r="1190" ht="15.75" customHeight="1" x14ac:dyDescent="0.35"/>
    <row r="1191" ht="15.75" customHeight="1" x14ac:dyDescent="0.35"/>
    <row r="1192" ht="15.75" customHeight="1" x14ac:dyDescent="0.35"/>
    <row r="1193" ht="15.75" customHeight="1" x14ac:dyDescent="0.35"/>
    <row r="1194" ht="15.75" customHeight="1" x14ac:dyDescent="0.35"/>
    <row r="1195" ht="15.75" customHeight="1" x14ac:dyDescent="0.35"/>
    <row r="1196" ht="15.75" customHeight="1" x14ac:dyDescent="0.35"/>
    <row r="1197" ht="15.75" customHeight="1" x14ac:dyDescent="0.35"/>
    <row r="1198" ht="15.75" customHeight="1" x14ac:dyDescent="0.35"/>
    <row r="1199" ht="15.75" customHeight="1" x14ac:dyDescent="0.35"/>
    <row r="1200" ht="15.75" customHeight="1" x14ac:dyDescent="0.35"/>
    <row r="1201" ht="15.75" customHeight="1" x14ac:dyDescent="0.35"/>
    <row r="1202" ht="15.75" customHeight="1" x14ac:dyDescent="0.35"/>
    <row r="1203" ht="15.75" customHeight="1" x14ac:dyDescent="0.35"/>
    <row r="1204" ht="15.75" customHeight="1" x14ac:dyDescent="0.35"/>
    <row r="1205" ht="15.75" customHeight="1" x14ac:dyDescent="0.35"/>
    <row r="1206" ht="15.75" customHeight="1" x14ac:dyDescent="0.35"/>
    <row r="1207" ht="15.75" customHeight="1" x14ac:dyDescent="0.35"/>
    <row r="1208" ht="15.75" customHeight="1" x14ac:dyDescent="0.35"/>
    <row r="1209" ht="15.75" customHeight="1" x14ac:dyDescent="0.35"/>
    <row r="1210" ht="15.75" customHeight="1" x14ac:dyDescent="0.35"/>
    <row r="1211" ht="15.75" customHeight="1" x14ac:dyDescent="0.35"/>
    <row r="1212" ht="15.75" customHeight="1" x14ac:dyDescent="0.35"/>
    <row r="1213" ht="15.75" customHeight="1" x14ac:dyDescent="0.35"/>
    <row r="1214" ht="15.75" customHeight="1" x14ac:dyDescent="0.35"/>
    <row r="1215" ht="15.75" customHeight="1" x14ac:dyDescent="0.35"/>
    <row r="1216" ht="15.75" customHeight="1" x14ac:dyDescent="0.35"/>
    <row r="1217" ht="15.75" customHeight="1" x14ac:dyDescent="0.35"/>
    <row r="1218" ht="15.75" customHeight="1" x14ac:dyDescent="0.35"/>
    <row r="1219" ht="15.75" customHeight="1" x14ac:dyDescent="0.35"/>
    <row r="1220" ht="15.75" customHeight="1" x14ac:dyDescent="0.35"/>
    <row r="1221" ht="15.75" customHeight="1" x14ac:dyDescent="0.35"/>
    <row r="1222" ht="15.75" customHeight="1" x14ac:dyDescent="0.35"/>
    <row r="1223" ht="15.75" customHeight="1" x14ac:dyDescent="0.35"/>
    <row r="1224" ht="15.75" customHeight="1" x14ac:dyDescent="0.35"/>
    <row r="1225" ht="15.75" customHeight="1" x14ac:dyDescent="0.35"/>
    <row r="1226" ht="15.75" customHeight="1" x14ac:dyDescent="0.35"/>
    <row r="1227" ht="15.75" customHeight="1" x14ac:dyDescent="0.35"/>
    <row r="1228" ht="15.75" customHeight="1" x14ac:dyDescent="0.35"/>
    <row r="1229" ht="15.75" customHeight="1" x14ac:dyDescent="0.35"/>
    <row r="1230" ht="15.75" customHeight="1" x14ac:dyDescent="0.35"/>
    <row r="1231" ht="15.75" customHeight="1" x14ac:dyDescent="0.35"/>
    <row r="1232" ht="15.75" customHeight="1" x14ac:dyDescent="0.35"/>
    <row r="1233" ht="15.75" customHeight="1" x14ac:dyDescent="0.35"/>
    <row r="1234" ht="15.75" customHeight="1" x14ac:dyDescent="0.35"/>
    <row r="1235" ht="15.75" customHeight="1" x14ac:dyDescent="0.35"/>
    <row r="1236" ht="15.75" customHeight="1" x14ac:dyDescent="0.35"/>
    <row r="1237" ht="15.75" customHeight="1" x14ac:dyDescent="0.35"/>
    <row r="1238" ht="15.75" customHeight="1" x14ac:dyDescent="0.35"/>
    <row r="1239" ht="15.75" customHeight="1" x14ac:dyDescent="0.35"/>
    <row r="1240" ht="15.75" customHeight="1" x14ac:dyDescent="0.35"/>
    <row r="1241" ht="15.75" customHeight="1" x14ac:dyDescent="0.35"/>
    <row r="1242" ht="15.75" customHeight="1" x14ac:dyDescent="0.35"/>
    <row r="1243" ht="15.75" customHeight="1" x14ac:dyDescent="0.35"/>
    <row r="1244" ht="15.75" customHeight="1" x14ac:dyDescent="0.35"/>
    <row r="1245" ht="15.75" customHeight="1" x14ac:dyDescent="0.35"/>
    <row r="1246" ht="15.75" customHeight="1" x14ac:dyDescent="0.35"/>
    <row r="1247" ht="15.75" customHeight="1" x14ac:dyDescent="0.35"/>
    <row r="1248" ht="15.75" customHeight="1" x14ac:dyDescent="0.35"/>
    <row r="1249" ht="15.75" customHeight="1" x14ac:dyDescent="0.35"/>
    <row r="1250" ht="15.75" customHeight="1" x14ac:dyDescent="0.35"/>
    <row r="1251" ht="15.75" customHeight="1" x14ac:dyDescent="0.35"/>
    <row r="1252" ht="15.75" customHeight="1" x14ac:dyDescent="0.35"/>
    <row r="1253" ht="15.75" customHeight="1" x14ac:dyDescent="0.35"/>
    <row r="1254" ht="15.75" customHeight="1" x14ac:dyDescent="0.35"/>
    <row r="1255" ht="15.75" customHeight="1" x14ac:dyDescent="0.35"/>
    <row r="1256" ht="15.75" customHeight="1" x14ac:dyDescent="0.35"/>
    <row r="1257" ht="15.75" customHeight="1" x14ac:dyDescent="0.35"/>
    <row r="1258" ht="15.75" customHeight="1" x14ac:dyDescent="0.35"/>
    <row r="1259" ht="15.75" customHeight="1" x14ac:dyDescent="0.35"/>
    <row r="1260" ht="15.75" customHeight="1" x14ac:dyDescent="0.35"/>
    <row r="1261" ht="15.75" customHeight="1" x14ac:dyDescent="0.35"/>
    <row r="1262" ht="15.75" customHeight="1" x14ac:dyDescent="0.35"/>
    <row r="1263" ht="15.75" customHeight="1" x14ac:dyDescent="0.35"/>
    <row r="1264" ht="15.75" customHeight="1" x14ac:dyDescent="0.35"/>
    <row r="1265" ht="15.75" customHeight="1" x14ac:dyDescent="0.35"/>
    <row r="1266" ht="15.75" customHeight="1" x14ac:dyDescent="0.35"/>
    <row r="1267" ht="15.75" customHeight="1" x14ac:dyDescent="0.35"/>
    <row r="1268" ht="15.75" customHeight="1" x14ac:dyDescent="0.35"/>
    <row r="1269" ht="15.75" customHeight="1" x14ac:dyDescent="0.35"/>
    <row r="1270" ht="15.75" customHeight="1" x14ac:dyDescent="0.35"/>
    <row r="1271" ht="15.75" customHeight="1" x14ac:dyDescent="0.35"/>
    <row r="1272" ht="15.75" customHeight="1" x14ac:dyDescent="0.35"/>
    <row r="1273" ht="15.75" customHeight="1" x14ac:dyDescent="0.35"/>
    <row r="1274" ht="15.75" customHeight="1" x14ac:dyDescent="0.35"/>
    <row r="1275" ht="15.75" customHeight="1" x14ac:dyDescent="0.35"/>
    <row r="1276" ht="15.75" customHeight="1" x14ac:dyDescent="0.35"/>
    <row r="1277" ht="15.75" customHeight="1" x14ac:dyDescent="0.35"/>
    <row r="1278" ht="15.75" customHeight="1" x14ac:dyDescent="0.35"/>
    <row r="1279" ht="15.75" customHeight="1" x14ac:dyDescent="0.35"/>
    <row r="1280" ht="15.75" customHeight="1" x14ac:dyDescent="0.35"/>
    <row r="1281" ht="15.75" customHeight="1" x14ac:dyDescent="0.35"/>
    <row r="1282" ht="15.75" customHeight="1" x14ac:dyDescent="0.35"/>
    <row r="1283" ht="15.75" customHeight="1" x14ac:dyDescent="0.35"/>
    <row r="1284" ht="15.75" customHeight="1" x14ac:dyDescent="0.35"/>
    <row r="1285" ht="15.75" customHeight="1" x14ac:dyDescent="0.35"/>
    <row r="1286" ht="15.75" customHeight="1" x14ac:dyDescent="0.35"/>
    <row r="1287" ht="15.75" customHeight="1" x14ac:dyDescent="0.35"/>
    <row r="1288" ht="15.75" customHeight="1" x14ac:dyDescent="0.35"/>
    <row r="1289" ht="15.75" customHeight="1" x14ac:dyDescent="0.35"/>
    <row r="1290" ht="15.75" customHeight="1" x14ac:dyDescent="0.35"/>
    <row r="1291" ht="15.75" customHeight="1" x14ac:dyDescent="0.35"/>
    <row r="1292" ht="15.75" customHeight="1" x14ac:dyDescent="0.35"/>
    <row r="1293" ht="15.75" customHeight="1" x14ac:dyDescent="0.35"/>
    <row r="1294" ht="15.75" customHeight="1" x14ac:dyDescent="0.35"/>
    <row r="1295" ht="15.75" customHeight="1" x14ac:dyDescent="0.35"/>
    <row r="1296" ht="15.75" customHeight="1" x14ac:dyDescent="0.35"/>
    <row r="1297" ht="15.75" customHeight="1" x14ac:dyDescent="0.35"/>
    <row r="1298" ht="15.75" customHeight="1" x14ac:dyDescent="0.35"/>
    <row r="1299" ht="15.75" customHeight="1" x14ac:dyDescent="0.35"/>
    <row r="1300" ht="15.75" customHeight="1" x14ac:dyDescent="0.35"/>
    <row r="1301" ht="15.75" customHeight="1" x14ac:dyDescent="0.35"/>
    <row r="1302" ht="15.75" customHeight="1" x14ac:dyDescent="0.35"/>
    <row r="1303" ht="15.75" customHeight="1" x14ac:dyDescent="0.35"/>
    <row r="1304" ht="15.75" customHeight="1" x14ac:dyDescent="0.35"/>
    <row r="1305" ht="15.75" customHeight="1" x14ac:dyDescent="0.35"/>
    <row r="1306" ht="15.75" customHeight="1" x14ac:dyDescent="0.35"/>
    <row r="1307" ht="15.75" customHeight="1" x14ac:dyDescent="0.35"/>
    <row r="1308" ht="15.75" customHeight="1" x14ac:dyDescent="0.35"/>
    <row r="1309" ht="15.75" customHeight="1" x14ac:dyDescent="0.35"/>
    <row r="1310" ht="15.75" customHeight="1" x14ac:dyDescent="0.35"/>
    <row r="1311" ht="15.75" customHeight="1" x14ac:dyDescent="0.35"/>
    <row r="1312" ht="15.75" customHeight="1" x14ac:dyDescent="0.35"/>
    <row r="1313" ht="15.75" customHeight="1" x14ac:dyDescent="0.35"/>
    <row r="1314" ht="15.75" customHeight="1" x14ac:dyDescent="0.35"/>
    <row r="1315" ht="15.75" customHeight="1" x14ac:dyDescent="0.35"/>
    <row r="1316" ht="15.75" customHeight="1" x14ac:dyDescent="0.35"/>
    <row r="1317" ht="15.75" customHeight="1" x14ac:dyDescent="0.35"/>
    <row r="1318" ht="15.75" customHeight="1" x14ac:dyDescent="0.35"/>
    <row r="1319" ht="15.75" customHeight="1" x14ac:dyDescent="0.35"/>
    <row r="1320" ht="15.75" customHeight="1" x14ac:dyDescent="0.35"/>
    <row r="1321" ht="15.75" customHeight="1" x14ac:dyDescent="0.35"/>
    <row r="1322" ht="15.75" customHeight="1" x14ac:dyDescent="0.35"/>
    <row r="1323" ht="15.75" customHeight="1" x14ac:dyDescent="0.35"/>
    <row r="1324" ht="15.75" customHeight="1" x14ac:dyDescent="0.35"/>
    <row r="1325" ht="15.75" customHeight="1" x14ac:dyDescent="0.35"/>
    <row r="1326" ht="15.75" customHeight="1" x14ac:dyDescent="0.35"/>
    <row r="1327" ht="15.75" customHeight="1" x14ac:dyDescent="0.35"/>
    <row r="1328" ht="15.75" customHeight="1" x14ac:dyDescent="0.35"/>
    <row r="1329" ht="15.75" customHeight="1" x14ac:dyDescent="0.35"/>
    <row r="1330" ht="15.75" customHeight="1" x14ac:dyDescent="0.35"/>
    <row r="1331" ht="15.75" customHeight="1" x14ac:dyDescent="0.35"/>
    <row r="1332" ht="15.75" customHeight="1" x14ac:dyDescent="0.35"/>
    <row r="1333" ht="15.75" customHeight="1" x14ac:dyDescent="0.35"/>
    <row r="1334" ht="15.75" customHeight="1" x14ac:dyDescent="0.35"/>
    <row r="1335" ht="15.75" customHeight="1" x14ac:dyDescent="0.35"/>
    <row r="1336" ht="15.75" customHeight="1" x14ac:dyDescent="0.35"/>
    <row r="1337" ht="15.75" customHeight="1" x14ac:dyDescent="0.35"/>
    <row r="1338" ht="15.75" customHeight="1" x14ac:dyDescent="0.35"/>
    <row r="1339" ht="15.75" customHeight="1" x14ac:dyDescent="0.35"/>
    <row r="1340" ht="15.75" customHeight="1" x14ac:dyDescent="0.35"/>
    <row r="1341" ht="15.75" customHeight="1" x14ac:dyDescent="0.35"/>
    <row r="1342" ht="15.75" customHeight="1" x14ac:dyDescent="0.35"/>
    <row r="1343" ht="15.75" customHeight="1" x14ac:dyDescent="0.35"/>
    <row r="1344" ht="15.75" customHeight="1" x14ac:dyDescent="0.35"/>
    <row r="1345" ht="15.75" customHeight="1" x14ac:dyDescent="0.35"/>
    <row r="1346" ht="15.75" customHeight="1" x14ac:dyDescent="0.35"/>
    <row r="1347" ht="15.75" customHeight="1" x14ac:dyDescent="0.35"/>
    <row r="1348" ht="15.75" customHeight="1" x14ac:dyDescent="0.35"/>
    <row r="1349" ht="15.75" customHeight="1" x14ac:dyDescent="0.35"/>
    <row r="1350" ht="15.75" customHeight="1" x14ac:dyDescent="0.35"/>
    <row r="1351" ht="15.75" customHeight="1" x14ac:dyDescent="0.35"/>
    <row r="1352" ht="15.75" customHeight="1" x14ac:dyDescent="0.35"/>
    <row r="1353" ht="15.75" customHeight="1" x14ac:dyDescent="0.35"/>
    <row r="1354" ht="15.75" customHeight="1" x14ac:dyDescent="0.35"/>
    <row r="1355" ht="15.75" customHeight="1" x14ac:dyDescent="0.35"/>
    <row r="1356" ht="15.75" customHeight="1" x14ac:dyDescent="0.35"/>
    <row r="1357" ht="15.75" customHeight="1" x14ac:dyDescent="0.35"/>
    <row r="1358" ht="15.75" customHeight="1" x14ac:dyDescent="0.35"/>
    <row r="1359" ht="15.75" customHeight="1" x14ac:dyDescent="0.35"/>
    <row r="1360" ht="15.75" customHeight="1" x14ac:dyDescent="0.35"/>
    <row r="1361" ht="15.75" customHeight="1" x14ac:dyDescent="0.35"/>
    <row r="1362" ht="15.75" customHeight="1" x14ac:dyDescent="0.35"/>
    <row r="1363" ht="15.75" customHeight="1" x14ac:dyDescent="0.35"/>
    <row r="1364" ht="15.75" customHeight="1" x14ac:dyDescent="0.35"/>
    <row r="1365" ht="15.75" customHeight="1" x14ac:dyDescent="0.35"/>
    <row r="1366" ht="15.75" customHeight="1" x14ac:dyDescent="0.35"/>
    <row r="1367" ht="15.75" customHeight="1" x14ac:dyDescent="0.35"/>
    <row r="1368" ht="15.75" customHeight="1" x14ac:dyDescent="0.35"/>
    <row r="1369" ht="15.75" customHeight="1" x14ac:dyDescent="0.35"/>
    <row r="1370" ht="15.75" customHeight="1" x14ac:dyDescent="0.35"/>
    <row r="1371" ht="15.75" customHeight="1" x14ac:dyDescent="0.35"/>
    <row r="1372" ht="15.75" customHeight="1" x14ac:dyDescent="0.35"/>
    <row r="1373" ht="15.75" customHeight="1" x14ac:dyDescent="0.35"/>
    <row r="1374" ht="15.75" customHeight="1" x14ac:dyDescent="0.35"/>
    <row r="1375" ht="15.75" customHeight="1" x14ac:dyDescent="0.35"/>
    <row r="1376" ht="15.75" customHeight="1" x14ac:dyDescent="0.35"/>
    <row r="1377" ht="15.75" customHeight="1" x14ac:dyDescent="0.35"/>
    <row r="1378" ht="15.75" customHeight="1" x14ac:dyDescent="0.35"/>
    <row r="1379" ht="15.75" customHeight="1" x14ac:dyDescent="0.35"/>
    <row r="1380" ht="15.75" customHeight="1" x14ac:dyDescent="0.35"/>
    <row r="1381" ht="15.75" customHeight="1" x14ac:dyDescent="0.35"/>
    <row r="1382" ht="15.75" customHeight="1" x14ac:dyDescent="0.35"/>
    <row r="1383" ht="15.75" customHeight="1" x14ac:dyDescent="0.35"/>
    <row r="1384" ht="15.75" customHeight="1" x14ac:dyDescent="0.35"/>
    <row r="1385" ht="15.75" customHeight="1" x14ac:dyDescent="0.35"/>
    <row r="1386" ht="15.75" customHeight="1" x14ac:dyDescent="0.35"/>
    <row r="1387" ht="15.75" customHeight="1" x14ac:dyDescent="0.35"/>
    <row r="1388" ht="15.75" customHeight="1" x14ac:dyDescent="0.35"/>
    <row r="1389" ht="15.75" customHeight="1" x14ac:dyDescent="0.35"/>
    <row r="1390" ht="15.75" customHeight="1" x14ac:dyDescent="0.35"/>
    <row r="1391" ht="15.75" customHeight="1" x14ac:dyDescent="0.35"/>
    <row r="1392" ht="15.75" customHeight="1" x14ac:dyDescent="0.35"/>
    <row r="1393" ht="15.75" customHeight="1" x14ac:dyDescent="0.35"/>
    <row r="1394" ht="15.75" customHeight="1" x14ac:dyDescent="0.35"/>
    <row r="1395" ht="15.75" customHeight="1" x14ac:dyDescent="0.35"/>
    <row r="1396" ht="15.75" customHeight="1" x14ac:dyDescent="0.35"/>
    <row r="1397" ht="15.75" customHeight="1" x14ac:dyDescent="0.35"/>
    <row r="1398" ht="15.75" customHeight="1" x14ac:dyDescent="0.35"/>
    <row r="1399" ht="15.75" customHeight="1" x14ac:dyDescent="0.35"/>
    <row r="1400" ht="15.75" customHeight="1" x14ac:dyDescent="0.35"/>
    <row r="1401" ht="15.75" customHeight="1" x14ac:dyDescent="0.35"/>
    <row r="1402" ht="15.75" customHeight="1" x14ac:dyDescent="0.35"/>
    <row r="1403" ht="15.75" customHeight="1" x14ac:dyDescent="0.35"/>
    <row r="1404" ht="15.75" customHeight="1" x14ac:dyDescent="0.35"/>
    <row r="1405" ht="15.75" customHeight="1" x14ac:dyDescent="0.35"/>
    <row r="1406" ht="15.75" customHeight="1" x14ac:dyDescent="0.35"/>
    <row r="1407" ht="15.75" customHeight="1" x14ac:dyDescent="0.35"/>
    <row r="1408" ht="15.75" customHeight="1" x14ac:dyDescent="0.35"/>
    <row r="1409" ht="15.75" customHeight="1" x14ac:dyDescent="0.35"/>
    <row r="1410" ht="15.75" customHeight="1" x14ac:dyDescent="0.35"/>
    <row r="1411" ht="15.75" customHeight="1" x14ac:dyDescent="0.35"/>
    <row r="1412" ht="15.75" customHeight="1" x14ac:dyDescent="0.35"/>
    <row r="1413" ht="15.75" customHeight="1" x14ac:dyDescent="0.35"/>
    <row r="1414" ht="15.75" customHeight="1" x14ac:dyDescent="0.35"/>
    <row r="1415" ht="15.75" customHeight="1" x14ac:dyDescent="0.35"/>
    <row r="1416" ht="15.75" customHeight="1" x14ac:dyDescent="0.35"/>
    <row r="1417" ht="15.75" customHeight="1" x14ac:dyDescent="0.35"/>
    <row r="1418" ht="15.75" customHeight="1" x14ac:dyDescent="0.35"/>
    <row r="1419" ht="15.75" customHeight="1" x14ac:dyDescent="0.35"/>
    <row r="1420" ht="15.75" customHeight="1" x14ac:dyDescent="0.35"/>
    <row r="1421" ht="15.75" customHeight="1" x14ac:dyDescent="0.35"/>
    <row r="1422" ht="15.75" customHeight="1" x14ac:dyDescent="0.35"/>
    <row r="1423" ht="15.75" customHeight="1" x14ac:dyDescent="0.35"/>
    <row r="1424" ht="15.75" customHeight="1" x14ac:dyDescent="0.35"/>
    <row r="1425" ht="15.75" customHeight="1" x14ac:dyDescent="0.35"/>
    <row r="1426" ht="15.75" customHeight="1" x14ac:dyDescent="0.35"/>
    <row r="1427" ht="15.75" customHeight="1" x14ac:dyDescent="0.35"/>
    <row r="1428" ht="15.75" customHeight="1" x14ac:dyDescent="0.35"/>
    <row r="1429" ht="15.75" customHeight="1" x14ac:dyDescent="0.35"/>
    <row r="1430" ht="15.75" customHeight="1" x14ac:dyDescent="0.35"/>
    <row r="1431" ht="15.75" customHeight="1" x14ac:dyDescent="0.35"/>
    <row r="1432" ht="15.75" customHeight="1" x14ac:dyDescent="0.35"/>
    <row r="1433" ht="15.75" customHeight="1" x14ac:dyDescent="0.35"/>
    <row r="1434" ht="15.75" customHeight="1" x14ac:dyDescent="0.35"/>
    <row r="1435" ht="15.75" customHeight="1" x14ac:dyDescent="0.35"/>
    <row r="1436" ht="15.75" customHeight="1" x14ac:dyDescent="0.35"/>
    <row r="1437" ht="15.75" customHeight="1" x14ac:dyDescent="0.35"/>
    <row r="1438" ht="15.75" customHeight="1" x14ac:dyDescent="0.35"/>
    <row r="1439" ht="15.75" customHeight="1" x14ac:dyDescent="0.35"/>
    <row r="1440" ht="15.75" customHeight="1" x14ac:dyDescent="0.35"/>
    <row r="1441" ht="15.75" customHeight="1" x14ac:dyDescent="0.35"/>
    <row r="1442" ht="15.75" customHeight="1" x14ac:dyDescent="0.35"/>
    <row r="1443" ht="15.75" customHeight="1" x14ac:dyDescent="0.35"/>
    <row r="1444" ht="15.75" customHeight="1" x14ac:dyDescent="0.35"/>
    <row r="1445" ht="15.75" customHeight="1" x14ac:dyDescent="0.35"/>
    <row r="1446" ht="15.75" customHeight="1" x14ac:dyDescent="0.35"/>
    <row r="1447" ht="15.75" customHeight="1" x14ac:dyDescent="0.35"/>
    <row r="1448" ht="15.75" customHeight="1" x14ac:dyDescent="0.35"/>
    <row r="1449" ht="15.75" customHeight="1" x14ac:dyDescent="0.35"/>
    <row r="1450" ht="15.75" customHeight="1" x14ac:dyDescent="0.35"/>
    <row r="1451" ht="15.75" customHeight="1" x14ac:dyDescent="0.35"/>
    <row r="1452" ht="15.75" customHeight="1" x14ac:dyDescent="0.35"/>
    <row r="1453" ht="15.75" customHeight="1" x14ac:dyDescent="0.35"/>
    <row r="1454" ht="15.75" customHeight="1" x14ac:dyDescent="0.35"/>
    <row r="1455" ht="15.75" customHeight="1" x14ac:dyDescent="0.35"/>
    <row r="1456" ht="15.75" customHeight="1" x14ac:dyDescent="0.35"/>
    <row r="1457" ht="15.75" customHeight="1" x14ac:dyDescent="0.35"/>
    <row r="1458" ht="15.75" customHeight="1" x14ac:dyDescent="0.35"/>
    <row r="1459" ht="15.75" customHeight="1" x14ac:dyDescent="0.35"/>
    <row r="1460" ht="15.75" customHeight="1" x14ac:dyDescent="0.35"/>
    <row r="1461" ht="15.75" customHeight="1" x14ac:dyDescent="0.35"/>
    <row r="1462" ht="15.75" customHeight="1" x14ac:dyDescent="0.35"/>
    <row r="1463" ht="15.75" customHeight="1" x14ac:dyDescent="0.35"/>
    <row r="1464" ht="15.75" customHeight="1" x14ac:dyDescent="0.35"/>
    <row r="1465" ht="15.75" customHeight="1" x14ac:dyDescent="0.35"/>
    <row r="1466" ht="15.75" customHeight="1" x14ac:dyDescent="0.35"/>
    <row r="1467" ht="15.75" customHeight="1" x14ac:dyDescent="0.35"/>
    <row r="1468" ht="15.75" customHeight="1" x14ac:dyDescent="0.35"/>
    <row r="1469" ht="15.75" customHeight="1" x14ac:dyDescent="0.35"/>
    <row r="1470" ht="15.75" customHeight="1" x14ac:dyDescent="0.35"/>
    <row r="1471" ht="15.75" customHeight="1" x14ac:dyDescent="0.35"/>
    <row r="1472" ht="15.75" customHeight="1" x14ac:dyDescent="0.35"/>
    <row r="1473" ht="15.75" customHeight="1" x14ac:dyDescent="0.35"/>
    <row r="1474" ht="15.75" customHeight="1" x14ac:dyDescent="0.35"/>
    <row r="1475" ht="15.75" customHeight="1" x14ac:dyDescent="0.35"/>
    <row r="1476" ht="15.75" customHeight="1" x14ac:dyDescent="0.35"/>
    <row r="1477" ht="15.75" customHeight="1" x14ac:dyDescent="0.35"/>
    <row r="1478" ht="15.75" customHeight="1" x14ac:dyDescent="0.35"/>
    <row r="1479" ht="15.75" customHeight="1" x14ac:dyDescent="0.35"/>
    <row r="1480" ht="15.75" customHeight="1" x14ac:dyDescent="0.35"/>
    <row r="1481" ht="15.75" customHeight="1" x14ac:dyDescent="0.35"/>
    <row r="1482" ht="15.75" customHeight="1" x14ac:dyDescent="0.35"/>
    <row r="1483" ht="15.75" customHeight="1" x14ac:dyDescent="0.35"/>
    <row r="1484" ht="15.75" customHeight="1" x14ac:dyDescent="0.35"/>
    <row r="1485" ht="15.75" customHeight="1" x14ac:dyDescent="0.35"/>
    <row r="1486" ht="15.75" customHeight="1" x14ac:dyDescent="0.35"/>
    <row r="1487" ht="15.75" customHeight="1" x14ac:dyDescent="0.35"/>
    <row r="1488" ht="15.75" customHeight="1" x14ac:dyDescent="0.35"/>
    <row r="1489" ht="15.75" customHeight="1" x14ac:dyDescent="0.35"/>
    <row r="1490" ht="15.75" customHeight="1" x14ac:dyDescent="0.35"/>
    <row r="1491" ht="15.75" customHeight="1" x14ac:dyDescent="0.35"/>
    <row r="1492" ht="15.75" customHeight="1" x14ac:dyDescent="0.35"/>
    <row r="1493" ht="15.75" customHeight="1" x14ac:dyDescent="0.35"/>
    <row r="1494" ht="15.75" customHeight="1" x14ac:dyDescent="0.35"/>
    <row r="1495" ht="15.75" customHeight="1" x14ac:dyDescent="0.35"/>
    <row r="1496" ht="15.75" customHeight="1" x14ac:dyDescent="0.35"/>
    <row r="1497" ht="15.75" customHeight="1" x14ac:dyDescent="0.35"/>
    <row r="1498" ht="15.75" customHeight="1" x14ac:dyDescent="0.35"/>
    <row r="1499" ht="15.75" customHeight="1" x14ac:dyDescent="0.35"/>
    <row r="1500" ht="15.75" customHeight="1" x14ac:dyDescent="0.35"/>
    <row r="1501" ht="15.75" customHeight="1" x14ac:dyDescent="0.35"/>
    <row r="1502" ht="15.75" customHeight="1" x14ac:dyDescent="0.35"/>
    <row r="1503" ht="15.75" customHeight="1" x14ac:dyDescent="0.35"/>
    <row r="1504" ht="15.75" customHeight="1" x14ac:dyDescent="0.35"/>
    <row r="1505" ht="15.75" customHeight="1" x14ac:dyDescent="0.35"/>
    <row r="1506" ht="15.75" customHeight="1" x14ac:dyDescent="0.35"/>
    <row r="1507" ht="15.75" customHeight="1" x14ac:dyDescent="0.35"/>
    <row r="1508" ht="15.75" customHeight="1" x14ac:dyDescent="0.35"/>
    <row r="1509" ht="15.75" customHeight="1" x14ac:dyDescent="0.35"/>
    <row r="1510" ht="15.75" customHeight="1" x14ac:dyDescent="0.35"/>
    <row r="1511" ht="15.75" customHeight="1" x14ac:dyDescent="0.35"/>
    <row r="1512" ht="15.75" customHeight="1" x14ac:dyDescent="0.35"/>
    <row r="1513" ht="15.75" customHeight="1" x14ac:dyDescent="0.35"/>
    <row r="1514" ht="15.75" customHeight="1" x14ac:dyDescent="0.35"/>
    <row r="1515" ht="15.75" customHeight="1" x14ac:dyDescent="0.35"/>
    <row r="1516" ht="15.75" customHeight="1" x14ac:dyDescent="0.35"/>
    <row r="1517" ht="15.75" customHeight="1" x14ac:dyDescent="0.35"/>
    <row r="1518" ht="15.75" customHeight="1" x14ac:dyDescent="0.35"/>
    <row r="1519" ht="15.75" customHeight="1" x14ac:dyDescent="0.35"/>
    <row r="1520" ht="15.75" customHeight="1" x14ac:dyDescent="0.35"/>
    <row r="1521" ht="15.75" customHeight="1" x14ac:dyDescent="0.35"/>
    <row r="1522" ht="15.75" customHeight="1" x14ac:dyDescent="0.35"/>
    <row r="1523" ht="15.75" customHeight="1" x14ac:dyDescent="0.35"/>
    <row r="1524" ht="15.75" customHeight="1" x14ac:dyDescent="0.35"/>
    <row r="1525" ht="15.75" customHeight="1" x14ac:dyDescent="0.35"/>
    <row r="1526" ht="15.75" customHeight="1" x14ac:dyDescent="0.35"/>
    <row r="1527" ht="15.75" customHeight="1" x14ac:dyDescent="0.35"/>
    <row r="1528" ht="15.75" customHeight="1" x14ac:dyDescent="0.35"/>
    <row r="1529" ht="15.75" customHeight="1" x14ac:dyDescent="0.35"/>
    <row r="1530" ht="15.75" customHeight="1" x14ac:dyDescent="0.35"/>
    <row r="1531" ht="15.75" customHeight="1" x14ac:dyDescent="0.35"/>
    <row r="1532" ht="15.75" customHeight="1" x14ac:dyDescent="0.35"/>
    <row r="1533" ht="15.75" customHeight="1" x14ac:dyDescent="0.35"/>
    <row r="1534" ht="15.75" customHeight="1" x14ac:dyDescent="0.35"/>
    <row r="1535" ht="15.75" customHeight="1" x14ac:dyDescent="0.35"/>
    <row r="1536" ht="15.75" customHeight="1" x14ac:dyDescent="0.35"/>
    <row r="1537" ht="15.75" customHeight="1" x14ac:dyDescent="0.35"/>
    <row r="1538" ht="15.75" customHeight="1" x14ac:dyDescent="0.35"/>
    <row r="1539" ht="15.75" customHeight="1" x14ac:dyDescent="0.35"/>
    <row r="1540" ht="15.75" customHeight="1" x14ac:dyDescent="0.35"/>
    <row r="1541" ht="15.75" customHeight="1" x14ac:dyDescent="0.35"/>
    <row r="1542" ht="15.75" customHeight="1" x14ac:dyDescent="0.35"/>
    <row r="1543" ht="15.75" customHeight="1" x14ac:dyDescent="0.35"/>
    <row r="1544" ht="15.75" customHeight="1" x14ac:dyDescent="0.35"/>
    <row r="1545" ht="15.75" customHeight="1" x14ac:dyDescent="0.35"/>
    <row r="1546" ht="15.75" customHeight="1" x14ac:dyDescent="0.35"/>
    <row r="1547" ht="15.75" customHeight="1" x14ac:dyDescent="0.35"/>
    <row r="1548" ht="15.75" customHeight="1" x14ac:dyDescent="0.35"/>
    <row r="1549" ht="15.75" customHeight="1" x14ac:dyDescent="0.35"/>
    <row r="1550" ht="15.75" customHeight="1" x14ac:dyDescent="0.35"/>
    <row r="1551" ht="15.75" customHeight="1" x14ac:dyDescent="0.35"/>
    <row r="1552" ht="15.75" customHeight="1" x14ac:dyDescent="0.35"/>
    <row r="1553" ht="15.75" customHeight="1" x14ac:dyDescent="0.35"/>
    <row r="1554" ht="15.75" customHeight="1" x14ac:dyDescent="0.35"/>
    <row r="1555" ht="15.75" customHeight="1" x14ac:dyDescent="0.35"/>
    <row r="1556" ht="15.75" customHeight="1" x14ac:dyDescent="0.35"/>
    <row r="1557" ht="15.75" customHeight="1" x14ac:dyDescent="0.35"/>
    <row r="1558" ht="15.75" customHeight="1" x14ac:dyDescent="0.35"/>
    <row r="1559" ht="15.75" customHeight="1" x14ac:dyDescent="0.35"/>
    <row r="1560" ht="15.75" customHeight="1" x14ac:dyDescent="0.35"/>
    <row r="1561" ht="15.75" customHeight="1" x14ac:dyDescent="0.35"/>
    <row r="1562" ht="15.75" customHeight="1" x14ac:dyDescent="0.35"/>
    <row r="1563" ht="15.75" customHeight="1" x14ac:dyDescent="0.35"/>
    <row r="1564" ht="15.75" customHeight="1" x14ac:dyDescent="0.35"/>
    <row r="1565" ht="15.75" customHeight="1" x14ac:dyDescent="0.35"/>
    <row r="1566" ht="15.75" customHeight="1" x14ac:dyDescent="0.35"/>
    <row r="1567" ht="15.75" customHeight="1" x14ac:dyDescent="0.35"/>
    <row r="1568" ht="15.75" customHeight="1" x14ac:dyDescent="0.35"/>
    <row r="1569" ht="15.75" customHeight="1" x14ac:dyDescent="0.35"/>
    <row r="1570" ht="15.75" customHeight="1" x14ac:dyDescent="0.35"/>
    <row r="1571" ht="15.75" customHeight="1" x14ac:dyDescent="0.35"/>
    <row r="1572" ht="15.75" customHeight="1" x14ac:dyDescent="0.35"/>
    <row r="1573" ht="15.75" customHeight="1" x14ac:dyDescent="0.35"/>
    <row r="1574" ht="15.75" customHeight="1" x14ac:dyDescent="0.35"/>
    <row r="1575" ht="15.75" customHeight="1" x14ac:dyDescent="0.35"/>
    <row r="1576" ht="15.75" customHeight="1" x14ac:dyDescent="0.35"/>
    <row r="1577" ht="15.75" customHeight="1" x14ac:dyDescent="0.35"/>
    <row r="1578" ht="15.75" customHeight="1" x14ac:dyDescent="0.35"/>
    <row r="1579" ht="15.75" customHeight="1" x14ac:dyDescent="0.35"/>
    <row r="1580" ht="15.75" customHeight="1" x14ac:dyDescent="0.35"/>
    <row r="1581" ht="15.75" customHeight="1" x14ac:dyDescent="0.35"/>
    <row r="1582" ht="15.75" customHeight="1" x14ac:dyDescent="0.35"/>
    <row r="1583" ht="15.75" customHeight="1" x14ac:dyDescent="0.35"/>
    <row r="1584" ht="15.75" customHeight="1" x14ac:dyDescent="0.35"/>
    <row r="1585" ht="15.75" customHeight="1" x14ac:dyDescent="0.35"/>
    <row r="1586" ht="15.75" customHeight="1" x14ac:dyDescent="0.35"/>
    <row r="1587" ht="15.75" customHeight="1" x14ac:dyDescent="0.35"/>
    <row r="1588" ht="15.75" customHeight="1" x14ac:dyDescent="0.35"/>
    <row r="1589" ht="15.75" customHeight="1" x14ac:dyDescent="0.35"/>
    <row r="1590" ht="15.75" customHeight="1" x14ac:dyDescent="0.35"/>
    <row r="1591" ht="15.75" customHeight="1" x14ac:dyDescent="0.35"/>
    <row r="1592" ht="15.75" customHeight="1" x14ac:dyDescent="0.35"/>
    <row r="1593" ht="15.75" customHeight="1" x14ac:dyDescent="0.35"/>
    <row r="1594" ht="15.75" customHeight="1" x14ac:dyDescent="0.35"/>
    <row r="1595" ht="15.75" customHeight="1" x14ac:dyDescent="0.35"/>
    <row r="1596" ht="15.75" customHeight="1" x14ac:dyDescent="0.35"/>
    <row r="1597" ht="15.75" customHeight="1" x14ac:dyDescent="0.35"/>
    <row r="1598" ht="15.75" customHeight="1" x14ac:dyDescent="0.35"/>
    <row r="1599" ht="15.75" customHeight="1" x14ac:dyDescent="0.35"/>
    <row r="1600" ht="15.75" customHeight="1" x14ac:dyDescent="0.35"/>
    <row r="1601" ht="15.75" customHeight="1" x14ac:dyDescent="0.35"/>
    <row r="1602" ht="15.75" customHeight="1" x14ac:dyDescent="0.35"/>
    <row r="1603" ht="15.75" customHeight="1" x14ac:dyDescent="0.35"/>
    <row r="1604" ht="15.75" customHeight="1" x14ac:dyDescent="0.35"/>
    <row r="1605" ht="15.75" customHeight="1" x14ac:dyDescent="0.35"/>
    <row r="1606" ht="15.75" customHeight="1" x14ac:dyDescent="0.35"/>
    <row r="1607" ht="15.75" customHeight="1" x14ac:dyDescent="0.35"/>
    <row r="1608" ht="15.75" customHeight="1" x14ac:dyDescent="0.35"/>
    <row r="1609" ht="15.75" customHeight="1" x14ac:dyDescent="0.35"/>
    <row r="1610" ht="15.75" customHeight="1" x14ac:dyDescent="0.35"/>
    <row r="1611" ht="15.75" customHeight="1" x14ac:dyDescent="0.35"/>
    <row r="1612" ht="15.75" customHeight="1" x14ac:dyDescent="0.35"/>
    <row r="1613" ht="15.75" customHeight="1" x14ac:dyDescent="0.35"/>
    <row r="1614" ht="15.75" customHeight="1" x14ac:dyDescent="0.35"/>
    <row r="1615" ht="15.75" customHeight="1" x14ac:dyDescent="0.35"/>
    <row r="1616" ht="15.75" customHeight="1" x14ac:dyDescent="0.35"/>
    <row r="1617" ht="15.75" customHeight="1" x14ac:dyDescent="0.35"/>
    <row r="1618" ht="15.75" customHeight="1" x14ac:dyDescent="0.35"/>
    <row r="1619" ht="15.75" customHeight="1" x14ac:dyDescent="0.35"/>
    <row r="1620" ht="15.75" customHeight="1" x14ac:dyDescent="0.35"/>
    <row r="1621" ht="15.75" customHeight="1" x14ac:dyDescent="0.35"/>
    <row r="1622" ht="15.75" customHeight="1" x14ac:dyDescent="0.35"/>
    <row r="1623" ht="15.75" customHeight="1" x14ac:dyDescent="0.35"/>
    <row r="1624" ht="15.75" customHeight="1" x14ac:dyDescent="0.35"/>
    <row r="1625" ht="15.75" customHeight="1" x14ac:dyDescent="0.35"/>
    <row r="1626" ht="15.75" customHeight="1" x14ac:dyDescent="0.35"/>
    <row r="1627" ht="15.75" customHeight="1" x14ac:dyDescent="0.35"/>
    <row r="1628" ht="15.75" customHeight="1" x14ac:dyDescent="0.35"/>
    <row r="1629" ht="15.75" customHeight="1" x14ac:dyDescent="0.35"/>
    <row r="1630" ht="15.75" customHeight="1" x14ac:dyDescent="0.35"/>
    <row r="1631" ht="15.75" customHeight="1" x14ac:dyDescent="0.35"/>
    <row r="1632" ht="15.75" customHeight="1" x14ac:dyDescent="0.35"/>
    <row r="1633" ht="15.75" customHeight="1" x14ac:dyDescent="0.35"/>
    <row r="1634" ht="15.75" customHeight="1" x14ac:dyDescent="0.35"/>
    <row r="1635" ht="15.75" customHeight="1" x14ac:dyDescent="0.35"/>
    <row r="1636" ht="15.75" customHeight="1" x14ac:dyDescent="0.35"/>
    <row r="1637" ht="15.75" customHeight="1" x14ac:dyDescent="0.35"/>
    <row r="1638" ht="15.75" customHeight="1" x14ac:dyDescent="0.35"/>
    <row r="1639" ht="15.75" customHeight="1" x14ac:dyDescent="0.35"/>
    <row r="1640" ht="15.75" customHeight="1" x14ac:dyDescent="0.35"/>
    <row r="1641" ht="15.75" customHeight="1" x14ac:dyDescent="0.35"/>
    <row r="1642" ht="15.75" customHeight="1" x14ac:dyDescent="0.35"/>
    <row r="1643" ht="15.75" customHeight="1" x14ac:dyDescent="0.35"/>
    <row r="1644" ht="15.75" customHeight="1" x14ac:dyDescent="0.35"/>
    <row r="1645" ht="15.75" customHeight="1" x14ac:dyDescent="0.35"/>
    <row r="1646" ht="15.75" customHeight="1" x14ac:dyDescent="0.35"/>
    <row r="1647" ht="15.75" customHeight="1" x14ac:dyDescent="0.35"/>
    <row r="1648" ht="15.75" customHeight="1" x14ac:dyDescent="0.35"/>
    <row r="1649" ht="15.75" customHeight="1" x14ac:dyDescent="0.35"/>
    <row r="1650" ht="15.75" customHeight="1" x14ac:dyDescent="0.35"/>
    <row r="1651" ht="15.75" customHeight="1" x14ac:dyDescent="0.35"/>
    <row r="1652" ht="15.75" customHeight="1" x14ac:dyDescent="0.35"/>
    <row r="1653" ht="15.75" customHeight="1" x14ac:dyDescent="0.35"/>
    <row r="1654" ht="15.75" customHeight="1" x14ac:dyDescent="0.35"/>
    <row r="1655" ht="15.75" customHeight="1" x14ac:dyDescent="0.35"/>
    <row r="1656" ht="15.75" customHeight="1" x14ac:dyDescent="0.35"/>
    <row r="1657" ht="15.75" customHeight="1" x14ac:dyDescent="0.35"/>
    <row r="1658" ht="15.75" customHeight="1" x14ac:dyDescent="0.35"/>
    <row r="1659" ht="15.75" customHeight="1" x14ac:dyDescent="0.35"/>
    <row r="1660" ht="15.75" customHeight="1" x14ac:dyDescent="0.35"/>
    <row r="1661" ht="15.75" customHeight="1" x14ac:dyDescent="0.35"/>
    <row r="1662" ht="15.75" customHeight="1" x14ac:dyDescent="0.35"/>
    <row r="1663" ht="15.75" customHeight="1" x14ac:dyDescent="0.35"/>
    <row r="1664" ht="15.75" customHeight="1" x14ac:dyDescent="0.35"/>
    <row r="1665" ht="15.75" customHeight="1" x14ac:dyDescent="0.35"/>
    <row r="1666" ht="15.75" customHeight="1" x14ac:dyDescent="0.35"/>
    <row r="1667" ht="15.75" customHeight="1" x14ac:dyDescent="0.35"/>
    <row r="1668" ht="15.75" customHeight="1" x14ac:dyDescent="0.35"/>
    <row r="1669" ht="15.75" customHeight="1" x14ac:dyDescent="0.35"/>
    <row r="1670" ht="15.75" customHeight="1" x14ac:dyDescent="0.35"/>
    <row r="1671" ht="15.75" customHeight="1" x14ac:dyDescent="0.35"/>
    <row r="1672" ht="15.75" customHeight="1" x14ac:dyDescent="0.35"/>
    <row r="1673" ht="15.75" customHeight="1" x14ac:dyDescent="0.35"/>
    <row r="1674" ht="15.75" customHeight="1" x14ac:dyDescent="0.35"/>
    <row r="1675" ht="15.75" customHeight="1" x14ac:dyDescent="0.35"/>
    <row r="1676" ht="15.75" customHeight="1" x14ac:dyDescent="0.35"/>
    <row r="1677" ht="15.75" customHeight="1" x14ac:dyDescent="0.35"/>
    <row r="1678" ht="15.75" customHeight="1" x14ac:dyDescent="0.35"/>
    <row r="1679" ht="15.75" customHeight="1" x14ac:dyDescent="0.35"/>
    <row r="1680" ht="15.75" customHeight="1" x14ac:dyDescent="0.35"/>
    <row r="1681" ht="15.75" customHeight="1" x14ac:dyDescent="0.35"/>
    <row r="1682" ht="15.75" customHeight="1" x14ac:dyDescent="0.35"/>
    <row r="1683" ht="15.75" customHeight="1" x14ac:dyDescent="0.35"/>
    <row r="1684" ht="15.75" customHeight="1" x14ac:dyDescent="0.35"/>
    <row r="1685" ht="15.75" customHeight="1" x14ac:dyDescent="0.35"/>
    <row r="1686" ht="15.75" customHeight="1" x14ac:dyDescent="0.35"/>
    <row r="1687" ht="15.75" customHeight="1" x14ac:dyDescent="0.35"/>
    <row r="1688" ht="15.75" customHeight="1" x14ac:dyDescent="0.35"/>
    <row r="1689" ht="15.75" customHeight="1" x14ac:dyDescent="0.35"/>
    <row r="1690" ht="15.75" customHeight="1" x14ac:dyDescent="0.35"/>
    <row r="1691" ht="15.75" customHeight="1" x14ac:dyDescent="0.35"/>
    <row r="1692" ht="15.75" customHeight="1" x14ac:dyDescent="0.35"/>
    <row r="1693" ht="15.75" customHeight="1" x14ac:dyDescent="0.35"/>
    <row r="1694" ht="15.75" customHeight="1" x14ac:dyDescent="0.35"/>
    <row r="1695" ht="15.75" customHeight="1" x14ac:dyDescent="0.35"/>
    <row r="1696" ht="15.75" customHeight="1" x14ac:dyDescent="0.35"/>
    <row r="1697" ht="15.75" customHeight="1" x14ac:dyDescent="0.35"/>
    <row r="1698" ht="15.75" customHeight="1" x14ac:dyDescent="0.35"/>
    <row r="1699" ht="15.75" customHeight="1" x14ac:dyDescent="0.35"/>
    <row r="1700" ht="15.75" customHeight="1" x14ac:dyDescent="0.35"/>
    <row r="1701" ht="15.75" customHeight="1" x14ac:dyDescent="0.35"/>
    <row r="1702" ht="15.75" customHeight="1" x14ac:dyDescent="0.35"/>
    <row r="1703" ht="15.75" customHeight="1" x14ac:dyDescent="0.35"/>
    <row r="1704" ht="15.75" customHeight="1" x14ac:dyDescent="0.35"/>
    <row r="1705" ht="15.75" customHeight="1" x14ac:dyDescent="0.35"/>
    <row r="1706" ht="15.75" customHeight="1" x14ac:dyDescent="0.35"/>
    <row r="1707" ht="15.75" customHeight="1" x14ac:dyDescent="0.35"/>
    <row r="1708" ht="15.75" customHeight="1" x14ac:dyDescent="0.35"/>
    <row r="1709" ht="15.75" customHeight="1" x14ac:dyDescent="0.35"/>
    <row r="1710" ht="15.75" customHeight="1" x14ac:dyDescent="0.35"/>
    <row r="1711" ht="15.75" customHeight="1" x14ac:dyDescent="0.35"/>
    <row r="1712" ht="15.75" customHeight="1" x14ac:dyDescent="0.35"/>
    <row r="1713" ht="15.75" customHeight="1" x14ac:dyDescent="0.35"/>
    <row r="1714" ht="15.75" customHeight="1" x14ac:dyDescent="0.35"/>
    <row r="1715" ht="15.75" customHeight="1" x14ac:dyDescent="0.35"/>
    <row r="1716" ht="15.75" customHeight="1" x14ac:dyDescent="0.35"/>
    <row r="1717" ht="15.75" customHeight="1" x14ac:dyDescent="0.35"/>
    <row r="1718" ht="15.75" customHeight="1" x14ac:dyDescent="0.35"/>
    <row r="1719" ht="15.75" customHeight="1" x14ac:dyDescent="0.35"/>
    <row r="1720" ht="15.75" customHeight="1" x14ac:dyDescent="0.35"/>
    <row r="1721" ht="15.75" customHeight="1" x14ac:dyDescent="0.35"/>
    <row r="1722" ht="15.75" customHeight="1" x14ac:dyDescent="0.35"/>
    <row r="1723" ht="15.75" customHeight="1" x14ac:dyDescent="0.35"/>
    <row r="1724" ht="15.75" customHeight="1" x14ac:dyDescent="0.35"/>
    <row r="1725" ht="15.75" customHeight="1" x14ac:dyDescent="0.35"/>
    <row r="1726" ht="15.75" customHeight="1" x14ac:dyDescent="0.35"/>
    <row r="1727" ht="15.75" customHeight="1" x14ac:dyDescent="0.35"/>
    <row r="1728" ht="15.75" customHeight="1" x14ac:dyDescent="0.35"/>
    <row r="1729" ht="15.75" customHeight="1" x14ac:dyDescent="0.35"/>
    <row r="1730" ht="15.75" customHeight="1" x14ac:dyDescent="0.35"/>
    <row r="1731" ht="15.75" customHeight="1" x14ac:dyDescent="0.35"/>
    <row r="1732" ht="15.75" customHeight="1" x14ac:dyDescent="0.35"/>
    <row r="1733" ht="15.75" customHeight="1" x14ac:dyDescent="0.35"/>
    <row r="1734" ht="15.75" customHeight="1" x14ac:dyDescent="0.35"/>
    <row r="1735" ht="15.75" customHeight="1" x14ac:dyDescent="0.35"/>
    <row r="1736" ht="15.75" customHeight="1" x14ac:dyDescent="0.35"/>
    <row r="1737" ht="15.75" customHeight="1" x14ac:dyDescent="0.35"/>
    <row r="1738" ht="15.75" customHeight="1" x14ac:dyDescent="0.35"/>
    <row r="1739" ht="15.75" customHeight="1" x14ac:dyDescent="0.35"/>
    <row r="1740" ht="15.75" customHeight="1" x14ac:dyDescent="0.35"/>
    <row r="1741" ht="15.75" customHeight="1" x14ac:dyDescent="0.35"/>
    <row r="1742" ht="15.75" customHeight="1" x14ac:dyDescent="0.35"/>
    <row r="1743" ht="15.75" customHeight="1" x14ac:dyDescent="0.35"/>
    <row r="1744" ht="15.75" customHeight="1" x14ac:dyDescent="0.35"/>
    <row r="1745" ht="15.75" customHeight="1" x14ac:dyDescent="0.35"/>
    <row r="1746" ht="15.75" customHeight="1" x14ac:dyDescent="0.35"/>
    <row r="1747" ht="15.75" customHeight="1" x14ac:dyDescent="0.35"/>
    <row r="1748" ht="15.75" customHeight="1" x14ac:dyDescent="0.35"/>
    <row r="1749" ht="15.75" customHeight="1" x14ac:dyDescent="0.35"/>
    <row r="1750" ht="15.75" customHeight="1" x14ac:dyDescent="0.35"/>
    <row r="1751" ht="15.75" customHeight="1" x14ac:dyDescent="0.35"/>
    <row r="1752" ht="15.75" customHeight="1" x14ac:dyDescent="0.35"/>
    <row r="1753" ht="15.75" customHeight="1" x14ac:dyDescent="0.35"/>
    <row r="1754" ht="15.75" customHeight="1" x14ac:dyDescent="0.35"/>
    <row r="1755" ht="15.75" customHeight="1" x14ac:dyDescent="0.35"/>
    <row r="1756" ht="15.75" customHeight="1" x14ac:dyDescent="0.35"/>
    <row r="1757" ht="15.75" customHeight="1" x14ac:dyDescent="0.35"/>
    <row r="1758" ht="15.75" customHeight="1" x14ac:dyDescent="0.35"/>
    <row r="1759" ht="15.75" customHeight="1" x14ac:dyDescent="0.35"/>
    <row r="1760" ht="15.75" customHeight="1" x14ac:dyDescent="0.35"/>
    <row r="1761" ht="15.75" customHeight="1" x14ac:dyDescent="0.35"/>
    <row r="1762" ht="15.75" customHeight="1" x14ac:dyDescent="0.35"/>
    <row r="1763" ht="15.75" customHeight="1" x14ac:dyDescent="0.35"/>
    <row r="1764" ht="15.75" customHeight="1" x14ac:dyDescent="0.35"/>
    <row r="1765" ht="15.75" customHeight="1" x14ac:dyDescent="0.35"/>
    <row r="1766" ht="15.75" customHeight="1" x14ac:dyDescent="0.35"/>
    <row r="1767" ht="15.75" customHeight="1" x14ac:dyDescent="0.35"/>
    <row r="1768" ht="15.75" customHeight="1" x14ac:dyDescent="0.35"/>
    <row r="1769" ht="15.75" customHeight="1" x14ac:dyDescent="0.35"/>
    <row r="1770" ht="15.75" customHeight="1" x14ac:dyDescent="0.35"/>
    <row r="1771" ht="15.75" customHeight="1" x14ac:dyDescent="0.35"/>
    <row r="1772" ht="15.75" customHeight="1" x14ac:dyDescent="0.35"/>
    <row r="1773" ht="15.75" customHeight="1" x14ac:dyDescent="0.35"/>
    <row r="1774" ht="15.75" customHeight="1" x14ac:dyDescent="0.35"/>
    <row r="1775" ht="15.75" customHeight="1" x14ac:dyDescent="0.35"/>
    <row r="1776" ht="15.75" customHeight="1" x14ac:dyDescent="0.35"/>
    <row r="1777" ht="15.75" customHeight="1" x14ac:dyDescent="0.35"/>
    <row r="1778" ht="15.75" customHeight="1" x14ac:dyDescent="0.35"/>
    <row r="1779" ht="15.75" customHeight="1" x14ac:dyDescent="0.35"/>
    <row r="1780" ht="15.75" customHeight="1" x14ac:dyDescent="0.35"/>
    <row r="1781" ht="15.75" customHeight="1" x14ac:dyDescent="0.35"/>
    <row r="1782" ht="15.75" customHeight="1" x14ac:dyDescent="0.35"/>
    <row r="1783" ht="15.75" customHeight="1" x14ac:dyDescent="0.35"/>
    <row r="1784" ht="15.75" customHeight="1" x14ac:dyDescent="0.35"/>
    <row r="1785" ht="15.75" customHeight="1" x14ac:dyDescent="0.35"/>
    <row r="1786" ht="15.75" customHeight="1" x14ac:dyDescent="0.35"/>
    <row r="1787" ht="15.75" customHeight="1" x14ac:dyDescent="0.35"/>
    <row r="1788" ht="15.75" customHeight="1" x14ac:dyDescent="0.35"/>
    <row r="1789" ht="15.75" customHeight="1" x14ac:dyDescent="0.35"/>
    <row r="1790" ht="15.75" customHeight="1" x14ac:dyDescent="0.35"/>
    <row r="1791" ht="15.75" customHeight="1" x14ac:dyDescent="0.35"/>
    <row r="1792" ht="15.75" customHeight="1" x14ac:dyDescent="0.35"/>
    <row r="1793" ht="15.75" customHeight="1" x14ac:dyDescent="0.35"/>
    <row r="1794" ht="15.75" customHeight="1" x14ac:dyDescent="0.35"/>
    <row r="1795" ht="15.75" customHeight="1" x14ac:dyDescent="0.35"/>
    <row r="1796" ht="15.75" customHeight="1" x14ac:dyDescent="0.35"/>
    <row r="1797" ht="15.75" customHeight="1" x14ac:dyDescent="0.35"/>
    <row r="1798" ht="15.75" customHeight="1" x14ac:dyDescent="0.35"/>
    <row r="1799" ht="15.75" customHeight="1" x14ac:dyDescent="0.35"/>
    <row r="1800" ht="15.75" customHeight="1" x14ac:dyDescent="0.35"/>
    <row r="1801" ht="15.75" customHeight="1" x14ac:dyDescent="0.35"/>
    <row r="1802" ht="15.75" customHeight="1" x14ac:dyDescent="0.35"/>
    <row r="1803" ht="15.75" customHeight="1" x14ac:dyDescent="0.35"/>
    <row r="1804" ht="15.75" customHeight="1" x14ac:dyDescent="0.35"/>
    <row r="1805" ht="15.75" customHeight="1" x14ac:dyDescent="0.35"/>
    <row r="1806" ht="15.75" customHeight="1" x14ac:dyDescent="0.35"/>
    <row r="1807" ht="15.75" customHeight="1" x14ac:dyDescent="0.35"/>
    <row r="1808" ht="15.75" customHeight="1" x14ac:dyDescent="0.35"/>
    <row r="1809" ht="15.75" customHeight="1" x14ac:dyDescent="0.35"/>
    <row r="1810" ht="15.75" customHeight="1" x14ac:dyDescent="0.35"/>
    <row r="1811" ht="15.75" customHeight="1" x14ac:dyDescent="0.35"/>
    <row r="1812" ht="15.75" customHeight="1" x14ac:dyDescent="0.35"/>
    <row r="1813" ht="15.75" customHeight="1" x14ac:dyDescent="0.35"/>
    <row r="1814" ht="15.75" customHeight="1" x14ac:dyDescent="0.35"/>
    <row r="1815" ht="15.75" customHeight="1" x14ac:dyDescent="0.35"/>
    <row r="1816" ht="15.75" customHeight="1" x14ac:dyDescent="0.35"/>
    <row r="1817" ht="15.75" customHeight="1" x14ac:dyDescent="0.35"/>
    <row r="1818" ht="15.75" customHeight="1" x14ac:dyDescent="0.35"/>
    <row r="1819" ht="15.75" customHeight="1" x14ac:dyDescent="0.35"/>
    <row r="1820" ht="15.75" customHeight="1" x14ac:dyDescent="0.35"/>
    <row r="1821" ht="15.75" customHeight="1" x14ac:dyDescent="0.35"/>
    <row r="1822" ht="15.75" customHeight="1" x14ac:dyDescent="0.35"/>
    <row r="1823" ht="15.75" customHeight="1" x14ac:dyDescent="0.35"/>
    <row r="1824" ht="15.75" customHeight="1" x14ac:dyDescent="0.35"/>
    <row r="1825" ht="15.75" customHeight="1" x14ac:dyDescent="0.35"/>
    <row r="1826" ht="15.75" customHeight="1" x14ac:dyDescent="0.35"/>
    <row r="1827" ht="15.75" customHeight="1" x14ac:dyDescent="0.35"/>
    <row r="1828" ht="15.75" customHeight="1" x14ac:dyDescent="0.35"/>
    <row r="1829" ht="15.75" customHeight="1" x14ac:dyDescent="0.35"/>
    <row r="1830" ht="15.75" customHeight="1" x14ac:dyDescent="0.35"/>
    <row r="1831" ht="15.75" customHeight="1" x14ac:dyDescent="0.35"/>
    <row r="1832" ht="15.75" customHeight="1" x14ac:dyDescent="0.35"/>
    <row r="1833" ht="15.75" customHeight="1" x14ac:dyDescent="0.35"/>
    <row r="1834" ht="15.75" customHeight="1" x14ac:dyDescent="0.35"/>
    <row r="1835" ht="15.75" customHeight="1" x14ac:dyDescent="0.35"/>
    <row r="1836" ht="15.75" customHeight="1" x14ac:dyDescent="0.35"/>
    <row r="1837" ht="15.75" customHeight="1" x14ac:dyDescent="0.35"/>
    <row r="1838" ht="15.75" customHeight="1" x14ac:dyDescent="0.35"/>
    <row r="1839" ht="15.75" customHeight="1" x14ac:dyDescent="0.35"/>
    <row r="1840" ht="15.75" customHeight="1" x14ac:dyDescent="0.35"/>
    <row r="1841" ht="15.75" customHeight="1" x14ac:dyDescent="0.35"/>
    <row r="1842" ht="15.75" customHeight="1" x14ac:dyDescent="0.35"/>
    <row r="1843" ht="15.75" customHeight="1" x14ac:dyDescent="0.35"/>
    <row r="1844" ht="15.75" customHeight="1" x14ac:dyDescent="0.35"/>
    <row r="1845" ht="15.75" customHeight="1" x14ac:dyDescent="0.35"/>
    <row r="1846" ht="15.75" customHeight="1" x14ac:dyDescent="0.35"/>
    <row r="1847" ht="15.75" customHeight="1" x14ac:dyDescent="0.35"/>
    <row r="1848" ht="15.75" customHeight="1" x14ac:dyDescent="0.35"/>
    <row r="1849" ht="15.75" customHeight="1" x14ac:dyDescent="0.35"/>
    <row r="1850" ht="15.75" customHeight="1" x14ac:dyDescent="0.35"/>
    <row r="1851" ht="15.75" customHeight="1" x14ac:dyDescent="0.35"/>
    <row r="1852" ht="15.75" customHeight="1" x14ac:dyDescent="0.35"/>
    <row r="1853" ht="15.75" customHeight="1" x14ac:dyDescent="0.35"/>
    <row r="1854" ht="15.75" customHeight="1" x14ac:dyDescent="0.35"/>
    <row r="1855" ht="15.75" customHeight="1" x14ac:dyDescent="0.35"/>
    <row r="1856" ht="15.75" customHeight="1" x14ac:dyDescent="0.35"/>
    <row r="1857" ht="15.75" customHeight="1" x14ac:dyDescent="0.35"/>
    <row r="1858" ht="15.75" customHeight="1" x14ac:dyDescent="0.35"/>
    <row r="1859" ht="15.75" customHeight="1" x14ac:dyDescent="0.35"/>
    <row r="1860" ht="15.75" customHeight="1" x14ac:dyDescent="0.35"/>
    <row r="1861" ht="15.75" customHeight="1" x14ac:dyDescent="0.35"/>
    <row r="1862" ht="15.75" customHeight="1" x14ac:dyDescent="0.35"/>
    <row r="1863" ht="15.75" customHeight="1" x14ac:dyDescent="0.35"/>
    <row r="1864" ht="15.75" customHeight="1" x14ac:dyDescent="0.35"/>
    <row r="1865" ht="15.75" customHeight="1" x14ac:dyDescent="0.35"/>
    <row r="1866" ht="15.75" customHeight="1" x14ac:dyDescent="0.35"/>
    <row r="1867" ht="15.75" customHeight="1" x14ac:dyDescent="0.35"/>
    <row r="1868" ht="15.75" customHeight="1" x14ac:dyDescent="0.35"/>
    <row r="1869" ht="15.75" customHeight="1" x14ac:dyDescent="0.35"/>
    <row r="1870" ht="15.75" customHeight="1" x14ac:dyDescent="0.35"/>
    <row r="1871" ht="15.75" customHeight="1" x14ac:dyDescent="0.35"/>
    <row r="1872" ht="15.75" customHeight="1" x14ac:dyDescent="0.35"/>
    <row r="1873" ht="15.75" customHeight="1" x14ac:dyDescent="0.35"/>
    <row r="1874" ht="15.75" customHeight="1" x14ac:dyDescent="0.35"/>
    <row r="1875" ht="15.75" customHeight="1" x14ac:dyDescent="0.35"/>
    <row r="1876" ht="15.75" customHeight="1" x14ac:dyDescent="0.35"/>
    <row r="1877" ht="15.75" customHeight="1" x14ac:dyDescent="0.35"/>
    <row r="1878" ht="15.75" customHeight="1" x14ac:dyDescent="0.35"/>
    <row r="1879" ht="15.75" customHeight="1" x14ac:dyDescent="0.35"/>
    <row r="1880" ht="15.75" customHeight="1" x14ac:dyDescent="0.35"/>
    <row r="1881" ht="15.75" customHeight="1" x14ac:dyDescent="0.35"/>
    <row r="1882" ht="15.75" customHeight="1" x14ac:dyDescent="0.35"/>
    <row r="1883" ht="15.75" customHeight="1" x14ac:dyDescent="0.35"/>
    <row r="1884" ht="15.75" customHeight="1" x14ac:dyDescent="0.35"/>
    <row r="1885" ht="15.75" customHeight="1" x14ac:dyDescent="0.35"/>
    <row r="1886" ht="15.75" customHeight="1" x14ac:dyDescent="0.35"/>
    <row r="1887" ht="15.75" customHeight="1" x14ac:dyDescent="0.35"/>
    <row r="1888" ht="15.75" customHeight="1" x14ac:dyDescent="0.35"/>
    <row r="1889" ht="15.75" customHeight="1" x14ac:dyDescent="0.35"/>
    <row r="1890" ht="15.75" customHeight="1" x14ac:dyDescent="0.35"/>
    <row r="1891" ht="15.75" customHeight="1" x14ac:dyDescent="0.35"/>
    <row r="1892" ht="15.75" customHeight="1" x14ac:dyDescent="0.35"/>
    <row r="1893" ht="15.75" customHeight="1" x14ac:dyDescent="0.35"/>
    <row r="1894" ht="15.75" customHeight="1" x14ac:dyDescent="0.35"/>
    <row r="1895" ht="15.75" customHeight="1" x14ac:dyDescent="0.35"/>
    <row r="1896" ht="15.75" customHeight="1" x14ac:dyDescent="0.35"/>
    <row r="1897" ht="15.75" customHeight="1" x14ac:dyDescent="0.35"/>
    <row r="1898" ht="15.75" customHeight="1" x14ac:dyDescent="0.35"/>
    <row r="1899" ht="15.75" customHeight="1" x14ac:dyDescent="0.35"/>
    <row r="1900" ht="15.75" customHeight="1" x14ac:dyDescent="0.35"/>
    <row r="1901" ht="15.75" customHeight="1" x14ac:dyDescent="0.35"/>
    <row r="1902" ht="15.75" customHeight="1" x14ac:dyDescent="0.35"/>
    <row r="1903" ht="15.75" customHeight="1" x14ac:dyDescent="0.35"/>
    <row r="1904" ht="15.75" customHeight="1" x14ac:dyDescent="0.35"/>
    <row r="1905" ht="15.75" customHeight="1" x14ac:dyDescent="0.35"/>
    <row r="1906" ht="15.75" customHeight="1" x14ac:dyDescent="0.35"/>
    <row r="1907" ht="15.75" customHeight="1" x14ac:dyDescent="0.35"/>
    <row r="1908" ht="15.75" customHeight="1" x14ac:dyDescent="0.35"/>
    <row r="1909" ht="15.75" customHeight="1" x14ac:dyDescent="0.35"/>
    <row r="1910" ht="15.75" customHeight="1" x14ac:dyDescent="0.35"/>
    <row r="1911" ht="15.75" customHeight="1" x14ac:dyDescent="0.35"/>
    <row r="1912" ht="15.75" customHeight="1" x14ac:dyDescent="0.35"/>
    <row r="1913" ht="15.75" customHeight="1" x14ac:dyDescent="0.35"/>
    <row r="1914" ht="15.75" customHeight="1" x14ac:dyDescent="0.35"/>
    <row r="1915" ht="15.75" customHeight="1" x14ac:dyDescent="0.35"/>
    <row r="1916" ht="15.75" customHeight="1" x14ac:dyDescent="0.35"/>
    <row r="1917" ht="15.75" customHeight="1" x14ac:dyDescent="0.35"/>
    <row r="1918" ht="15.75" customHeight="1" x14ac:dyDescent="0.35"/>
    <row r="1919" ht="15.75" customHeight="1" x14ac:dyDescent="0.35"/>
    <row r="1920" ht="15.75" customHeight="1" x14ac:dyDescent="0.35"/>
    <row r="1921" ht="15.75" customHeight="1" x14ac:dyDescent="0.35"/>
    <row r="1922" ht="15.75" customHeight="1" x14ac:dyDescent="0.35"/>
    <row r="1923" ht="15.75" customHeight="1" x14ac:dyDescent="0.35"/>
    <row r="1924" ht="15.75" customHeight="1" x14ac:dyDescent="0.35"/>
    <row r="1925" ht="15.75" customHeight="1" x14ac:dyDescent="0.35"/>
    <row r="1926" ht="15.75" customHeight="1" x14ac:dyDescent="0.35"/>
    <row r="1927" ht="15.75" customHeight="1" x14ac:dyDescent="0.35"/>
    <row r="1928" ht="15.75" customHeight="1" x14ac:dyDescent="0.35"/>
    <row r="1929" ht="15.75" customHeight="1" x14ac:dyDescent="0.35"/>
    <row r="1930" ht="15.75" customHeight="1" x14ac:dyDescent="0.35"/>
    <row r="1931" ht="15.75" customHeight="1" x14ac:dyDescent="0.35"/>
    <row r="1932" ht="15.75" customHeight="1" x14ac:dyDescent="0.35"/>
    <row r="1933" ht="15.75" customHeight="1" x14ac:dyDescent="0.35"/>
    <row r="1934" ht="15.75" customHeight="1" x14ac:dyDescent="0.35"/>
    <row r="1935" ht="15.75" customHeight="1" x14ac:dyDescent="0.35"/>
    <row r="1936" ht="15.75" customHeight="1" x14ac:dyDescent="0.35"/>
    <row r="1937" ht="15.75" customHeight="1" x14ac:dyDescent="0.35"/>
    <row r="1938" ht="15.75" customHeight="1" x14ac:dyDescent="0.35"/>
    <row r="1939" ht="15.75" customHeight="1" x14ac:dyDescent="0.35"/>
    <row r="1940" ht="15.75" customHeight="1" x14ac:dyDescent="0.35"/>
    <row r="1941" ht="15.75" customHeight="1" x14ac:dyDescent="0.35"/>
    <row r="1942" ht="15.75" customHeight="1" x14ac:dyDescent="0.35"/>
    <row r="1943" ht="15.75" customHeight="1" x14ac:dyDescent="0.35"/>
    <row r="1944" ht="15.75" customHeight="1" x14ac:dyDescent="0.35"/>
    <row r="1945" ht="15.75" customHeight="1" x14ac:dyDescent="0.35"/>
    <row r="1946" ht="15.75" customHeight="1" x14ac:dyDescent="0.35"/>
    <row r="1947" ht="15.75" customHeight="1" x14ac:dyDescent="0.35"/>
    <row r="1948" ht="15.75" customHeight="1" x14ac:dyDescent="0.35"/>
    <row r="1949" ht="15.75" customHeight="1" x14ac:dyDescent="0.35"/>
    <row r="1950" ht="15.75" customHeight="1" x14ac:dyDescent="0.35"/>
    <row r="1951" ht="15.75" customHeight="1" x14ac:dyDescent="0.35"/>
    <row r="1952" ht="15.75" customHeight="1" x14ac:dyDescent="0.35"/>
    <row r="1953" ht="15.75" customHeight="1" x14ac:dyDescent="0.35"/>
    <row r="1954" ht="15.75" customHeight="1" x14ac:dyDescent="0.35"/>
    <row r="1955" ht="15.75" customHeight="1" x14ac:dyDescent="0.35"/>
    <row r="1956" ht="15.75" customHeight="1" x14ac:dyDescent="0.35"/>
    <row r="1957" ht="15.75" customHeight="1" x14ac:dyDescent="0.35"/>
    <row r="1958" ht="15.75" customHeight="1" x14ac:dyDescent="0.35"/>
    <row r="1959" ht="15.75" customHeight="1" x14ac:dyDescent="0.35"/>
    <row r="1960" ht="15.75" customHeight="1" x14ac:dyDescent="0.35"/>
    <row r="1961" ht="15.75" customHeight="1" x14ac:dyDescent="0.35"/>
    <row r="1962" ht="15.75" customHeight="1" x14ac:dyDescent="0.35"/>
    <row r="1963" ht="15.75" customHeight="1" x14ac:dyDescent="0.35"/>
    <row r="1964" ht="15.75" customHeight="1" x14ac:dyDescent="0.35"/>
    <row r="1965" ht="15.75" customHeight="1" x14ac:dyDescent="0.35"/>
    <row r="1966" ht="15.75" customHeight="1" x14ac:dyDescent="0.35"/>
    <row r="1967" ht="15.75" customHeight="1" x14ac:dyDescent="0.35"/>
    <row r="1968" ht="15.75" customHeight="1" x14ac:dyDescent="0.35"/>
    <row r="1969" ht="15.75" customHeight="1" x14ac:dyDescent="0.35"/>
    <row r="1970" ht="15.75" customHeight="1" x14ac:dyDescent="0.35"/>
    <row r="1971" ht="15.75" customHeight="1" x14ac:dyDescent="0.35"/>
    <row r="1972" ht="15.75" customHeight="1" x14ac:dyDescent="0.35"/>
    <row r="1973" ht="15.75" customHeight="1" x14ac:dyDescent="0.35"/>
    <row r="1974" ht="15.75" customHeight="1" x14ac:dyDescent="0.35"/>
    <row r="1975" ht="15.75" customHeight="1" x14ac:dyDescent="0.35"/>
    <row r="1976" ht="15.75" customHeight="1" x14ac:dyDescent="0.35"/>
    <row r="1977" ht="15.75" customHeight="1" x14ac:dyDescent="0.35"/>
    <row r="1978" ht="15.75" customHeight="1" x14ac:dyDescent="0.35"/>
    <row r="1979" ht="15.75" customHeight="1" x14ac:dyDescent="0.35"/>
    <row r="1980" ht="15.75" customHeight="1" x14ac:dyDescent="0.35"/>
    <row r="1981" ht="15.75" customHeight="1" x14ac:dyDescent="0.35"/>
    <row r="1982" ht="15.75" customHeight="1" x14ac:dyDescent="0.35"/>
    <row r="1983" ht="15.75" customHeight="1" x14ac:dyDescent="0.35"/>
    <row r="1984" ht="15.75" customHeight="1" x14ac:dyDescent="0.35"/>
    <row r="1985" ht="15.75" customHeight="1" x14ac:dyDescent="0.35"/>
    <row r="1986" ht="15.75" customHeight="1" x14ac:dyDescent="0.35"/>
    <row r="1987" ht="15.75" customHeight="1" x14ac:dyDescent="0.35"/>
    <row r="1988" ht="15.75" customHeight="1" x14ac:dyDescent="0.35"/>
    <row r="1989" ht="15.75" customHeight="1" x14ac:dyDescent="0.35"/>
    <row r="1990" ht="15.75" customHeight="1" x14ac:dyDescent="0.35"/>
    <row r="1991" ht="15.75" customHeight="1" x14ac:dyDescent="0.35"/>
    <row r="1992" ht="15.75" customHeight="1" x14ac:dyDescent="0.35"/>
    <row r="1993" ht="15.75" customHeight="1" x14ac:dyDescent="0.35"/>
    <row r="1994" ht="15.75" customHeight="1" x14ac:dyDescent="0.35"/>
    <row r="1995" ht="15.75" customHeight="1" x14ac:dyDescent="0.35"/>
    <row r="1996" ht="15.75" customHeight="1" x14ac:dyDescent="0.35"/>
    <row r="1997" ht="15.75" customHeight="1" x14ac:dyDescent="0.35"/>
    <row r="1998" ht="15.75" customHeight="1" x14ac:dyDescent="0.35"/>
    <row r="1999" ht="15.75" customHeight="1" x14ac:dyDescent="0.35"/>
    <row r="2000" ht="15.75" customHeight="1" x14ac:dyDescent="0.35"/>
    <row r="2001" ht="15.75" customHeight="1" x14ac:dyDescent="0.35"/>
  </sheetData>
  <pageMargins left="0.7" right="0.7" top="0.75" bottom="0.75" header="0" footer="0"/>
  <pageSetup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14D71-ED00-456C-9CF2-6C2811F169F1}">
  <dimension ref="A1:U45"/>
  <sheetViews>
    <sheetView topLeftCell="B26" zoomScaleNormal="100" workbookViewId="0">
      <selection activeCell="G30" sqref="G30"/>
    </sheetView>
  </sheetViews>
  <sheetFormatPr defaultRowHeight="14.5" x14ac:dyDescent="0.35"/>
  <cols>
    <col min="1" max="1" width="13.36328125" bestFit="1" customWidth="1"/>
    <col min="2" max="2" width="12.36328125" bestFit="1" customWidth="1"/>
    <col min="3" max="3" width="23.36328125" bestFit="1" customWidth="1"/>
    <col min="4" max="4" width="17.6328125" bestFit="1" customWidth="1"/>
    <col min="5" max="5" width="19.08984375" bestFit="1" customWidth="1"/>
    <col min="6" max="6" width="15.26953125" bestFit="1" customWidth="1"/>
    <col min="7" max="7" width="21.26953125" bestFit="1" customWidth="1"/>
    <col min="8" max="8" width="15.26953125" bestFit="1" customWidth="1"/>
    <col min="9" max="9" width="20.08984375" bestFit="1" customWidth="1"/>
    <col min="10" max="10" width="3.81640625" bestFit="1" customWidth="1"/>
    <col min="11" max="11" width="10.7265625" bestFit="1" customWidth="1"/>
    <col min="12" max="12" width="12.36328125" bestFit="1" customWidth="1"/>
    <col min="13" max="13" width="19.1796875" bestFit="1" customWidth="1"/>
    <col min="14" max="14" width="16.54296875" bestFit="1" customWidth="1"/>
    <col min="15" max="15" width="19.08984375" bestFit="1" customWidth="1"/>
    <col min="16" max="17" width="23.36328125" bestFit="1" customWidth="1"/>
    <col min="18" max="18" width="19.08984375" bestFit="1" customWidth="1"/>
    <col min="19" max="19" width="15.26953125" bestFit="1" customWidth="1"/>
    <col min="20" max="20" width="7.54296875" bestFit="1" customWidth="1"/>
    <col min="21" max="21" width="8.08984375" bestFit="1" customWidth="1"/>
    <col min="22" max="22" width="10.7265625" bestFit="1" customWidth="1"/>
  </cols>
  <sheetData>
    <row r="1" spans="1:21" ht="15" thickBot="1" x14ac:dyDescent="0.4">
      <c r="A1" s="11"/>
      <c r="B1" s="11"/>
      <c r="C1" s="11"/>
      <c r="D1" s="14" t="s">
        <v>1388</v>
      </c>
      <c r="E1" s="11"/>
      <c r="F1" s="11"/>
      <c r="G1" s="11"/>
    </row>
    <row r="2" spans="1:21" ht="15" thickTop="1" x14ac:dyDescent="0.35">
      <c r="A2" s="10"/>
      <c r="G2" s="15"/>
    </row>
    <row r="3" spans="1:21" x14ac:dyDescent="0.35">
      <c r="A3" s="23" t="s">
        <v>1379</v>
      </c>
      <c r="C3" s="23" t="s">
        <v>1381</v>
      </c>
      <c r="E3" s="23" t="s">
        <v>1380</v>
      </c>
      <c r="G3" s="20" t="s">
        <v>1382</v>
      </c>
      <c r="I3" s="23" t="s">
        <v>1390</v>
      </c>
      <c r="K3" s="17" t="s">
        <v>1393</v>
      </c>
      <c r="L3" s="16" t="s">
        <v>1392</v>
      </c>
      <c r="O3" s="25" t="s">
        <v>1395</v>
      </c>
      <c r="Q3" s="25" t="s">
        <v>1397</v>
      </c>
    </row>
    <row r="4" spans="1:21" x14ac:dyDescent="0.35">
      <c r="A4" s="24">
        <v>1000</v>
      </c>
      <c r="B4" s="45"/>
      <c r="C4" s="24">
        <v>229</v>
      </c>
      <c r="E4" s="23">
        <v>100</v>
      </c>
      <c r="G4" s="20">
        <v>5</v>
      </c>
      <c r="I4" s="24">
        <v>2575.8310299999998</v>
      </c>
      <c r="K4" s="18" t="s">
        <v>65</v>
      </c>
      <c r="L4" s="52">
        <v>427</v>
      </c>
      <c r="O4" s="26">
        <f>COUNTIF(Table1345[Duplicate flag],"Yes")</f>
        <v>393</v>
      </c>
      <c r="Q4" s="44">
        <f>SUMIF(Table1345[Duplicate flag],"Yes",Table1345[Claim Amount])</f>
        <v>986181.12</v>
      </c>
    </row>
    <row r="5" spans="1:21" x14ac:dyDescent="0.35">
      <c r="A5" s="12"/>
      <c r="K5" s="18" t="s">
        <v>42</v>
      </c>
      <c r="L5" s="53">
        <v>180</v>
      </c>
    </row>
    <row r="6" spans="1:21" x14ac:dyDescent="0.35">
      <c r="A6" s="21" t="s">
        <v>1383</v>
      </c>
      <c r="C6" s="16" t="s">
        <v>1384</v>
      </c>
      <c r="E6" s="23" t="s">
        <v>1386</v>
      </c>
      <c r="G6" s="20" t="s">
        <v>1387</v>
      </c>
      <c r="I6" s="23" t="s">
        <v>1389</v>
      </c>
      <c r="K6" s="18" t="s">
        <v>19</v>
      </c>
      <c r="L6" s="53">
        <v>393</v>
      </c>
      <c r="O6" s="23" t="s">
        <v>1396</v>
      </c>
      <c r="Q6" s="23" t="s">
        <v>1398</v>
      </c>
    </row>
    <row r="7" spans="1:21" x14ac:dyDescent="0.35">
      <c r="A7" s="21">
        <v>6</v>
      </c>
      <c r="C7" s="16">
        <v>6</v>
      </c>
      <c r="E7" s="43">
        <v>2480987.3199999998</v>
      </c>
      <c r="G7" s="22">
        <v>2575831.0299999998</v>
      </c>
      <c r="I7" s="24">
        <v>2480.9873199999997</v>
      </c>
      <c r="K7" s="19" t="s">
        <v>1394</v>
      </c>
      <c r="L7" s="54">
        <v>1000</v>
      </c>
      <c r="O7" s="27">
        <v>0.39300000000000002</v>
      </c>
      <c r="Q7" s="23">
        <v>15.260999999999999</v>
      </c>
    </row>
    <row r="8" spans="1:21" ht="15" thickBot="1" x14ac:dyDescent="0.4">
      <c r="A8" s="13"/>
      <c r="B8" s="11"/>
      <c r="C8" s="11"/>
      <c r="D8" s="11"/>
      <c r="E8" s="11"/>
      <c r="F8" s="11"/>
      <c r="G8" s="11"/>
    </row>
    <row r="9" spans="1:21" ht="15" thickTop="1" x14ac:dyDescent="0.35"/>
    <row r="12" spans="1:21" x14ac:dyDescent="0.35">
      <c r="B12" s="62" t="s">
        <v>1399</v>
      </c>
      <c r="C12" s="62"/>
    </row>
    <row r="13" spans="1:21" x14ac:dyDescent="0.35">
      <c r="B13" s="28" t="s">
        <v>1393</v>
      </c>
      <c r="C13" s="23" t="s">
        <v>1398</v>
      </c>
      <c r="E13" s="28" t="s">
        <v>1400</v>
      </c>
      <c r="F13" s="31" t="s">
        <v>1401</v>
      </c>
      <c r="G13" s="31"/>
      <c r="H13" s="32"/>
      <c r="L13" s="28" t="s">
        <v>1393</v>
      </c>
      <c r="M13" s="23" t="s">
        <v>1385</v>
      </c>
    </row>
    <row r="14" spans="1:21" x14ac:dyDescent="0.35">
      <c r="B14" s="29" t="s">
        <v>278</v>
      </c>
      <c r="C14" s="35">
        <v>31</v>
      </c>
      <c r="E14" s="33" t="s">
        <v>1393</v>
      </c>
      <c r="F14" s="26" t="s">
        <v>25</v>
      </c>
      <c r="G14" s="26" t="s">
        <v>42</v>
      </c>
      <c r="H14" s="34" t="s">
        <v>17</v>
      </c>
      <c r="L14" s="29" t="s">
        <v>1107</v>
      </c>
      <c r="M14" s="40">
        <v>197570.42</v>
      </c>
    </row>
    <row r="15" spans="1:21" x14ac:dyDescent="0.35">
      <c r="B15" s="29" t="s">
        <v>816</v>
      </c>
      <c r="C15" s="36">
        <v>28.2</v>
      </c>
      <c r="E15" s="29" t="s">
        <v>135</v>
      </c>
      <c r="F15" s="28">
        <v>5</v>
      </c>
      <c r="G15" s="31">
        <v>3</v>
      </c>
      <c r="H15" s="32">
        <v>3</v>
      </c>
      <c r="L15" s="29" t="s">
        <v>1109</v>
      </c>
      <c r="M15" s="41">
        <v>228640.29</v>
      </c>
      <c r="O15" s="17" t="s">
        <v>1392</v>
      </c>
      <c r="P15" s="49" t="s">
        <v>1401</v>
      </c>
      <c r="Q15" s="50"/>
      <c r="R15" s="50"/>
      <c r="S15" s="50"/>
      <c r="T15" s="50"/>
      <c r="U15" s="46"/>
    </row>
    <row r="16" spans="1:21" x14ac:dyDescent="0.35">
      <c r="B16" s="29" t="s">
        <v>491</v>
      </c>
      <c r="C16" s="36">
        <v>27.4</v>
      </c>
      <c r="E16" s="29" t="s">
        <v>228</v>
      </c>
      <c r="F16" s="33">
        <v>2</v>
      </c>
      <c r="G16" s="26">
        <v>3</v>
      </c>
      <c r="H16" s="34">
        <v>4</v>
      </c>
      <c r="L16" s="29" t="s">
        <v>1100</v>
      </c>
      <c r="M16" s="41">
        <v>205746.51</v>
      </c>
      <c r="O16" s="48" t="s">
        <v>1393</v>
      </c>
      <c r="P16" t="s">
        <v>18</v>
      </c>
      <c r="Q16" t="s">
        <v>57</v>
      </c>
      <c r="R16" t="s">
        <v>1093</v>
      </c>
      <c r="S16" t="s">
        <v>32</v>
      </c>
      <c r="T16" t="s">
        <v>26</v>
      </c>
      <c r="U16" s="47" t="s">
        <v>1394</v>
      </c>
    </row>
    <row r="17" spans="2:21" x14ac:dyDescent="0.35">
      <c r="B17" s="29" t="s">
        <v>644</v>
      </c>
      <c r="C17" s="36">
        <v>26.333333333333332</v>
      </c>
      <c r="E17" s="29" t="s">
        <v>613</v>
      </c>
      <c r="F17" s="33">
        <v>6</v>
      </c>
      <c r="G17" s="26">
        <v>1</v>
      </c>
      <c r="H17" s="34">
        <v>2</v>
      </c>
      <c r="L17" s="29" t="s">
        <v>1104</v>
      </c>
      <c r="M17" s="41">
        <v>180679.77</v>
      </c>
      <c r="O17" s="18" t="s">
        <v>65</v>
      </c>
      <c r="P17" s="57">
        <v>94</v>
      </c>
      <c r="Q17" s="50">
        <v>84</v>
      </c>
      <c r="R17" s="50">
        <v>84</v>
      </c>
      <c r="S17" s="50">
        <v>80</v>
      </c>
      <c r="T17" s="50">
        <v>85</v>
      </c>
      <c r="U17" s="46">
        <v>427</v>
      </c>
    </row>
    <row r="18" spans="2:21" x14ac:dyDescent="0.35">
      <c r="B18" s="29" t="s">
        <v>97</v>
      </c>
      <c r="C18" s="36">
        <v>26</v>
      </c>
      <c r="E18" s="29" t="s">
        <v>80</v>
      </c>
      <c r="F18" s="33">
        <v>5</v>
      </c>
      <c r="G18" s="26">
        <v>1</v>
      </c>
      <c r="H18" s="34">
        <v>3</v>
      </c>
      <c r="L18" s="29" t="s">
        <v>1110</v>
      </c>
      <c r="M18" s="41">
        <v>202888.97</v>
      </c>
      <c r="O18" s="18" t="s">
        <v>42</v>
      </c>
      <c r="P18" s="10">
        <v>51</v>
      </c>
      <c r="Q18">
        <v>32</v>
      </c>
      <c r="R18">
        <v>30</v>
      </c>
      <c r="S18">
        <v>36</v>
      </c>
      <c r="T18">
        <v>31</v>
      </c>
      <c r="U18" s="47">
        <v>180</v>
      </c>
    </row>
    <row r="19" spans="2:21" x14ac:dyDescent="0.35">
      <c r="B19" s="29" t="s">
        <v>87</v>
      </c>
      <c r="C19" s="36">
        <v>25.8</v>
      </c>
      <c r="E19" s="29" t="s">
        <v>158</v>
      </c>
      <c r="F19" s="33">
        <v>3</v>
      </c>
      <c r="G19" s="26">
        <v>2</v>
      </c>
      <c r="H19" s="34">
        <v>4</v>
      </c>
      <c r="L19" s="29" t="s">
        <v>1108</v>
      </c>
      <c r="M19" s="41">
        <v>200270.74</v>
      </c>
      <c r="O19" s="18" t="s">
        <v>19</v>
      </c>
      <c r="P19" s="10">
        <v>80</v>
      </c>
      <c r="Q19">
        <v>58</v>
      </c>
      <c r="R19">
        <v>76</v>
      </c>
      <c r="S19">
        <v>81</v>
      </c>
      <c r="T19">
        <v>98</v>
      </c>
      <c r="U19" s="47">
        <v>393</v>
      </c>
    </row>
    <row r="20" spans="2:21" x14ac:dyDescent="0.35">
      <c r="B20" s="29" t="s">
        <v>139</v>
      </c>
      <c r="C20" s="36">
        <v>25.8</v>
      </c>
      <c r="E20" s="29" t="s">
        <v>100</v>
      </c>
      <c r="F20" s="33">
        <v>3</v>
      </c>
      <c r="G20" s="26">
        <v>3</v>
      </c>
      <c r="H20" s="34">
        <v>3</v>
      </c>
      <c r="L20" s="29" t="s">
        <v>1101</v>
      </c>
      <c r="M20" s="41">
        <v>189643.23</v>
      </c>
      <c r="O20" s="19" t="s">
        <v>1394</v>
      </c>
      <c r="P20" s="58">
        <v>225</v>
      </c>
      <c r="Q20" s="56">
        <v>174</v>
      </c>
      <c r="R20" s="56">
        <v>190</v>
      </c>
      <c r="S20" s="56">
        <v>197</v>
      </c>
      <c r="T20" s="56">
        <v>214</v>
      </c>
      <c r="U20" s="51">
        <v>1000</v>
      </c>
    </row>
    <row r="21" spans="2:21" x14ac:dyDescent="0.35">
      <c r="B21" s="29" t="s">
        <v>94</v>
      </c>
      <c r="C21" s="36">
        <v>25.333333333333332</v>
      </c>
      <c r="E21" s="29" t="s">
        <v>232</v>
      </c>
      <c r="F21" s="33">
        <v>2</v>
      </c>
      <c r="G21" s="26"/>
      <c r="H21" s="34">
        <v>7</v>
      </c>
      <c r="L21" s="29" t="s">
        <v>1106</v>
      </c>
      <c r="M21" s="41">
        <v>188439.73</v>
      </c>
    </row>
    <row r="22" spans="2:21" x14ac:dyDescent="0.35">
      <c r="B22" s="29" t="s">
        <v>416</v>
      </c>
      <c r="C22" s="36">
        <v>25.285714285714285</v>
      </c>
      <c r="E22" s="29" t="s">
        <v>119</v>
      </c>
      <c r="F22" s="33">
        <v>2</v>
      </c>
      <c r="G22" s="26">
        <v>2</v>
      </c>
      <c r="H22" s="34">
        <v>4</v>
      </c>
      <c r="L22" s="29" t="s">
        <v>1102</v>
      </c>
      <c r="M22" s="41">
        <v>228676.27</v>
      </c>
    </row>
    <row r="23" spans="2:21" x14ac:dyDescent="0.35">
      <c r="B23" s="29" t="s">
        <v>354</v>
      </c>
      <c r="C23" s="36">
        <v>25.2</v>
      </c>
      <c r="E23" s="29" t="s">
        <v>45</v>
      </c>
      <c r="F23" s="33">
        <v>4</v>
      </c>
      <c r="G23" s="26">
        <v>2</v>
      </c>
      <c r="H23" s="34">
        <v>2</v>
      </c>
      <c r="L23" s="29" t="s">
        <v>1103</v>
      </c>
      <c r="M23" s="41">
        <v>181659.51999999999</v>
      </c>
    </row>
    <row r="24" spans="2:21" x14ac:dyDescent="0.35">
      <c r="B24" s="30" t="s">
        <v>1394</v>
      </c>
      <c r="C24" s="55">
        <v>26.641509433962263</v>
      </c>
      <c r="E24" s="29" t="s">
        <v>152</v>
      </c>
      <c r="F24" s="33">
        <v>2</v>
      </c>
      <c r="G24" s="26"/>
      <c r="H24" s="34">
        <v>6</v>
      </c>
      <c r="L24" s="29" t="s">
        <v>1105</v>
      </c>
      <c r="M24" s="41">
        <v>232384.2</v>
      </c>
    </row>
    <row r="25" spans="2:21" x14ac:dyDescent="0.35">
      <c r="E25" s="30" t="s">
        <v>1394</v>
      </c>
      <c r="F25" s="59">
        <v>34</v>
      </c>
      <c r="G25" s="60">
        <v>17</v>
      </c>
      <c r="H25" s="61">
        <v>38</v>
      </c>
      <c r="L25" s="29" t="s">
        <v>1111</v>
      </c>
      <c r="M25" s="41">
        <v>244387.67</v>
      </c>
    </row>
    <row r="26" spans="2:21" x14ac:dyDescent="0.35">
      <c r="L26" s="30" t="s">
        <v>1394</v>
      </c>
      <c r="M26" s="42">
        <v>2480987.3199999998</v>
      </c>
    </row>
    <row r="27" spans="2:21" x14ac:dyDescent="0.35">
      <c r="G27" s="26"/>
    </row>
    <row r="28" spans="2:21" x14ac:dyDescent="0.35">
      <c r="G28" s="28" t="s">
        <v>1391</v>
      </c>
      <c r="H28" s="31" t="s">
        <v>1401</v>
      </c>
      <c r="I28" s="31"/>
      <c r="J28" s="31"/>
    </row>
    <row r="29" spans="2:21" x14ac:dyDescent="0.35">
      <c r="G29" s="33" t="s">
        <v>1393</v>
      </c>
      <c r="H29" s="26" t="s">
        <v>65</v>
      </c>
      <c r="I29" s="26" t="s">
        <v>42</v>
      </c>
      <c r="J29" s="26" t="s">
        <v>19</v>
      </c>
    </row>
    <row r="30" spans="2:21" x14ac:dyDescent="0.35">
      <c r="C30" s="28" t="s">
        <v>1393</v>
      </c>
      <c r="D30" s="23" t="s">
        <v>1386</v>
      </c>
      <c r="G30" s="29" t="s">
        <v>80</v>
      </c>
      <c r="H30" s="28">
        <v>2</v>
      </c>
      <c r="I30" s="31">
        <v>3</v>
      </c>
      <c r="J30" s="31">
        <v>4</v>
      </c>
    </row>
    <row r="31" spans="2:21" x14ac:dyDescent="0.35">
      <c r="C31" s="29" t="s">
        <v>119</v>
      </c>
      <c r="D31" s="40">
        <v>21615.55</v>
      </c>
      <c r="G31" s="29" t="s">
        <v>119</v>
      </c>
      <c r="H31" s="33">
        <v>5</v>
      </c>
      <c r="I31" s="26">
        <v>2</v>
      </c>
      <c r="J31" s="26">
        <v>1</v>
      </c>
    </row>
    <row r="32" spans="2:21" x14ac:dyDescent="0.35">
      <c r="C32" s="29" t="s">
        <v>45</v>
      </c>
      <c r="D32" s="41">
        <v>22923.01</v>
      </c>
      <c r="G32" s="29" t="s">
        <v>45</v>
      </c>
      <c r="H32" s="33">
        <v>3</v>
      </c>
      <c r="I32" s="26">
        <v>3</v>
      </c>
      <c r="J32" s="26">
        <v>2</v>
      </c>
      <c r="M32" s="28" t="s">
        <v>1393</v>
      </c>
      <c r="N32" s="23" t="s">
        <v>1402</v>
      </c>
    </row>
    <row r="33" spans="3:14" x14ac:dyDescent="0.35">
      <c r="C33" s="29" t="s">
        <v>80</v>
      </c>
      <c r="D33" s="41">
        <v>22299.71</v>
      </c>
      <c r="G33" s="29" t="s">
        <v>100</v>
      </c>
      <c r="H33" s="33">
        <v>4</v>
      </c>
      <c r="I33" s="26">
        <v>2</v>
      </c>
      <c r="J33" s="26">
        <v>3</v>
      </c>
      <c r="M33" s="29" t="s">
        <v>1107</v>
      </c>
      <c r="N33" s="37"/>
    </row>
    <row r="34" spans="3:14" x14ac:dyDescent="0.35">
      <c r="C34" s="29" t="s">
        <v>100</v>
      </c>
      <c r="D34" s="41">
        <v>20505.05</v>
      </c>
      <c r="G34" s="29" t="s">
        <v>232</v>
      </c>
      <c r="H34" s="33">
        <v>5</v>
      </c>
      <c r="I34" s="26">
        <v>2</v>
      </c>
      <c r="J34" s="26">
        <v>2</v>
      </c>
      <c r="M34" s="29" t="s">
        <v>1109</v>
      </c>
      <c r="N34" s="38">
        <v>0.15725972541841027</v>
      </c>
    </row>
    <row r="35" spans="3:14" x14ac:dyDescent="0.35">
      <c r="C35" s="29" t="s">
        <v>232</v>
      </c>
      <c r="D35" s="41">
        <v>20056.330000000002</v>
      </c>
      <c r="G35" s="29" t="s">
        <v>613</v>
      </c>
      <c r="H35" s="33">
        <v>5</v>
      </c>
      <c r="I35" s="26"/>
      <c r="J35" s="26">
        <v>4</v>
      </c>
      <c r="M35" s="29" t="s">
        <v>1100</v>
      </c>
      <c r="N35" s="38">
        <v>-0.10013012142348139</v>
      </c>
    </row>
    <row r="36" spans="3:14" x14ac:dyDescent="0.35">
      <c r="C36" s="29" t="s">
        <v>613</v>
      </c>
      <c r="D36" s="41">
        <v>22031.52</v>
      </c>
      <c r="G36" s="29" t="s">
        <v>228</v>
      </c>
      <c r="H36" s="33">
        <v>4</v>
      </c>
      <c r="I36" s="26">
        <v>1</v>
      </c>
      <c r="J36" s="26">
        <v>4</v>
      </c>
      <c r="M36" s="29" t="s">
        <v>1104</v>
      </c>
      <c r="N36" s="38">
        <v>-0.12183312368214663</v>
      </c>
    </row>
    <row r="37" spans="3:14" x14ac:dyDescent="0.35">
      <c r="C37" s="29" t="s">
        <v>228</v>
      </c>
      <c r="D37" s="41">
        <v>21777.64</v>
      </c>
      <c r="G37" s="29" t="s">
        <v>158</v>
      </c>
      <c r="H37" s="33">
        <v>5</v>
      </c>
      <c r="I37" s="26">
        <v>1</v>
      </c>
      <c r="J37" s="26">
        <v>3</v>
      </c>
      <c r="M37" s="29" t="s">
        <v>1110</v>
      </c>
      <c r="N37" s="38">
        <v>0.12292023617253893</v>
      </c>
    </row>
    <row r="38" spans="3:14" x14ac:dyDescent="0.35">
      <c r="C38" s="29" t="s">
        <v>336</v>
      </c>
      <c r="D38" s="41">
        <v>20949.75</v>
      </c>
      <c r="G38" s="29" t="s">
        <v>135</v>
      </c>
      <c r="H38" s="33">
        <v>6</v>
      </c>
      <c r="I38" s="26">
        <v>1</v>
      </c>
      <c r="J38" s="26">
        <v>4</v>
      </c>
      <c r="M38" s="29" t="s">
        <v>1108</v>
      </c>
      <c r="N38" s="38">
        <v>-1.290474292417183E-2</v>
      </c>
    </row>
    <row r="39" spans="3:14" x14ac:dyDescent="0.35">
      <c r="C39" s="29" t="s">
        <v>158</v>
      </c>
      <c r="D39" s="41">
        <v>30150.03</v>
      </c>
      <c r="G39" s="29" t="s">
        <v>152</v>
      </c>
      <c r="H39" s="33">
        <v>3</v>
      </c>
      <c r="I39" s="26">
        <v>2</v>
      </c>
      <c r="J39" s="26">
        <v>3</v>
      </c>
      <c r="M39" s="29" t="s">
        <v>1101</v>
      </c>
      <c r="N39" s="38">
        <v>-5.3065714941683349E-2</v>
      </c>
    </row>
    <row r="40" spans="3:14" x14ac:dyDescent="0.35">
      <c r="C40" s="29" t="s">
        <v>135</v>
      </c>
      <c r="D40" s="41">
        <v>25821.34</v>
      </c>
      <c r="G40" s="30" t="s">
        <v>1394</v>
      </c>
      <c r="H40" s="59">
        <v>42</v>
      </c>
      <c r="I40" s="60">
        <v>17</v>
      </c>
      <c r="J40" s="60">
        <v>30</v>
      </c>
      <c r="M40" s="29" t="s">
        <v>1106</v>
      </c>
      <c r="N40" s="38">
        <v>-6.3461268825678614E-3</v>
      </c>
    </row>
    <row r="41" spans="3:14" x14ac:dyDescent="0.35">
      <c r="C41" s="30" t="s">
        <v>1394</v>
      </c>
      <c r="D41" s="42">
        <v>228129.93</v>
      </c>
      <c r="M41" s="29" t="s">
        <v>1102</v>
      </c>
      <c r="N41" s="38">
        <v>0.21352471689489247</v>
      </c>
    </row>
    <row r="42" spans="3:14" x14ac:dyDescent="0.35">
      <c r="M42" s="29" t="s">
        <v>1103</v>
      </c>
      <c r="N42" s="38">
        <v>-0.20560397456194296</v>
      </c>
    </row>
    <row r="43" spans="3:14" x14ac:dyDescent="0.35">
      <c r="M43" s="29" t="s">
        <v>1105</v>
      </c>
      <c r="N43" s="38">
        <v>0.27922940674950603</v>
      </c>
    </row>
    <row r="44" spans="3:14" x14ac:dyDescent="0.35">
      <c r="M44" s="29" t="s">
        <v>1111</v>
      </c>
      <c r="N44" s="38">
        <v>5.1653554759747006E-2</v>
      </c>
    </row>
    <row r="45" spans="3:14" x14ac:dyDescent="0.35">
      <c r="M45" s="30" t="s">
        <v>1394</v>
      </c>
      <c r="N45" s="39"/>
    </row>
  </sheetData>
  <mergeCells count="1">
    <mergeCell ref="B12:C12"/>
  </mergeCells>
  <conditionalFormatting pivot="1" sqref="P19:T19">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2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30098-B4F8-4EAE-B866-0FD4B2D5F5B2}">
  <dimension ref="A1"/>
  <sheetViews>
    <sheetView showGridLines="0" tabSelected="1" zoomScale="93" zoomScaleNormal="100" workbookViewId="0">
      <selection activeCell="X15" sqref="X1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Original Data</vt:lpstr>
      <vt:lpstr>Working Data</vt:lpstr>
      <vt:lpstr>Cleaned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Ebenezer U.</dc:creator>
  <cp:lastModifiedBy>Ebenezer Ugwuja</cp:lastModifiedBy>
  <dcterms:created xsi:type="dcterms:W3CDTF">2026-04-29T14:56:56Z</dcterms:created>
  <dcterms:modified xsi:type="dcterms:W3CDTF">2026-06-27T17:48:20Z</dcterms:modified>
</cp:coreProperties>
</file>